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6217f81be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准与总览" sheetId="1" r:id="Rc29e77b83d0146d7"/>
    <x:sheet xmlns:r="http://schemas.openxmlformats.org/officeDocument/2006/relationships" name="Steam卖出对账" sheetId="2" r:id="Re4cf084fcacb4c2b"/>
    <x:sheet xmlns:r="http://schemas.openxmlformats.org/officeDocument/2006/relationships" name="补仓对账" sheetId="3" r:id="R110dcd8aeefb4e7d"/>
    <x:sheet xmlns:r="http://schemas.openxmlformats.org/officeDocument/2006/relationships" name="物品数量守恒" sheetId="4" r:id="R23b44c9f0e8948cc"/>
    <x:sheet xmlns:r="http://schemas.openxmlformats.org/officeDocument/2006/relationships" name="Steam购买支出" sheetId="5" r:id="R1ae492a74a244c22"/>
    <x:sheet xmlns:r="http://schemas.openxmlformats.org/officeDocument/2006/relationships" name="检查" sheetId="6" r:id="R5f951debe6474481"/>
  </x:sheets>
</x:workbook>
</file>

<file path=xl/comments1.xml><?xml version="1.0" encoding="utf-8"?>
<x:comments xmlns:x="http://schemas.openxmlformats.org/spreadsheetml/2006/main">
  <x:authors>
    <x:author>tc={B0F1585F-EF5D-BD04-AB63-F0465FAA7A5A}</x:author>
    <x:author>tc={410BEAD8-D83D-E94F-F965-F523881A097E}</x:author>
    <x:author>tc={91AA63FD-F9D1-F585-628E-C44421B43CF2}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固定测试 cohort 起点：只纳入此时间之后的 Steam 官方卖出。补仓可发生在结束时间之后，但仍跟随原卖出流水。</x:t>
        </x:r>
      </x:text>
    </x:comment>
    <x:comment ref="B9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综合折扣 = 期初真实价值 / 期初Steam账面余额。当前精确值约为 70.137040%。</x:t>
        </x:r>
      </x:text>
    </x:comment>
    <x:comment ref="B2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预计最终补仓比例使用：C5成功实际 + 手动完结实际 + 发货中订单金额 + 待补仓当前冻结金额；不使用旧补仓价。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:ss"/>
    <x:numFmt numFmtId="201" formatCode="¥#,##0.00;[Red](¥#,##0.00);-"/>
    <x:numFmt numFmtId="202" formatCode="0.000000%;[Red](0.000000%);-"/>
    <x:numFmt numFmtId="203" formatCode="#,##0;[Red](#,##0);-"/>
    <x:numFmt numFmtId="204" formatCode="0.00"/>
  </x:numFmts>
  <x:fonts count="11">
    <x:font>
      <x:sz val="11"/>
      <x:name val="Carlito"/>
    </x:font>
    <x:font>
      <x:sz val="10"/>
      <x:color rgb="FF17201C"/>
      <x:name val="Microsoft YaHei"/>
    </x:font>
    <x:font>
      <x:b/>
      <x:sz val="18"/>
      <x:color rgb="FFFFFFFF"/>
      <x:name val="Microsoft YaHei"/>
    </x:font>
    <x:font>
      <x:sz val="10"/>
      <x:color rgb="FF184D39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  <x:font>
      <x:sz val="10"/>
      <x:color rgb="FF000000"/>
      <x:name val="Microsoft YaHei"/>
    </x:font>
    <x:font>
      <x:b/>
      <x:sz val="10"/>
      <x:color rgb="FF184D39"/>
      <x:name val="Microsoft YaHei"/>
    </x:font>
    <x:font>
      <x:sz val="11"/>
      <x:color rgb="FF725F20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4D39"/>
      </x:patternFill>
    </x:fill>
    <x:fill>
      <x:patternFill patternType="solid">
        <x:fgColor rgb="FFE8F2EC"/>
      </x:patternFill>
    </x:fill>
    <x:fill>
      <x:patternFill patternType="solid">
        <x:fgColor rgb="FF236A4C"/>
      </x:patternFill>
    </x:fill>
    <x:fill>
      <x:patternFill patternType="solid">
        <x:fgColor rgb="FFFFFFFF"/>
      </x:patternFill>
    </x:fill>
    <x:fill>
      <x:patternFill patternType="solid">
        <x:fgColor rgb="FFF5E7B2"/>
      </x:patternFill>
    </x:fill>
  </x:fills>
  <x:borders count="15">
    <x:border/>
    <x:border>
      <x:left style="thin">
        <x:color rgb="FFE4E8E2"/>
      </x:left>
      <x:top style="thin">
        <x:color rgb="FFE4E8E2"/>
      </x:top>
      <x:bottom style="thin">
        <x:color rgb="FFE4E8E2"/>
      </x:bottom>
    </x:border>
    <x:border>
      <x:top style="thin">
        <x:color rgb="FFE4E8E2"/>
      </x:top>
      <x:bottom style="thin">
        <x:color rgb="FFE4E8E2"/>
      </x:bottom>
    </x:border>
    <x:border>
      <x:right style="thin">
        <x:color rgb="FFE4E8E2"/>
      </x:right>
      <x:top style="thin">
        <x:color rgb="FFE4E8E2"/>
      </x:top>
      <x:bottom style="thin">
        <x:color rgb="FFE4E8E2"/>
      </x:bottom>
    </x:border>
    <x:border>
      <x:left style="thin">
        <x:color rgb="FFE4E8E2"/>
      </x:left>
      <x:top style="thin">
        <x:color rgb="FFE4E8E2"/>
      </x:top>
    </x:border>
    <x:border>
      <x:top style="thin">
        <x:color rgb="FFE4E8E2"/>
      </x:top>
    </x:border>
    <x:border>
      <x:right style="thin">
        <x:color rgb="FFE4E8E2"/>
      </x:right>
      <x:top style="thin">
        <x:color rgb="FFE4E8E2"/>
      </x:top>
    </x:border>
    <x:border>
      <x:left style="thin">
        <x:color rgb="FFE4E8E2"/>
      </x:left>
    </x:border>
    <x:border>
      <x:right style="thin">
        <x:color rgb="FFE4E8E2"/>
      </x:right>
    </x:border>
    <x:border>
      <x:left style="thin">
        <x:color rgb="FFE4E8E2"/>
      </x:left>
      <x:bottom style="thin">
        <x:color rgb="FFE4E8E2"/>
      </x:bottom>
    </x:border>
    <x:border>
      <x:bottom style="thin">
        <x:color rgb="FFE4E8E2"/>
      </x:bottom>
    </x:border>
    <x:border>
      <x:right style="thin">
        <x:color rgb="FFE4E8E2"/>
      </x:right>
      <x:bottom style="thin">
        <x:color rgb="FFE4E8E2"/>
      </x:bottom>
    </x:border>
    <x:border>
      <x:left style="thin">
        <x:color rgb="FF236A4C"/>
      </x:left>
      <x:top style="thin">
        <x:color rgb="FF236A4C"/>
      </x:top>
      <x:bottom style="thin">
        <x:color rgb="FF236A4C"/>
      </x:bottom>
    </x:border>
    <x:border>
      <x:top style="thin">
        <x:color rgb="FF236A4C"/>
      </x:top>
      <x:bottom style="thin">
        <x:color rgb="FF236A4C"/>
      </x:bottom>
    </x:border>
    <x:border>
      <x:right style="thin">
        <x:color rgb="FF236A4C"/>
      </x:right>
      <x:top style="thin">
        <x:color rgb="FF236A4C"/>
      </x:top>
      <x:bottom style="thin">
        <x:color rgb="FF236A4C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202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2" xfId="0" applyNumberFormat="1" applyFont="1" applyFill="1" applyBorder="1"/>
    <x:xf numFmtId="0" fontId="7" fillId="3" borderId="3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center" wrapText="1"/>
    </x:xf>
    <x:xf numFmtId="0" fontId="7" fillId="3" borderId="2" xfId="0" applyNumberFormat="1" applyFont="1" applyFill="1" applyBorder="1" applyAlignment="1">
      <x:alignment vertical="center" wrapText="1"/>
    </x:xf>
    <x:xf numFmtId="0" fontId="7" fillId="3" borderId="3" xfId="0" applyNumberFormat="1" applyFont="1" applyFill="1" applyBorder="1" applyAlignment="1">
      <x:alignment vertical="center" wrapText="1"/>
    </x:xf>
    <x:xf numFmtId="201" fontId="6" fillId="3" borderId="0" xfId="0" applyNumberFormat="1" applyFont="1" applyFill="1" applyBorder="1"/>
    <x:xf numFmtId="202" fontId="5" fillId="5" borderId="0" xfId="0" applyNumberFormat="1" applyFont="1" applyFill="1" applyBorder="1"/>
    <x:xf numFmtId="203" fontId="6" fillId="3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9" xfId="0" applyNumberFormat="1" applyFont="1" applyFill="1" applyBorder="1"/>
    <x:xf numFmtId="0" fontId="1" fillId="5" borderId="10" xfId="0" applyNumberFormat="1" applyFont="1" applyFill="1" applyBorder="1"/>
    <x:xf numFmtId="0" fontId="1" fillId="5" borderId="11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9" xfId="0" applyNumberFormat="1" applyFont="1" applyFill="1" applyBorder="1" applyAlignment="1">
      <x:alignment wrapText="1"/>
    </x:xf>
    <x:xf numFmtId="0" fontId="1" fillId="5" borderId="10" xfId="0" applyNumberFormat="1" applyFont="1" applyFill="1" applyBorder="1" applyAlignment="1">
      <x:alignment wrapText="1"/>
    </x:xf>
    <x:xf numFmtId="0" fontId="1" fillId="5" borderId="11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0" fillId="3" borderId="0" xfId="0" applyNumberFormat="1" applyFont="1" applyFill="1" applyBorder="1"/>
    <x:xf numFmtId="200" fontId="5" fillId="0" borderId="0" xfId="0" applyNumberFormat="1" applyFont="1" applyFill="1" applyBorder="1"/>
    <x:xf numFmtId="200" fontId="9" fillId="0" borderId="0" xfId="0" applyNumberFormat="1" applyFont="1" applyFill="1" applyBorder="1"/>
    <x:xf numFmtId="201" fontId="5" fillId="0" borderId="0" xfId="0" applyNumberFormat="1" applyFont="1" applyFill="1" applyBorder="1"/>
    <x:xf numFmtId="201" fontId="9" fillId="0" borderId="0" xfId="0" applyNumberFormat="1" applyFont="1" applyFill="1" applyBorder="1"/>
    <x:xf numFmtId="203" fontId="5" fillId="0" borderId="0" xfId="0" applyNumberFormat="1" applyFont="1" applyFill="1" applyBorder="1"/>
    <x:xf numFmtId="203" fontId="9" fillId="0" borderId="0" xfId="0" applyNumberFormat="1" applyFont="1" applyFill="1" applyBorder="1"/>
    <x:xf numFmtId="201" fontId="10" fillId="3" borderId="0" xfId="0" applyNumberFormat="1" applyFont="1" applyFill="1" applyBorder="1"/>
    <x:xf numFmtId="203" fontId="10" fillId="3" borderId="0" xfId="0" applyNumberFormat="1" applyFont="1" applyFill="1" applyBorder="1"/>
    <x:xf numFmtId="0" fontId="9" fillId="5" borderId="0" xfId="0" applyNumberFormat="1" applyFont="1" applyFill="1" applyBorder="1"/>
    <x:xf numFmtId="202" fontId="5" fillId="0" borderId="0" xfId="0" applyNumberFormat="1" applyFont="1" applyFill="1" applyBorder="1"/>
    <x:xf numFmtId="202" fontId="9" fillId="0" borderId="0" xfId="0" applyNumberFormat="1" applyFont="1" applyFill="1" applyBorder="1"/>
    <x:xf numFmtId="0" fontId="7" fillId="3" borderId="12" xfId="0" applyNumberFormat="1" applyFont="1" applyFill="1" applyBorder="1"/>
    <x:xf numFmtId="0" fontId="7" fillId="3" borderId="13" xfId="0" applyNumberFormat="1" applyFont="1" applyFill="1" applyBorder="1"/>
    <x:xf numFmtId="0" fontId="7" fillId="3" borderId="14" xfId="0" applyNumberFormat="1" applyFont="1" applyFill="1" applyBorder="1"/>
    <x:xf numFmtId="204" fontId="6" fillId="3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wrapText="1"/>
    </x:xf>
    <x:xf numFmtId="201" fontId="5" fillId="5" borderId="0" xfId="0" applyNumberFormat="1" applyFont="1" applyFill="1" applyBorder="1" applyAlignment="1">
      <x:alignment wrapText="1"/>
    </x:xf>
    <x:xf numFmtId="202" fontId="5" fillId="5" borderId="0" xfId="0" applyNumberFormat="1" applyFont="1" applyFill="1" applyBorder="1" applyAlignment="1">
      <x:alignment wrapText="1"/>
    </x:xf>
    <x:xf numFmtId="201" fontId="6" fillId="3" borderId="0" xfId="0" applyNumberFormat="1" applyFont="1" applyFill="1" applyBorder="1" applyAlignment="1">
      <x:alignment wrapText="1"/>
    </x:xf>
    <x:xf numFmtId="202" fontId="6" fillId="3" borderId="0" xfId="0" applyNumberFormat="1" applyFont="1" applyFill="1" applyBorder="1" applyAlignment="1">
      <x:alignment wrapText="1"/>
    </x:xf>
    <x:xf numFmtId="203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4" fontId="6" fillId="3" borderId="0" xfId="0" applyNumberFormat="1" applyFont="1" applyFill="1" applyBorder="1" applyAlignment="1">
      <x:alignment wrapText="1"/>
    </x:xf>
    <x:xf numFmtId="0" fontId="7" fillId="3" borderId="12" xfId="0" applyNumberFormat="1" applyFont="1" applyFill="1" applyBorder="1" applyAlignment="1">
      <x:alignment wrapText="1"/>
    </x:xf>
    <x:xf numFmtId="0" fontId="7" fillId="3" borderId="13" xfId="0" applyNumberFormat="1" applyFont="1" applyFill="1" applyBorder="1" applyAlignment="1">
      <x:alignment wrapText="1"/>
    </x:xf>
    <x:xf numFmtId="0" fontId="7" fillId="3" borderId="1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854df42ec4726" /><Relationship Type="http://schemas.openxmlformats.org/officeDocument/2006/relationships/theme" Target="/xl/theme/theme1.xml" Id="R37d9c63e1f444625" /><Relationship Type="http://schemas.openxmlformats.org/officeDocument/2006/relationships/sharedStrings" Target="/xl/sharedStrings.xml" Id="R7d22741281d949b3" /><Relationship Type="http://schemas.openxmlformats.org/officeDocument/2006/relationships/worksheet" Target="/xl/worksheets/sheet1.xml" Id="Rc29e77b83d0146d7" /><Relationship Type="http://schemas.openxmlformats.org/officeDocument/2006/relationships/worksheet" Target="/xl/worksheets/sheet2.xml" Id="Re4cf084fcacb4c2b" /><Relationship Type="http://schemas.openxmlformats.org/officeDocument/2006/relationships/worksheet" Target="/xl/worksheets/sheet3.xml" Id="R110dcd8aeefb4e7d" /><Relationship Type="http://schemas.openxmlformats.org/officeDocument/2006/relationships/worksheet" Target="/xl/worksheets/sheet4.xml" Id="R23b44c9f0e8948cc" /><Relationship Type="http://schemas.openxmlformats.org/officeDocument/2006/relationships/worksheet" Target="/xl/worksheets/sheet5.xml" Id="R1ae492a74a244c22" /><Relationship Type="http://schemas.openxmlformats.org/officeDocument/2006/relationships/worksheet" Target="/xl/worksheets/sheet6.xml" Id="R5f951debe6474481" /><Relationship Type="http://schemas.microsoft.com/office/2017/10/relationships/person" Target="/xl/persons/person.xml" Id="Ree4920e95e5544b6" /></Relationships>
</file>

<file path=xl/persons/person.xml><?xml version="1.0" encoding="utf-8"?>
<xltc:personList xmlns:xltc="http://schemas.microsoft.com/office/spreadsheetml/2018/threadedcomments">
  <xltc:person displayName="User" id="{DA58196E-5355-4E52-BA61-F43BA913D64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7-19T07:56:48.715" personId="{DA58196E-5355-4E52-BA61-F43BA913D64F}" id="{B0F1585F-EF5D-BD04-AB63-F0465FAA7A5A}">
    <xltc:text>固定测试 cohort 起点：只纳入此时间之后的 Steam 官方卖出。补仓可发生在结束时间之后，但仍跟随原卖出流水。</xltc:text>
  </xltc:threadedComment>
  <xltc:threadedComment ref="B9" dT="2026-07-19T07:56:48.715" personId="{DA58196E-5355-4E52-BA61-F43BA913D64F}" id="{410BEAD8-D83D-E94F-F965-F523881A097E}">
    <xltc:text>综合折扣 = 期初真实价值 / 期初Steam账面余额。当前精确值约为 70.137040%。</xltc:text>
  </xltc:threadedComment>
  <xltc:threadedComment ref="B26" dT="2026-07-19T07:56:48.716" personId="{DA58196E-5355-4E52-BA61-F43BA913D64F}" id="{91AA63FD-F9D1-F585-628E-C44421B43CF2}">
    <xltc:text>预计最终补仓比例使用：C5成功实际 + 手动完结实际 + 发货中订单金额 + 待补仓当前冻结金额；不使用旧补仓价。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e3a03a2198b4709" /><Relationship Type="http://schemas.openxmlformats.org/officeDocument/2006/relationships/vmlDrawing" Target="/xl/drawings/vmldrawing.vml" Id="R1b0c524fd1fa47df" /><Relationship Type="http://schemas.microsoft.com/office/2017/10/relationships/threadedComment" Target="/xl/threadedcomments/threadedcomment.xml" Id="R7abe677149b14f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4" hidden="0" customWidth="1"/>
    <x:col min="4" max="4" width="30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80" t="str">
        <x:v>挂刀执行器对账测试模板</x:v>
      </x:c>
      <x:c r="B1" s="80" t="str">
        <x:v>挂刀执行器对账测试模板</x:v>
      </x:c>
      <x:c r="C1" s="80" t="str">
        <x:v>挂刀执行器对账测试模板</x:v>
      </x:c>
      <x:c r="D1" s="80" t="str">
        <x:v>挂刀执行器对账测试模板</x:v>
      </x:c>
      <x:c r="E1" s="80" t="str">
        <x:v>挂刀执行器对账测试模板</x:v>
      </x:c>
      <x:c r="F1" s="80" t="str">
        <x:v>挂刀执行器对账测试模板</x:v>
      </x:c>
      <x:c r="G1" s="80" t="str">
        <x:v>挂刀执行器对账测试模板</x:v>
      </x:c>
      <x:c r="H1" s="80" t="str">
        <x:v>挂刀执行器对账测试模板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34" customHeight="1">
      <x:c r="A2" s="8" t="str">
        <x:v>固定起点、Steam官方卖出、补仓状态和数量守恒必须分别核对；所有时间均按北京时间。</x:v>
      </x:c>
      <x:c r="B2" s="8" t="str">
        <x:v>固定起点、Steam官方卖出、补仓状态和数量守恒必须分别核对；所有时间均按北京时间。</x:v>
      </x:c>
      <x:c r="C2" s="8" t="str">
        <x:v>固定起点、Steam官方卖出、补仓状态和数量守恒必须分别核对；所有时间均按北京时间。</x:v>
      </x:c>
      <x:c r="D2" s="8" t="str">
        <x:v>固定起点、Steam官方卖出、补仓状态和数量守恒必须分别核对；所有时间均按北京时间。</x:v>
      </x:c>
      <x:c r="E2" s="8" t="str">
        <x:v>固定起点、Steam官方卖出、补仓状态和数量守恒必须分别核对；所有时间均按北京时间。</x:v>
      </x:c>
      <x:c r="F2" s="8" t="str">
        <x:v>固定起点、Steam官方卖出、补仓状态和数量守恒必须分别核对；所有时间均按北京时间。</x:v>
      </x:c>
      <x:c r="G2" s="8" t="str">
        <x:v>固定起点、Steam官方卖出、补仓状态和数量守恒必须分别核对；所有时间均按北京时间。</x:v>
      </x:c>
      <x:c r="H2" s="8" t="str">
        <x:v>固定起点、Steam官方卖出、补仓状态和数量守恒必须分别核对；所有时间均按北京时间。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81"/>
      <x:c r="B3" s="81"/>
      <x:c r="C3" s="81"/>
      <x:c r="D3" s="81"/>
      <x:c r="E3" s="81"/>
      <x:c r="F3" s="81"/>
      <x:c r="G3" s="81"/>
      <x:c r="H3" s="8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82" t="str">
        <x:v>本轮固定基准（输入）</x:v>
      </x:c>
      <x:c r="B4" s="82" t="str">
        <x:v>本轮固定基准（输入）</x:v>
      </x:c>
      <x:c r="C4" s="82" t="str">
        <x:v>本轮固定基准（输入）</x:v>
      </x:c>
      <x:c r="D4" s="82" t="str">
        <x:v>本轮固定基准（输入）</x:v>
      </x:c>
      <x:c r="E4" s="82" t="str">
        <x:v>当前基准余额构成</x:v>
      </x:c>
      <x:c r="F4" s="82" t="str">
        <x:v>当前基准余额构成</x:v>
      </x:c>
      <x:c r="G4" s="82" t="str">
        <x:v>当前基准余额构成</x:v>
      </x:c>
      <x:c r="H4" s="82" t="str">
        <x:v>当前基准余额构成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>
      <x:c r="A5" s="81" t="str">
        <x:v>测试开始时间</x:v>
      </x:c>
      <x:c r="B5" s="83" t="n">
        <x:v>46222.63888888889</x:v>
      </x:c>
      <x:c r="C5" s="81"/>
      <x:c r="D5" s="81"/>
      <x:c r="E5" s="26" t="str">
        <x:v>余额来源</x:v>
      </x:c>
      <x:c r="F5" s="27" t="str">
        <x:v>面值</x:v>
      </x:c>
      <x:c r="G5" s="27" t="str">
        <x:v>折扣</x:v>
      </x:c>
      <x:c r="H5" s="28" t="str">
        <x:v>真实价值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>
      <x:c r="A6" s="81" t="str">
        <x:v>计划结束时间</x:v>
      </x:c>
      <x:c r="B6" s="83" t="n">
        <x:v>46231.993055555555</x:v>
      </x:c>
      <x:c r="C6" s="81"/>
      <x:c r="D6" s="81"/>
      <x:c r="E6" s="81" t="str">
        <x:v>10折</x:v>
      </x:c>
      <x:c r="F6" s="84" t="n">
        <x:v>60</x:v>
      </x:c>
      <x:c r="G6" s="85" t="n">
        <x:v>1</x:v>
      </x:c>
      <x:c r="H6" s="86" t="n">
        <x:f>F6*G6</x:f>
        <x:v>60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>
      <x:c r="A7" s="81" t="str">
        <x:v>期初Steam账面余额</x:v>
      </x:c>
      <x:c r="B7" s="84" t="n">
        <x:v>2502.92</x:v>
      </x:c>
      <x:c r="C7" s="81"/>
      <x:c r="D7" s="81"/>
      <x:c r="E7" s="81" t="str">
        <x:v>73折</x:v>
      </x:c>
      <x:c r="F7" s="84" t="n">
        <x:v>246.48</x:v>
      </x:c>
      <x:c r="G7" s="85" t="n">
        <x:v>0.73</x:v>
      </x:c>
      <x:c r="H7" s="86" t="n">
        <x:f>F7*G7</x:f>
        <x:v>179.9304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>
      <x:c r="A8" s="81" t="str">
        <x:v>期初余额真实价值</x:v>
      </x:c>
      <x:c r="B8" s="84" t="n">
        <x:v>1755.474</x:v>
      </x:c>
      <x:c r="C8" s="81"/>
      <x:c r="D8" s="81"/>
      <x:c r="E8" s="81" t="str">
        <x:v>69折</x:v>
      </x:c>
      <x:c r="F8" s="84" t="n">
        <x:v>2196.44</x:v>
      </x:c>
      <x:c r="G8" s="85" t="n">
        <x:v>0.69</x:v>
      </x:c>
      <x:c r="H8" s="86" t="n">
        <x:f>F8*G8</x:f>
        <x:v>1515.5436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>
      <x:c r="A9" s="81" t="str">
        <x:v>期初综合折扣</x:v>
      </x:c>
      <x:c r="B9" s="87" t="n">
        <x:f>B8/B7</x:f>
        <x:v>0.7013703993735316</x:v>
      </x:c>
      <x:c r="C9" s="81"/>
      <x:c r="D9" s="81"/>
      <x:c r="E9" s="81" t="str">
        <x:v>合计</x:v>
      </x:c>
      <x:c r="F9" s="86" t="n">
        <x:f>SUM(F6:F8)</x:f>
        <x:v>2502.92</x:v>
      </x:c>
      <x:c r="G9" s="81"/>
      <x:c r="H9" s="86" t="n">
        <x:f>SUM(H6:H8)</x:f>
        <x:v>1755.474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>
      <x:c r="A10" s="81" t="str">
        <x:v>期末Steam真实余额（结束时填写）</x:v>
      </x:c>
      <x:c r="B10" s="84"/>
      <x:c r="C10" s="81"/>
      <x:c r="D10" s="81"/>
      <x:c r="E10" s="81"/>
      <x:c r="F10" s="81"/>
      <x:c r="G10" s="81"/>
      <x:c r="H10" s="8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>
      <x:c r="A11" s="81" t="str">
        <x:v>钱包差异容忍值</x:v>
      </x:c>
      <x:c r="B11" s="84" t="n">
        <x:v>0.1</x:v>
      </x:c>
      <x:c r="C11" s="81"/>
      <x:c r="D11" s="81"/>
      <x:c r="E11" s="81"/>
      <x:c r="F11" s="81"/>
      <x:c r="G11" s="81"/>
      <x:c r="H11" s="8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>
      <x:c r="A13" s="82" t="str">
        <x:v>核心对账输出（自动计算）</x:v>
      </x:c>
      <x:c r="B13" s="82" t="str">
        <x:v>核心对账输出（自动计算）</x:v>
      </x:c>
      <x:c r="C13" s="82" t="str">
        <x:v>核心对账输出（自动计算）</x:v>
      </x:c>
      <x:c r="D13" s="82" t="str">
        <x:v>核心对账输出（自动计算）</x:v>
      </x:c>
      <x:c r="E13" s="82" t="str">
        <x:v>核心对账输出（自动计算）</x:v>
      </x:c>
      <x:c r="F13" s="82" t="str">
        <x:v>核心对账输出（自动计算）</x:v>
      </x:c>
      <x:c r="G13" s="82" t="str">
        <x:v>核心对账输出（自动计算）</x:v>
      </x:c>
      <x:c r="H13" s="82" t="str">
        <x:v>核心对账输出（自动计算）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>
      <x:c r="A14" s="81" t="str">
        <x:v>程序记录卖出数量</x:v>
      </x:c>
      <x:c r="B14" s="88" t="n">
        <x:f>COUNTIF('Steam卖出对账'!$A$5:$A$1204,"&lt;&gt;")</x:f>
        <x:v>0</x:v>
      </x:c>
      <x:c r="C14" s="81"/>
      <x:c r="D14" s="81" t="str">
        <x:v>期末真实价值（预计）</x:v>
      </x:c>
      <x:c r="E14" s="86" t="n">
        <x:f>B8+SUM(B19:B22)-SUM('Steam购买支出'!$G$2:$G$1204)</x:f>
        <x:v>1755.474</x:v>
      </x:c>
      <x:c r="F14" s="81"/>
      <x:c r="G14" s="81"/>
      <x:c r="H14" s="8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>
      <x:c r="A15" s="81" t="str">
        <x:v>Steam官方卖出数量</x:v>
      </x:c>
      <x:c r="B15" s="88" t="n">
        <x:f>COUNTIF('Steam卖出对账'!$F$5:$F$1204,"&lt;&gt;")</x:f>
        <x:v>0</x:v>
      </x:c>
      <x:c r="C15" s="81"/>
      <x:c r="D15" s="81" t="str">
        <x:v>期末综合余额折扣（预计）</x:v>
      </x:c>
      <x:c r="E15" s="87" t="n">
        <x:f>IF(B27=0,0,E14/B27)</x:f>
        <x:v>0.7013703993735316</x:v>
      </x:c>
      <x:c r="F15" s="81"/>
      <x:c r="G15" s="81"/>
      <x:c r="H15" s="8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>
      <x:c r="A16" s="81" t="str">
        <x:v>程序记录Steam税后</x:v>
      </x:c>
      <x:c r="B16" s="86" t="n">
        <x:f>SUM('Steam卖出对账'!$J$2:$J$1204)</x:f>
        <x:v>0</x:v>
      </x:c>
      <x:c r="C16" s="81"/>
      <x:c r="D16" s="81" t="str">
        <x:v>总卖出流向已追踪数量</x:v>
      </x:c>
      <x:c r="E16" s="88" t="n">
        <x:f>SUM('补仓对账'!$Q$2:$Q$1204)</x:f>
        <x:v>0</x:v>
      </x:c>
      <x:c r="F16" s="81"/>
      <x:c r="G16" s="81"/>
      <x:c r="H16" s="8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>
      <x:c r="A17" s="81" t="str">
        <x:v>Steam官方税后入账</x:v>
      </x:c>
      <x:c r="B17" s="86" t="n">
        <x:f>SUM('Steam卖出对账'!$K$2:$K$1204)</x:f>
        <x:v>0</x:v>
      </x:c>
      <x:c r="C17" s="81"/>
      <x:c r="D17" s="81" t="str">
        <x:v>数量未对平</x:v>
      </x:c>
      <x:c r="E17" s="88" t="n">
        <x:f>B15-E16</x:f>
        <x:v>0</x:v>
      </x:c>
      <x:c r="F17" s="81"/>
      <x:c r="G17" s="81"/>
      <x:c r="H17" s="8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>
      <x:c r="A18" s="81" t="str">
        <x:v>卖出金额差异</x:v>
      </x:c>
      <x:c r="B18" s="86" t="n">
        <x:f>B16-B17</x:f>
        <x:v>0</x:v>
      </x:c>
      <x:c r="C18" s="81"/>
      <x:c r="D18" s="81" t="str">
        <x:v>总体检查状态</x:v>
      </x:c>
      <x:c r="E18" s="89" t="str">
        <x:f>'检查'!F14</x:f>
        <x:v>等待结束数据</x:v>
      </x:c>
      <x:c r="F18" s="81"/>
      <x:c r="G18" s="81"/>
      <x:c r="H18" s="8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>
      <x:c r="A19" s="81" t="str">
        <x:v>C5成功补仓实际金额</x:v>
      </x:c>
      <x:c r="B19" s="86" t="n">
        <x:f>SUMIFS('补仓对账'!$P$2:$P$1204,'补仓对账'!$F$2:$F$1204,"C5成功")</x:f>
        <x:v>0</x:v>
      </x:c>
      <x:c r="C19" s="81"/>
      <x:c r="D19" s="81"/>
      <x:c r="E19" s="81"/>
      <x:c r="F19" s="81"/>
      <x:c r="G19" s="81"/>
      <x:c r="H19" s="8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>
      <x:c r="A20" s="81" t="str">
        <x:v>手动完结实际金额</x:v>
      </x:c>
      <x:c r="B20" s="86" t="n">
        <x:f>SUMIFS('补仓对账'!$P$2:$P$1204,'补仓对账'!$F$2:$F$1204,"手动完结")</x:f>
        <x:v>0</x:v>
      </x:c>
      <x:c r="C20" s="81"/>
      <x:c r="D20" s="81"/>
      <x:c r="E20" s="81"/>
      <x:c r="F20" s="81"/>
      <x:c r="G20" s="81"/>
      <x:c r="H20" s="8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>
      <x:c r="A21" s="81" t="str">
        <x:v>C5发货确认中金额</x:v>
      </x:c>
      <x:c r="B21" s="86" t="n">
        <x:f>SUMIFS('补仓对账'!$P$2:$P$1204,'补仓对账'!$F$2:$F$1204,"C5发货确认中")</x:f>
        <x:v>0</x:v>
      </x:c>
      <x:c r="C21" s="81"/>
      <x:c r="D21" s="81"/>
      <x:c r="E21" s="81"/>
      <x:c r="F21" s="81"/>
      <x:c r="G21" s="81"/>
      <x:c r="H21" s="8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>
      <x:c r="A22" s="81" t="str">
        <x:v>待补仓当前冻结金额</x:v>
      </x:c>
      <x:c r="B22" s="86" t="n">
        <x:f>SUMIFS('补仓对账'!$P$2:$P$1204,'补仓对账'!$F$2:$F$1204,"卖出待补仓")</x:f>
        <x:v>0</x:v>
      </x:c>
      <x:c r="C22" s="81"/>
      <x:c r="D22" s="81"/>
      <x:c r="E22" s="81"/>
      <x:c r="F22" s="81"/>
      <x:c r="G22" s="81"/>
      <x:c r="H22" s="8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>
      <x:c r="A23" s="81" t="str">
        <x:v>提交结果待确认金额</x:v>
      </x:c>
      <x:c r="B23" s="86" t="n">
        <x:f>SUMIFS('补仓对账'!$P$2:$P$1204,'补仓对账'!$F$2:$F$1204,"提交结果待确认")</x:f>
        <x:v>0</x:v>
      </x:c>
      <x:c r="C23" s="81"/>
      <x:c r="D23" s="81"/>
      <x:c r="E23" s="81"/>
      <x:c r="F23" s="81"/>
      <x:c r="G23" s="81"/>
      <x:c r="H23" s="8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>
      <x:c r="A24" s="81" t="str">
        <x:v>异常待处理金额</x:v>
      </x:c>
      <x:c r="B24" s="86" t="n">
        <x:f>SUMIFS('补仓对账'!$P$2:$P$1204,'补仓对账'!$F$2:$F$1204,"异常待处理")</x:f>
        <x:v>0</x:v>
      </x:c>
      <x:c r="C24" s="81"/>
      <x:c r="D24" s="81"/>
      <x:c r="E24" s="81"/>
      <x:c r="F24" s="81"/>
      <x:c r="G24" s="81"/>
      <x:c r="H24" s="8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>
      <x:c r="A25" s="81" t="str">
        <x:v>已实现补仓比例</x:v>
      </x:c>
      <x:c r="B25" s="87" t="n">
        <x:f>IF(B17=0,0,(B19+B20)/B17)</x:f>
        <x:v>0</x:v>
      </x:c>
      <x:c r="C25" s="81"/>
      <x:c r="D25" s="81"/>
      <x:c r="E25" s="81"/>
      <x:c r="F25" s="81"/>
      <x:c r="G25" s="81"/>
      <x:c r="H25" s="8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>
      <x:c r="A26" s="81" t="str">
        <x:v>预计最终补仓比例</x:v>
      </x:c>
      <x:c r="B26" s="87" t="n">
        <x:f>IF(B17=0,0,SUM(B19:B22)/B17)</x:f>
        <x:v>0</x:v>
      </x:c>
      <x:c r="C26" s="81"/>
      <x:c r="D26" s="81"/>
      <x:c r="E26" s="81"/>
      <x:c r="F26" s="81"/>
      <x:c r="G26" s="81"/>
      <x:c r="H26" s="8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>
      <x:c r="A27" s="81" t="str">
        <x:v>期末Steam账面余额（推算）</x:v>
      </x:c>
      <x:c r="B27" s="86" t="n">
        <x:f>B7+B17-SUM('Steam购买支出'!$E$2:$E$1204)</x:f>
        <x:v>2502.92</x:v>
      </x:c>
      <x:c r="C27" s="81"/>
      <x:c r="D27" s="81"/>
      <x:c r="E27" s="81"/>
      <x:c r="F27" s="81"/>
      <x:c r="G27" s="81"/>
      <x:c r="H27" s="8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>
      <x:c r="A28" s="81" t="str">
        <x:v>期末Steam账面余额（真实）</x:v>
      </x:c>
      <x:c r="B28" s="86" t="n">
        <x:f>B10</x:f>
        <x:v>0</x:v>
      </x:c>
      <x:c r="C28" s="81"/>
      <x:c r="D28" s="81"/>
      <x:c r="E28" s="81"/>
      <x:c r="F28" s="81"/>
      <x:c r="G28" s="81"/>
      <x:c r="H28" s="8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>
      <x:c r="A29" s="81" t="str">
        <x:v>钱包余额差异</x:v>
      </x:c>
      <x:c r="B29" s="86" t="n">
        <x:f>IF(B28=0,0,B28-B27)</x:f>
        <x:v>0</x:v>
      </x:c>
      <x:c r="C29" s="81"/>
      <x:c r="D29" s="81"/>
      <x:c r="E29" s="81"/>
      <x:c r="F29" s="81"/>
      <x:c r="G29" s="81"/>
      <x:c r="H29" s="8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>
      <x:c r="A32" s="82" t="str">
        <x:v>使用方法与固定口径</x:v>
      </x:c>
      <x:c r="B32" s="82" t="str">
        <x:v>使用方法与固定口径</x:v>
      </x:c>
      <x:c r="C32" s="82" t="str">
        <x:v>使用方法与固定口径</x:v>
      </x:c>
      <x:c r="D32" s="82" t="str">
        <x:v>使用方法与固定口径</x:v>
      </x:c>
      <x:c r="E32" s="82" t="str">
        <x:v>使用方法与固定口径</x:v>
      </x:c>
      <x:c r="F32" s="82" t="str">
        <x:v>使用方法与固定口径</x:v>
      </x:c>
      <x:c r="G32" s="82" t="str">
        <x:v>使用方法与固定口径</x:v>
      </x:c>
      <x:c r="H32" s="82" t="str">
        <x:v>使用方法与固定口径</x:v>
      </x:c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>
      <x:c r="A33" s="50" t="str">
        <x:v>1. Steam卖出必须按官方 steamSoldAt 落入本期，不得使用程序 completed_at。</x:v>
      </x:c>
      <x:c r="B33" s="51"/>
      <x:c r="C33" s="51"/>
      <x:c r="D33" s="51"/>
      <x:c r="E33" s="51"/>
      <x:c r="F33" s="51"/>
      <x:c r="G33" s="51"/>
      <x:c r="H33" s="52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>
      <x:c r="A34" s="53" t="str">
        <x:v>2. 每一笔卖出只保留一个当前有效补仓状态；替换链按 sourceSellOperationId 去重。</x:v>
      </x:c>
      <x:c r="B34" s="54"/>
      <x:c r="C34" s="54"/>
      <x:c r="D34" s="54"/>
      <x:c r="E34" s="54"/>
      <x:c r="F34" s="54"/>
      <x:c r="G34" s="54"/>
      <x:c r="H34" s="55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>
      <x:c r="A35" s="53" t="str">
        <x:v>3. C5成功使用远端订单实际价格；手动完结使用人工填写的实际补仓价。</x:v>
      </x:c>
      <x:c r="B35" s="54"/>
      <x:c r="C35" s="54"/>
      <x:c r="D35" s="54"/>
      <x:c r="E35" s="54"/>
      <x:c r="F35" s="54"/>
      <x:c r="G35" s="54"/>
      <x:c r="H35" s="55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>
      <x:c r="A36" s="53" t="str">
        <x:v>4. 待补仓使用当前生效冻结价格；人工重设后禁止再使用旧补仓价或初始挂刀比例。</x:v>
      </x:c>
      <x:c r="B36" s="54"/>
      <x:c r="C36" s="54"/>
      <x:c r="D36" s="54"/>
      <x:c r="E36" s="54"/>
      <x:c r="F36" s="54"/>
      <x:c r="G36" s="54"/>
      <x:c r="H36" s="55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>
      <x:c r="A37" s="53" t="str">
        <x:v>5. C5失败父订单不计金额；仅成功替换单计一次。提交待确认和异常必须显式保留。</x:v>
      </x:c>
      <x:c r="B37" s="54"/>
      <x:c r="C37" s="54"/>
      <x:c r="D37" s="54"/>
      <x:c r="E37" s="54"/>
      <x:c r="F37" s="54"/>
      <x:c r="G37" s="54"/>
      <x:c r="H37" s="55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>
      <x:c r="A38" s="53" t="str">
        <x:v>6. 数量差为0只证明每笔卖出都有去向；全部实际收货后数量相等，才证明物理库存最终不变。</x:v>
      </x:c>
      <x:c r="B38" s="54"/>
      <x:c r="C38" s="54"/>
      <x:c r="D38" s="54"/>
      <x:c r="E38" s="54"/>
      <x:c r="F38" s="54"/>
      <x:c r="G38" s="54"/>
      <x:c r="H38" s="55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>
      <x:c r="A39" s="56" t="str">
        <x:v>命令：python .\main.py pool guadao-report --from 2026-07-19T15:20 --to 2026-07-28T23:50</x:v>
      </x:c>
      <x:c r="B39" s="57"/>
      <x:c r="C39" s="57"/>
      <x:c r="D39" s="57"/>
      <x:c r="E39" s="57"/>
      <x:c r="F39" s="57"/>
      <x:c r="G39" s="57"/>
      <x:c r="H39" s="58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>
      <x:c r="A41" s="61" t="str">
        <x:v>颜色说明：蓝字=需要人工填写；黑字/浅绿=公式；绿色标题=固定业务口径。</x:v>
      </x:c>
      <x:c r="B41" s="61"/>
      <x:c r="C41" s="61"/>
      <x:c r="D41" s="61"/>
      <x:c r="E41" s="61"/>
      <x:c r="F41" s="61"/>
      <x:c r="G41" s="61"/>
      <x:c r="H41" s="61"/>
    </x:row>
    <x:row r="42">
      <x:c r="A42" s="61" t="str">
        <x:v>本模板是审计工具，不触发 Steam/C5 请求，不修改程序状态。</x:v>
      </x:c>
      <x:c r="B42" s="61"/>
      <x:c r="C42" s="61"/>
      <x:c r="D42" s="61"/>
      <x:c r="E42" s="61"/>
      <x:c r="F42" s="61"/>
      <x:c r="G42" s="61"/>
      <x:c r="H42" s="61"/>
    </x:row>
    <x:row r="43">
      <x:c r="A43" s="61" t="str">
        <x:v>结束后必须同时保存五账号官方市场记录、C5买家订单和程序流水快照。</x:v>
      </x:c>
      <x:c r="B43" s="61"/>
      <x:c r="C43" s="61"/>
      <x:c r="D43" s="61"/>
      <x:c r="E43" s="61"/>
      <x:c r="F43" s="61"/>
      <x:c r="G43" s="61"/>
      <x:c r="H43" s="61"/>
    </x:row>
  </x:sheetData>
  <x:mergeCells>
    <x:mergeCell ref="A1:H1"/>
    <x:mergeCell ref="A2:H2"/>
    <x:mergeCell ref="A4:D4"/>
    <x:mergeCell ref="E4:H4"/>
    <x:mergeCell ref="A13:H13"/>
    <x:mergeCell ref="A32:H32"/>
    <x:mergeCell ref="A33:H33"/>
    <x:mergeCell ref="A34:H34"/>
    <x:mergeCell ref="A35:H35"/>
    <x:mergeCell ref="A36:H36"/>
    <x:mergeCell ref="A37:H37"/>
    <x:mergeCell ref="A38:H38"/>
    <x:mergeCell ref="A39:H39"/>
    <x:mergeCell ref="A41:H41"/>
    <x:mergeCell ref="A42:H42"/>
    <x:mergeCell ref="A43:H43"/>
  </x:mergeCells>
  <x:pageMargins left="0.7" right="0.7" top="0.75" bottom="0.75" header="0.3" footer="0.3"/>
  <x:legacyDrawing xmlns:r="http://schemas.openxmlformats.org/officeDocument/2006/relationships" r:id="R1b0c524fd1fa47d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1" hidden="0" customWidth="1"/>
    <x:col min="4" max="4" width="17" hidden="0" customWidth="1"/>
    <x:col min="5" max="5" width="21" hidden="0" customWidth="1"/>
    <x:col min="6" max="6" width="21" hidden="0" customWidth="1"/>
    <x:col min="7" max="7" width="21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8" hidden="0" customWidth="1"/>
    <x:col min="13" max="13" width="12" hidden="0" customWidth="1"/>
    <x:col min="14" max="14" width="11" hidden="0" customWidth="1"/>
    <x:col min="15" max="15" width="28" hidden="0" customWidth="1"/>
  </x:cols>
  <x:sheetData>
    <x:row r="1" ht="30" customHeight="1">
      <x:c r="A1" s="4" t="str">
        <x:v>Steam卖出逐笔对账</x:v>
      </x:c>
      <x:c r="B1" s="4" t="str">
        <x:v>Steam卖出逐笔对账</x:v>
      </x:c>
      <x:c r="C1" s="4" t="str">
        <x:v>Steam卖出逐笔对账</x:v>
      </x:c>
      <x:c r="D1" s="4" t="str">
        <x:v>Steam卖出逐笔对账</x:v>
      </x:c>
      <x:c r="E1" s="4" t="str">
        <x:v>Steam卖出逐笔对账</x:v>
      </x:c>
      <x:c r="F1" s="4" t="str">
        <x:v>Steam卖出逐笔对账</x:v>
      </x:c>
      <x:c r="G1" s="4" t="str">
        <x:v>Steam卖出逐笔对账</x:v>
      </x:c>
      <x:c r="H1" s="4" t="str">
        <x:v>Steam卖出逐笔对账</x:v>
      </x:c>
      <x:c r="I1" s="4" t="str">
        <x:v>Steam卖出逐笔对账</x:v>
      </x:c>
      <x:c r="J1" s="4" t="str">
        <x:v>Steam卖出逐笔对账</x:v>
      </x:c>
      <x:c r="K1" s="4" t="str">
        <x:v>Steam卖出逐笔对账</x:v>
      </x:c>
      <x:c r="L1" s="4" t="str">
        <x:v>Steam卖出逐笔对账</x:v>
      </x:c>
      <x:c r="M1" s="4" t="str">
        <x:v>Steam卖出逐笔对账</x:v>
      </x:c>
      <x:c r="N1" s="4" t="str">
        <x:v>Steam卖出逐笔对账</x:v>
      </x:c>
      <x:c r="O1" s="4" t="str">
        <x:v>Steam卖出逐笔对账</x:v>
      </x:c>
      <x:c r="P1" s="1"/>
      <x:c r="Q1" s="1"/>
      <x:c r="R1" s="1"/>
      <x:c r="S1" s="1"/>
      <x:c r="T1" s="1"/>
      <x:c r="U1" s="1"/>
    </x:row>
    <x:row r="2" ht="30" customHeight="1">
      <x:c r="A2" s="8" t="str">
        <x:v>一行对应一笔本期 Steam 官方卖出；程序记录和官方记录必须通过 listingId / purchaseId 对应。模板预置1200行，实际对账时可继续向下扩展。</x:v>
      </x:c>
      <x:c r="B2" s="8" t="str">
        <x:v>一行对应一笔本期 Steam 官方卖出；程序记录和官方记录必须通过 listingId / purchaseId 对应。模板预置1200行，实际对账时可继续向下扩展。</x:v>
      </x:c>
      <x:c r="C2" s="8" t="str">
        <x:v>一行对应一笔本期 Steam 官方卖出；程序记录和官方记录必须通过 listingId / purchaseId 对应。模板预置1200行，实际对账时可继续向下扩展。</x:v>
      </x:c>
      <x:c r="D2" s="8" t="str">
        <x:v>一行对应一笔本期 Steam 官方卖出；程序记录和官方记录必须通过 listingId / purchaseId 对应。模板预置1200行，实际对账时可继续向下扩展。</x:v>
      </x:c>
      <x:c r="E2" s="8" t="str">
        <x:v>一行对应一笔本期 Steam 官方卖出；程序记录和官方记录必须通过 listingId / purchaseId 对应。模板预置1200行，实际对账时可继续向下扩展。</x:v>
      </x:c>
      <x:c r="F2" s="8" t="str">
        <x:v>一行对应一笔本期 Steam 官方卖出；程序记录和官方记录必须通过 listingId / purchaseId 对应。模板预置1200行，实际对账时可继续向下扩展。</x:v>
      </x:c>
      <x:c r="G2" s="8" t="str">
        <x:v>一行对应一笔本期 Steam 官方卖出；程序记录和官方记录必须通过 listingId / purchaseId 对应。模板预置1200行，实际对账时可继续向下扩展。</x:v>
      </x:c>
      <x:c r="H2" s="8" t="str">
        <x:v>一行对应一笔本期 Steam 官方卖出；程序记录和官方记录必须通过 listingId / purchaseId 对应。模板预置1200行，实际对账时可继续向下扩展。</x:v>
      </x:c>
      <x:c r="I2" s="8" t="str">
        <x:v>一行对应一笔本期 Steam 官方卖出；程序记录和官方记录必须通过 listingId / purchaseId 对应。模板预置1200行，实际对账时可继续向下扩展。</x:v>
      </x:c>
      <x:c r="J2" s="8" t="str">
        <x:v>一行对应一笔本期 Steam 官方卖出；程序记录和官方记录必须通过 listingId / purchaseId 对应。模板预置1200行，实际对账时可继续向下扩展。</x:v>
      </x:c>
      <x:c r="K2" s="8" t="str">
        <x:v>一行对应一笔本期 Steam 官方卖出；程序记录和官方记录必须通过 listingId / purchaseId 对应。模板预置1200行，实际对账时可继续向下扩展。</x:v>
      </x:c>
      <x:c r="L2" s="8" t="str">
        <x:v>一行对应一笔本期 Steam 官方卖出；程序记录和官方记录必须通过 listingId / purchaseId 对应。模板预置1200行，实际对账时可继续向下扩展。</x:v>
      </x:c>
      <x:c r="M2" s="8" t="str">
        <x:v>一行对应一笔本期 Steam 官方卖出；程序记录和官方记录必须通过 listingId / purchaseId 对应。模板预置1200行，实际对账时可继续向下扩展。</x:v>
      </x:c>
      <x:c r="N2" s="8" t="str">
        <x:v>一行对应一笔本期 Steam 官方卖出；程序记录和官方记录必须通过 listingId / purchaseId 对应。模板预置1200行，实际对账时可继续向下扩展。</x:v>
      </x:c>
      <x:c r="O2" s="8" t="str">
        <x:v>一行对应一笔本期 Steam 官方卖出；程序记录和官方记录必须通过 listingId / purchaseId 对应。模板预置1200行，实际对账时可继续向下扩展。</x:v>
      </x:c>
      <x:c r="P2" s="1"/>
      <x:c r="Q2" s="1"/>
      <x:c r="R2" s="1"/>
      <x:c r="S2" s="1"/>
      <x:c r="T2" s="1"/>
      <x:c r="U2" s="1"/>
    </x:row>
    <x:row r="3" ht="3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30" customHeight="1">
      <x:c r="A4" s="26" t="str">
        <x:v>程序卖出流水ID</x:v>
      </x:c>
      <x:c r="B4" s="27" t="str">
        <x:v>Steam账号</x:v>
      </x:c>
      <x:c r="C4" s="27" t="str">
        <x:v>物品</x:v>
      </x:c>
      <x:c r="D4" s="27" t="str">
        <x:v>assetId</x:v>
      </x:c>
      <x:c r="E4" s="27" t="str">
        <x:v>listingId</x:v>
      </x:c>
      <x:c r="F4" s="27" t="str">
        <x:v>官方purchaseId</x:v>
      </x:c>
      <x:c r="G4" s="27" t="str">
        <x:v>官方卖出时间</x:v>
      </x:c>
      <x:c r="H4" s="27" t="str">
        <x:v>程序Steam售价</x:v>
      </x:c>
      <x:c r="I4" s="27" t="str">
        <x:v>官方Steam售价</x:v>
      </x:c>
      <x:c r="J4" s="27" t="str">
        <x:v>程序税后到手</x:v>
      </x:c>
      <x:c r="K4" s="27" t="str">
        <x:v>官方税后到手</x:v>
      </x:c>
      <x:c r="L4" s="27" t="str">
        <x:v>数量</x:v>
      </x:c>
      <x:c r="M4" s="27" t="str">
        <x:v>匹配状态</x:v>
      </x:c>
      <x:c r="N4" s="27" t="str">
        <x:v>重复流水</x:v>
      </x:c>
      <x:c r="O4" s="28" t="str">
        <x:v>备注</x:v>
      </x:c>
      <x:c r="P4" s="1"/>
      <x:c r="Q4" s="1"/>
      <x:c r="R4" s="1"/>
      <x:c r="S4" s="1"/>
      <x:c r="T4" s="1"/>
      <x:c r="U4" s="1"/>
    </x:row>
    <x:row r="5">
      <x:c r="A5" s="90"/>
      <x:c r="B5" s="90"/>
      <x:c r="C5" s="90"/>
      <x:c r="D5" s="90"/>
      <x:c r="E5" s="90"/>
      <x:c r="F5" s="90"/>
      <x:c r="G5" s="91"/>
      <x:c r="H5" s="92"/>
      <x:c r="I5" s="92"/>
      <x:c r="J5" s="92"/>
      <x:c r="K5" s="92"/>
      <x:c r="L5" s="93"/>
      <x:c r="M5" s="89" t="str">
        <x:f>IF(A5="","",IF(AND(E5&lt;&gt;"",F5&lt;&gt;"",ABS(H5-I5)&lt;=0.01,ABS(J5-K5)&lt;=0.01,L5=1),"一致","检查"))</x:f>
      </x:c>
      <x:c r="N5" s="89" t="str">
        <x:f>IF(A5="","",IF(COUNTIF($A$5:$A$1204,A5)&gt;1,"重复",""))</x:f>
      </x:c>
      <x:c r="O5" s="81"/>
      <x:c r="P5" s="1"/>
      <x:c r="Q5" s="1"/>
      <x:c r="R5" s="1"/>
      <x:c r="S5" s="1"/>
      <x:c r="T5" s="1"/>
      <x:c r="U5" s="1"/>
    </x:row>
    <x:row r="6">
      <x:c r="A6" s="90"/>
      <x:c r="B6" s="90"/>
      <x:c r="C6" s="90"/>
      <x:c r="D6" s="90"/>
      <x:c r="E6" s="90"/>
      <x:c r="F6" s="90"/>
      <x:c r="G6" s="91"/>
      <x:c r="H6" s="92"/>
      <x:c r="I6" s="92"/>
      <x:c r="J6" s="92"/>
      <x:c r="K6" s="92"/>
      <x:c r="L6" s="93"/>
      <x:c r="M6" s="89" t="str">
        <x:f>IF(A6="","",IF(AND(E6&lt;&gt;"",F6&lt;&gt;"",ABS(H6-I6)&lt;=0.01,ABS(J6-K6)&lt;=0.01,L6=1),"一致","检查"))</x:f>
      </x:c>
      <x:c r="N6" s="89" t="str">
        <x:f>IF(A6="","",IF(COUNTIF($A$5:$A$1204,A6)&gt;1,"重复",""))</x:f>
      </x:c>
      <x:c r="O6" s="81"/>
      <x:c r="P6" s="1"/>
      <x:c r="Q6" s="1"/>
      <x:c r="R6" s="1"/>
      <x:c r="S6" s="1"/>
      <x:c r="T6" s="1"/>
      <x:c r="U6" s="1"/>
    </x:row>
    <x:row r="7">
      <x:c r="A7" s="90"/>
      <x:c r="B7" s="90"/>
      <x:c r="C7" s="90"/>
      <x:c r="D7" s="90"/>
      <x:c r="E7" s="90"/>
      <x:c r="F7" s="90"/>
      <x:c r="G7" s="91"/>
      <x:c r="H7" s="92"/>
      <x:c r="I7" s="92"/>
      <x:c r="J7" s="92"/>
      <x:c r="K7" s="92"/>
      <x:c r="L7" s="93"/>
      <x:c r="M7" s="89" t="str">
        <x:f>IF(A7="","",IF(AND(E7&lt;&gt;"",F7&lt;&gt;"",ABS(H7-I7)&lt;=0.01,ABS(J7-K7)&lt;=0.01,L7=1),"一致","检查"))</x:f>
      </x:c>
      <x:c r="N7" s="89" t="str">
        <x:f>IF(A7="","",IF(COUNTIF($A$5:$A$1204,A7)&gt;1,"重复",""))</x:f>
      </x:c>
      <x:c r="O7" s="81"/>
      <x:c r="P7" s="1"/>
      <x:c r="Q7" s="1"/>
      <x:c r="R7" s="1"/>
      <x:c r="S7" s="1"/>
      <x:c r="T7" s="1"/>
      <x:c r="U7" s="1"/>
    </x:row>
    <x:row r="8">
      <x:c r="A8" s="90"/>
      <x:c r="B8" s="90"/>
      <x:c r="C8" s="90"/>
      <x:c r="D8" s="90"/>
      <x:c r="E8" s="90"/>
      <x:c r="F8" s="90"/>
      <x:c r="G8" s="91"/>
      <x:c r="H8" s="92"/>
      <x:c r="I8" s="92"/>
      <x:c r="J8" s="92"/>
      <x:c r="K8" s="92"/>
      <x:c r="L8" s="93"/>
      <x:c r="M8" s="89" t="str">
        <x:f>IF(A8="","",IF(AND(E8&lt;&gt;"",F8&lt;&gt;"",ABS(H8-I8)&lt;=0.01,ABS(J8-K8)&lt;=0.01,L8=1),"一致","检查"))</x:f>
      </x:c>
      <x:c r="N8" s="89" t="str">
        <x:f>IF(A8="","",IF(COUNTIF($A$5:$A$1204,A8)&gt;1,"重复",""))</x:f>
      </x:c>
      <x:c r="O8" s="81"/>
      <x:c r="P8" s="1"/>
      <x:c r="Q8" s="1"/>
      <x:c r="R8" s="1"/>
      <x:c r="S8" s="1"/>
      <x:c r="T8" s="1"/>
      <x:c r="U8" s="1"/>
    </x:row>
    <x:row r="9">
      <x:c r="A9" s="90"/>
      <x:c r="B9" s="90"/>
      <x:c r="C9" s="90"/>
      <x:c r="D9" s="90"/>
      <x:c r="E9" s="90"/>
      <x:c r="F9" s="90"/>
      <x:c r="G9" s="91"/>
      <x:c r="H9" s="92"/>
      <x:c r="I9" s="92"/>
      <x:c r="J9" s="92"/>
      <x:c r="K9" s="92"/>
      <x:c r="L9" s="93"/>
      <x:c r="M9" s="89" t="str">
        <x:f>IF(A9="","",IF(AND(E9&lt;&gt;"",F9&lt;&gt;"",ABS(H9-I9)&lt;=0.01,ABS(J9-K9)&lt;=0.01,L9=1),"一致","检查"))</x:f>
      </x:c>
      <x:c r="N9" s="89" t="str">
        <x:f>IF(A9="","",IF(COUNTIF($A$5:$A$1204,A9)&gt;1,"重复",""))</x:f>
      </x:c>
      <x:c r="O9" s="81"/>
      <x:c r="P9" s="1"/>
      <x:c r="Q9" s="1"/>
      <x:c r="R9" s="1"/>
      <x:c r="S9" s="1"/>
      <x:c r="T9" s="1"/>
      <x:c r="U9" s="1"/>
    </x:row>
    <x:row r="10">
      <x:c r="A10" s="90"/>
      <x:c r="B10" s="90"/>
      <x:c r="C10" s="90"/>
      <x:c r="D10" s="90"/>
      <x:c r="E10" s="90"/>
      <x:c r="F10" s="90"/>
      <x:c r="G10" s="91"/>
      <x:c r="H10" s="92"/>
      <x:c r="I10" s="92"/>
      <x:c r="J10" s="92"/>
      <x:c r="K10" s="92"/>
      <x:c r="L10" s="93"/>
      <x:c r="M10" s="89" t="str">
        <x:f>IF(A10="","",IF(AND(E10&lt;&gt;"",F10&lt;&gt;"",ABS(H10-I10)&lt;=0.01,ABS(J10-K10)&lt;=0.01,L10=1),"一致","检查"))</x:f>
      </x:c>
      <x:c r="N10" s="89" t="str">
        <x:f>IF(A10="","",IF(COUNTIF($A$5:$A$1204,A10)&gt;1,"重复",""))</x:f>
      </x:c>
      <x:c r="O10" s="81"/>
      <x:c r="P10" s="1"/>
      <x:c r="Q10" s="1"/>
      <x:c r="R10" s="1"/>
      <x:c r="S10" s="1"/>
      <x:c r="T10" s="1"/>
      <x:c r="U10" s="1"/>
    </x:row>
    <x:row r="11">
      <x:c r="A11" s="90"/>
      <x:c r="B11" s="90"/>
      <x:c r="C11" s="90"/>
      <x:c r="D11" s="90"/>
      <x:c r="E11" s="90"/>
      <x:c r="F11" s="90"/>
      <x:c r="G11" s="91"/>
      <x:c r="H11" s="92"/>
      <x:c r="I11" s="92"/>
      <x:c r="J11" s="92"/>
      <x:c r="K11" s="92"/>
      <x:c r="L11" s="93"/>
      <x:c r="M11" s="89" t="str">
        <x:f>IF(A11="","",IF(AND(E11&lt;&gt;"",F11&lt;&gt;"",ABS(H11-I11)&lt;=0.01,ABS(J11-K11)&lt;=0.01,L11=1),"一致","检查"))</x:f>
      </x:c>
      <x:c r="N11" s="89" t="str">
        <x:f>IF(A11="","",IF(COUNTIF($A$5:$A$1204,A11)&gt;1,"重复",""))</x:f>
      </x:c>
      <x:c r="O11" s="81"/>
      <x:c r="P11" s="1"/>
      <x:c r="Q11" s="1"/>
      <x:c r="R11" s="1"/>
      <x:c r="S11" s="1"/>
      <x:c r="T11" s="1"/>
      <x:c r="U11" s="1"/>
    </x:row>
    <x:row r="12">
      <x:c r="A12" s="90"/>
      <x:c r="B12" s="90"/>
      <x:c r="C12" s="90"/>
      <x:c r="D12" s="90"/>
      <x:c r="E12" s="90"/>
      <x:c r="F12" s="90"/>
      <x:c r="G12" s="91"/>
      <x:c r="H12" s="92"/>
      <x:c r="I12" s="92"/>
      <x:c r="J12" s="92"/>
      <x:c r="K12" s="92"/>
      <x:c r="L12" s="93"/>
      <x:c r="M12" s="89" t="str">
        <x:f>IF(A12="","",IF(AND(E12&lt;&gt;"",F12&lt;&gt;"",ABS(H12-I12)&lt;=0.01,ABS(J12-K12)&lt;=0.01,L12=1),"一致","检查"))</x:f>
      </x:c>
      <x:c r="N12" s="89" t="str">
        <x:f>IF(A12="","",IF(COUNTIF($A$5:$A$1204,A12)&gt;1,"重复",""))</x:f>
      </x:c>
      <x:c r="O12" s="81"/>
      <x:c r="P12" s="1"/>
      <x:c r="Q12" s="1"/>
      <x:c r="R12" s="1"/>
      <x:c r="S12" s="1"/>
      <x:c r="T12" s="1"/>
      <x:c r="U12" s="1"/>
    </x:row>
    <x:row r="13">
      <x:c r="A13" s="90"/>
      <x:c r="B13" s="90"/>
      <x:c r="C13" s="90"/>
      <x:c r="D13" s="90"/>
      <x:c r="E13" s="90"/>
      <x:c r="F13" s="90"/>
      <x:c r="G13" s="91"/>
      <x:c r="H13" s="92"/>
      <x:c r="I13" s="92"/>
      <x:c r="J13" s="92"/>
      <x:c r="K13" s="92"/>
      <x:c r="L13" s="93"/>
      <x:c r="M13" s="89" t="str">
        <x:f>IF(A13="","",IF(AND(E13&lt;&gt;"",F13&lt;&gt;"",ABS(H13-I13)&lt;=0.01,ABS(J13-K13)&lt;=0.01,L13=1),"一致","检查"))</x:f>
      </x:c>
      <x:c r="N13" s="89" t="str">
        <x:f>IF(A13="","",IF(COUNTIF($A$5:$A$1204,A13)&gt;1,"重复",""))</x:f>
      </x:c>
      <x:c r="O13" s="81"/>
      <x:c r="P13" s="1"/>
      <x:c r="Q13" s="1"/>
      <x:c r="R13" s="1"/>
      <x:c r="S13" s="1"/>
      <x:c r="T13" s="1"/>
      <x:c r="U13" s="1"/>
    </x:row>
    <x:row r="14">
      <x:c r="A14" s="90"/>
      <x:c r="B14" s="90"/>
      <x:c r="C14" s="90"/>
      <x:c r="D14" s="90"/>
      <x:c r="E14" s="90"/>
      <x:c r="F14" s="90"/>
      <x:c r="G14" s="91"/>
      <x:c r="H14" s="92"/>
      <x:c r="I14" s="92"/>
      <x:c r="J14" s="92"/>
      <x:c r="K14" s="92"/>
      <x:c r="L14" s="93"/>
      <x:c r="M14" s="89" t="str">
        <x:f>IF(A14="","",IF(AND(E14&lt;&gt;"",F14&lt;&gt;"",ABS(H14-I14)&lt;=0.01,ABS(J14-K14)&lt;=0.01,L14=1),"一致","检查"))</x:f>
      </x:c>
      <x:c r="N14" s="89" t="str">
        <x:f>IF(A14="","",IF(COUNTIF($A$5:$A$1204,A14)&gt;1,"重复",""))</x:f>
      </x:c>
      <x:c r="O14" s="81"/>
      <x:c r="P14" s="1"/>
      <x:c r="Q14" s="1"/>
      <x:c r="R14" s="1"/>
      <x:c r="S14" s="1"/>
      <x:c r="T14" s="1"/>
      <x:c r="U14" s="1"/>
    </x:row>
    <x:row r="15">
      <x:c r="A15" s="90"/>
      <x:c r="B15" s="90"/>
      <x:c r="C15" s="90"/>
      <x:c r="D15" s="90"/>
      <x:c r="E15" s="90"/>
      <x:c r="F15" s="90"/>
      <x:c r="G15" s="91"/>
      <x:c r="H15" s="92"/>
      <x:c r="I15" s="92"/>
      <x:c r="J15" s="92"/>
      <x:c r="K15" s="92"/>
      <x:c r="L15" s="93"/>
      <x:c r="M15" s="89" t="str">
        <x:f>IF(A15="","",IF(AND(E15&lt;&gt;"",F15&lt;&gt;"",ABS(H15-I15)&lt;=0.01,ABS(J15-K15)&lt;=0.01,L15=1),"一致","检查"))</x:f>
      </x:c>
      <x:c r="N15" s="89" t="str">
        <x:f>IF(A15="","",IF(COUNTIF($A$5:$A$1204,A15)&gt;1,"重复",""))</x:f>
      </x:c>
      <x:c r="O15" s="81"/>
      <x:c r="P15" s="1"/>
      <x:c r="Q15" s="1"/>
      <x:c r="R15" s="1"/>
      <x:c r="S15" s="1"/>
      <x:c r="T15" s="1"/>
      <x:c r="U15" s="1"/>
    </x:row>
    <x:row r="16">
      <x:c r="A16" s="90"/>
      <x:c r="B16" s="90"/>
      <x:c r="C16" s="90"/>
      <x:c r="D16" s="90"/>
      <x:c r="E16" s="90"/>
      <x:c r="F16" s="90"/>
      <x:c r="G16" s="91"/>
      <x:c r="H16" s="92"/>
      <x:c r="I16" s="92"/>
      <x:c r="J16" s="92"/>
      <x:c r="K16" s="92"/>
      <x:c r="L16" s="93"/>
      <x:c r="M16" s="89" t="str">
        <x:f>IF(A16="","",IF(AND(E16&lt;&gt;"",F16&lt;&gt;"",ABS(H16-I16)&lt;=0.01,ABS(J16-K16)&lt;=0.01,L16=1),"一致","检查"))</x:f>
      </x:c>
      <x:c r="N16" s="89" t="str">
        <x:f>IF(A16="","",IF(COUNTIF($A$5:$A$1204,A16)&gt;1,"重复",""))</x:f>
      </x:c>
      <x:c r="O16" s="81"/>
      <x:c r="P16" s="1"/>
      <x:c r="Q16" s="1"/>
      <x:c r="R16" s="1"/>
      <x:c r="S16" s="1"/>
      <x:c r="T16" s="1"/>
      <x:c r="U16" s="1"/>
    </x:row>
    <x:row r="17">
      <x:c r="A17" s="90"/>
      <x:c r="B17" s="90"/>
      <x:c r="C17" s="90"/>
      <x:c r="D17" s="90"/>
      <x:c r="E17" s="90"/>
      <x:c r="F17" s="90"/>
      <x:c r="G17" s="91"/>
      <x:c r="H17" s="92"/>
      <x:c r="I17" s="92"/>
      <x:c r="J17" s="92"/>
      <x:c r="K17" s="92"/>
      <x:c r="L17" s="93"/>
      <x:c r="M17" s="89" t="str">
        <x:f>IF(A17="","",IF(AND(E17&lt;&gt;"",F17&lt;&gt;"",ABS(H17-I17)&lt;=0.01,ABS(J17-K17)&lt;=0.01,L17=1),"一致","检查"))</x:f>
      </x:c>
      <x:c r="N17" s="89" t="str">
        <x:f>IF(A17="","",IF(COUNTIF($A$5:$A$1204,A17)&gt;1,"重复",""))</x:f>
      </x:c>
      <x:c r="O17" s="81"/>
      <x:c r="P17" s="1"/>
      <x:c r="Q17" s="1"/>
      <x:c r="R17" s="1"/>
      <x:c r="S17" s="1"/>
      <x:c r="T17" s="1"/>
      <x:c r="U17" s="1"/>
    </x:row>
    <x:row r="18">
      <x:c r="A18" s="90"/>
      <x:c r="B18" s="90"/>
      <x:c r="C18" s="90"/>
      <x:c r="D18" s="90"/>
      <x:c r="E18" s="90"/>
      <x:c r="F18" s="90"/>
      <x:c r="G18" s="91"/>
      <x:c r="H18" s="92"/>
      <x:c r="I18" s="92"/>
      <x:c r="J18" s="92"/>
      <x:c r="K18" s="92"/>
      <x:c r="L18" s="93"/>
      <x:c r="M18" s="89" t="str">
        <x:f>IF(A18="","",IF(AND(E18&lt;&gt;"",F18&lt;&gt;"",ABS(H18-I18)&lt;=0.01,ABS(J18-K18)&lt;=0.01,L18=1),"一致","检查"))</x:f>
      </x:c>
      <x:c r="N18" s="89" t="str">
        <x:f>IF(A18="","",IF(COUNTIF($A$5:$A$1204,A18)&gt;1,"重复",""))</x:f>
      </x:c>
      <x:c r="O18" s="81"/>
      <x:c r="P18" s="1"/>
      <x:c r="Q18" s="1"/>
      <x:c r="R18" s="1"/>
      <x:c r="S18" s="1"/>
      <x:c r="T18" s="1"/>
      <x:c r="U18" s="1"/>
    </x:row>
    <x:row r="19">
      <x:c r="A19" s="90"/>
      <x:c r="B19" s="90"/>
      <x:c r="C19" s="90"/>
      <x:c r="D19" s="90"/>
      <x:c r="E19" s="90"/>
      <x:c r="F19" s="90"/>
      <x:c r="G19" s="91"/>
      <x:c r="H19" s="92"/>
      <x:c r="I19" s="92"/>
      <x:c r="J19" s="92"/>
      <x:c r="K19" s="92"/>
      <x:c r="L19" s="93"/>
      <x:c r="M19" s="89" t="str">
        <x:f>IF(A19="","",IF(AND(E19&lt;&gt;"",F19&lt;&gt;"",ABS(H19-I19)&lt;=0.01,ABS(J19-K19)&lt;=0.01,L19=1),"一致","检查"))</x:f>
      </x:c>
      <x:c r="N19" s="89" t="str">
        <x:f>IF(A19="","",IF(COUNTIF($A$5:$A$1204,A19)&gt;1,"重复",""))</x:f>
      </x:c>
      <x:c r="O19" s="81"/>
      <x:c r="P19" s="1"/>
      <x:c r="Q19" s="1"/>
      <x:c r="R19" s="1"/>
      <x:c r="S19" s="1"/>
      <x:c r="T19" s="1"/>
      <x:c r="U19" s="1"/>
    </x:row>
    <x:row r="20">
      <x:c r="A20" s="90"/>
      <x:c r="B20" s="90"/>
      <x:c r="C20" s="90"/>
      <x:c r="D20" s="90"/>
      <x:c r="E20" s="90"/>
      <x:c r="F20" s="90"/>
      <x:c r="G20" s="91"/>
      <x:c r="H20" s="92"/>
      <x:c r="I20" s="92"/>
      <x:c r="J20" s="92"/>
      <x:c r="K20" s="92"/>
      <x:c r="L20" s="93"/>
      <x:c r="M20" s="89" t="str">
        <x:f>IF(A20="","",IF(AND(E20&lt;&gt;"",F20&lt;&gt;"",ABS(H20-I20)&lt;=0.01,ABS(J20-K20)&lt;=0.01,L20=1),"一致","检查"))</x:f>
      </x:c>
      <x:c r="N20" s="89" t="str">
        <x:f>IF(A20="","",IF(COUNTIF($A$5:$A$1204,A20)&gt;1,"重复",""))</x:f>
      </x:c>
      <x:c r="O20" s="81"/>
      <x:c r="P20" s="1"/>
      <x:c r="Q20" s="1"/>
      <x:c r="R20" s="1"/>
      <x:c r="S20" s="1"/>
      <x:c r="T20" s="1"/>
      <x:c r="U20" s="1"/>
    </x:row>
    <x:row r="21">
      <x:c r="A21" s="12"/>
      <x:c r="B21" s="12"/>
      <x:c r="C21" s="12"/>
      <x:c r="D21" s="12"/>
      <x:c r="E21" s="12"/>
      <x:c r="F21" s="12"/>
      <x:c r="G21" s="65"/>
      <x:c r="H21" s="67"/>
      <x:c r="I21" s="67"/>
      <x:c r="J21" s="67"/>
      <x:c r="K21" s="67"/>
      <x:c r="L21" s="69"/>
      <x:c r="M21" s="15" t="str">
        <x:f>IF(A21="","",IF(AND(E21&lt;&gt;"",F21&lt;&gt;"",ABS(H21-I21)&lt;=0.01,ABS(J21-K21)&lt;=0.01,L21=1),"一致","检查"))</x:f>
      </x:c>
      <x:c r="N21" s="15" t="str">
        <x:f>IF(A21="","",IF(COUNTIF($A$5:$A$1204,A21)&gt;1,"重复",""))</x:f>
      </x:c>
      <x:c r="O21" s="1"/>
      <x:c r="P21" s="1"/>
      <x:c r="Q21" s="1"/>
      <x:c r="R21" s="1"/>
      <x:c r="S21" s="1"/>
      <x:c r="T21" s="1"/>
      <x:c r="U21" s="1"/>
    </x:row>
    <x:row r="22">
      <x:c r="A22" s="12"/>
      <x:c r="B22" s="12"/>
      <x:c r="C22" s="12"/>
      <x:c r="D22" s="12"/>
      <x:c r="E22" s="12"/>
      <x:c r="F22" s="12"/>
      <x:c r="G22" s="65"/>
      <x:c r="H22" s="67"/>
      <x:c r="I22" s="67"/>
      <x:c r="J22" s="67"/>
      <x:c r="K22" s="67"/>
      <x:c r="L22" s="69"/>
      <x:c r="M22" s="15" t="str">
        <x:f>IF(A22="","",IF(AND(E22&lt;&gt;"",F22&lt;&gt;"",ABS(H22-I22)&lt;=0.01,ABS(J22-K22)&lt;=0.01,L22=1),"一致","检查"))</x:f>
      </x:c>
      <x:c r="N22" s="15" t="str">
        <x:f>IF(A22="","",IF(COUNTIF($A$5:$A$1204,A22)&gt;1,"重复",""))</x:f>
      </x:c>
      <x:c r="O22" s="1"/>
      <x:c r="P22" s="1"/>
      <x:c r="Q22" s="1"/>
      <x:c r="R22" s="1"/>
      <x:c r="S22" s="1"/>
      <x:c r="T22" s="1"/>
      <x:c r="U22" s="1"/>
    </x:row>
    <x:row r="23">
      <x:c r="A23" s="12"/>
      <x:c r="B23" s="12"/>
      <x:c r="C23" s="12"/>
      <x:c r="D23" s="12"/>
      <x:c r="E23" s="12"/>
      <x:c r="F23" s="12"/>
      <x:c r="G23" s="65"/>
      <x:c r="H23" s="67"/>
      <x:c r="I23" s="67"/>
      <x:c r="J23" s="67"/>
      <x:c r="K23" s="67"/>
      <x:c r="L23" s="69"/>
      <x:c r="M23" s="15" t="str">
        <x:f>IF(A23="","",IF(AND(E23&lt;&gt;"",F23&lt;&gt;"",ABS(H23-I23)&lt;=0.01,ABS(J23-K23)&lt;=0.01,L23=1),"一致","检查"))</x:f>
      </x:c>
      <x:c r="N23" s="15" t="str">
        <x:f>IF(A23="","",IF(COUNTIF($A$5:$A$1204,A23)&gt;1,"重复",""))</x:f>
      </x:c>
      <x:c r="O23" s="1"/>
      <x:c r="P23" s="1"/>
      <x:c r="Q23" s="1"/>
      <x:c r="R23" s="1"/>
      <x:c r="S23" s="1"/>
      <x:c r="T23" s="1"/>
      <x:c r="U23" s="1"/>
    </x:row>
    <x:row r="24">
      <x:c r="A24" s="12"/>
      <x:c r="B24" s="12"/>
      <x:c r="C24" s="12"/>
      <x:c r="D24" s="12"/>
      <x:c r="E24" s="12"/>
      <x:c r="F24" s="12"/>
      <x:c r="G24" s="65"/>
      <x:c r="H24" s="67"/>
      <x:c r="I24" s="67"/>
      <x:c r="J24" s="67"/>
      <x:c r="K24" s="67"/>
      <x:c r="L24" s="69"/>
      <x:c r="M24" s="15" t="str">
        <x:f>IF(A24="","",IF(AND(E24&lt;&gt;"",F24&lt;&gt;"",ABS(H24-I24)&lt;=0.01,ABS(J24-K24)&lt;=0.01,L24=1),"一致","检查"))</x:f>
      </x:c>
      <x:c r="N24" s="15" t="str">
        <x:f>IF(A24="","",IF(COUNTIF($A$5:$A$1204,A24)&gt;1,"重复",""))</x:f>
      </x:c>
      <x:c r="O24" s="1"/>
      <x:c r="P24" s="1"/>
      <x:c r="Q24" s="1"/>
      <x:c r="R24" s="1"/>
      <x:c r="S24" s="1"/>
      <x:c r="T24" s="1"/>
      <x:c r="U24" s="1"/>
    </x:row>
    <x:row r="25">
      <x:c r="A25" s="12"/>
      <x:c r="B25" s="12"/>
      <x:c r="C25" s="12"/>
      <x:c r="D25" s="12"/>
      <x:c r="E25" s="12"/>
      <x:c r="F25" s="12"/>
      <x:c r="G25" s="65"/>
      <x:c r="H25" s="67"/>
      <x:c r="I25" s="67"/>
      <x:c r="J25" s="67"/>
      <x:c r="K25" s="67"/>
      <x:c r="L25" s="69"/>
      <x:c r="M25" s="15" t="str">
        <x:f>IF(A25="","",IF(AND(E25&lt;&gt;"",F25&lt;&gt;"",ABS(H25-I25)&lt;=0.01,ABS(J25-K25)&lt;=0.01,L25=1),"一致","检查"))</x:f>
      </x:c>
      <x:c r="N25" s="15" t="str">
        <x:f>IF(A25="","",IF(COUNTIF($A$5:$A$1204,A25)&gt;1,"重复",""))</x:f>
      </x:c>
      <x:c r="O25" s="1"/>
      <x:c r="P25" s="1"/>
      <x:c r="Q25" s="1"/>
      <x:c r="R25" s="1"/>
      <x:c r="S25" s="1"/>
      <x:c r="T25" s="1"/>
      <x:c r="U25" s="1"/>
    </x:row>
    <x:row r="26">
      <x:c r="A26" s="12"/>
      <x:c r="B26" s="12"/>
      <x:c r="C26" s="12"/>
      <x:c r="D26" s="12"/>
      <x:c r="E26" s="12"/>
      <x:c r="F26" s="12"/>
      <x:c r="G26" s="65"/>
      <x:c r="H26" s="67"/>
      <x:c r="I26" s="67"/>
      <x:c r="J26" s="67"/>
      <x:c r="K26" s="67"/>
      <x:c r="L26" s="69"/>
      <x:c r="M26" s="15" t="str">
        <x:f>IF(A26="","",IF(AND(E26&lt;&gt;"",F26&lt;&gt;"",ABS(H26-I26)&lt;=0.01,ABS(J26-K26)&lt;=0.01,L26=1),"一致","检查"))</x:f>
      </x:c>
      <x:c r="N26" s="15" t="str">
        <x:f>IF(A26="","",IF(COUNTIF($A$5:$A$1204,A26)&gt;1,"重复",""))</x:f>
      </x:c>
      <x:c r="O26" s="1"/>
      <x:c r="P26" s="1"/>
      <x:c r="Q26" s="1"/>
      <x:c r="R26" s="1"/>
      <x:c r="S26" s="1"/>
      <x:c r="T26" s="1"/>
      <x:c r="U26" s="1"/>
    </x:row>
    <x:row r="27">
      <x:c r="A27" s="12"/>
      <x:c r="B27" s="12"/>
      <x:c r="C27" s="12"/>
      <x:c r="D27" s="12"/>
      <x:c r="E27" s="12"/>
      <x:c r="F27" s="12"/>
      <x:c r="G27" s="65"/>
      <x:c r="H27" s="67"/>
      <x:c r="I27" s="67"/>
      <x:c r="J27" s="67"/>
      <x:c r="K27" s="67"/>
      <x:c r="L27" s="69"/>
      <x:c r="M27" s="15" t="str">
        <x:f>IF(A27="","",IF(AND(E27&lt;&gt;"",F27&lt;&gt;"",ABS(H27-I27)&lt;=0.01,ABS(J27-K27)&lt;=0.01,L27=1),"一致","检查"))</x:f>
      </x:c>
      <x:c r="N27" s="15" t="str">
        <x:f>IF(A27="","",IF(COUNTIF($A$5:$A$1204,A27)&gt;1,"重复",""))</x:f>
      </x:c>
      <x:c r="O27" s="1"/>
      <x:c r="P27" s="1"/>
      <x:c r="Q27" s="1"/>
      <x:c r="R27" s="1"/>
      <x:c r="S27" s="1"/>
      <x:c r="T27" s="1"/>
      <x:c r="U27" s="1"/>
    </x:row>
    <x:row r="28">
      <x:c r="A28" s="12"/>
      <x:c r="B28" s="12"/>
      <x:c r="C28" s="12"/>
      <x:c r="D28" s="12"/>
      <x:c r="E28" s="12"/>
      <x:c r="F28" s="12"/>
      <x:c r="G28" s="65"/>
      <x:c r="H28" s="67"/>
      <x:c r="I28" s="67"/>
      <x:c r="J28" s="67"/>
      <x:c r="K28" s="67"/>
      <x:c r="L28" s="69"/>
      <x:c r="M28" s="15" t="str">
        <x:f>IF(A28="","",IF(AND(E28&lt;&gt;"",F28&lt;&gt;"",ABS(H28-I28)&lt;=0.01,ABS(J28-K28)&lt;=0.01,L28=1),"一致","检查"))</x:f>
      </x:c>
      <x:c r="N28" s="15" t="str">
        <x:f>IF(A28="","",IF(COUNTIF($A$5:$A$1204,A28)&gt;1,"重复",""))</x:f>
      </x:c>
      <x:c r="O28" s="1"/>
      <x:c r="P28" s="1"/>
      <x:c r="Q28" s="1"/>
      <x:c r="R28" s="1"/>
      <x:c r="S28" s="1"/>
      <x:c r="T28" s="1"/>
      <x:c r="U28" s="1"/>
    </x:row>
    <x:row r="29">
      <x:c r="A29" s="12"/>
      <x:c r="B29" s="12"/>
      <x:c r="C29" s="12"/>
      <x:c r="D29" s="12"/>
      <x:c r="E29" s="12"/>
      <x:c r="F29" s="12"/>
      <x:c r="G29" s="65"/>
      <x:c r="H29" s="67"/>
      <x:c r="I29" s="67"/>
      <x:c r="J29" s="67"/>
      <x:c r="K29" s="67"/>
      <x:c r="L29" s="69"/>
      <x:c r="M29" s="15" t="str">
        <x:f>IF(A29="","",IF(AND(E29&lt;&gt;"",F29&lt;&gt;"",ABS(H29-I29)&lt;=0.01,ABS(J29-K29)&lt;=0.01,L29=1),"一致","检查"))</x:f>
      </x:c>
      <x:c r="N29" s="15" t="str">
        <x:f>IF(A29="","",IF(COUNTIF($A$5:$A$1204,A29)&gt;1,"重复",""))</x:f>
      </x:c>
      <x:c r="O29" s="1"/>
      <x:c r="P29" s="1"/>
      <x:c r="Q29" s="1"/>
      <x:c r="R29" s="1"/>
      <x:c r="S29" s="1"/>
      <x:c r="T29" s="1"/>
      <x:c r="U29" s="1"/>
    </x:row>
    <x:row r="30">
      <x:c r="A30" s="12"/>
      <x:c r="B30" s="12"/>
      <x:c r="C30" s="12"/>
      <x:c r="D30" s="12"/>
      <x:c r="E30" s="12"/>
      <x:c r="F30" s="12"/>
      <x:c r="G30" s="65"/>
      <x:c r="H30" s="67"/>
      <x:c r="I30" s="67"/>
      <x:c r="J30" s="67"/>
      <x:c r="K30" s="67"/>
      <x:c r="L30" s="69"/>
      <x:c r="M30" s="15" t="str">
        <x:f>IF(A30="","",IF(AND(E30&lt;&gt;"",F30&lt;&gt;"",ABS(H30-I30)&lt;=0.01,ABS(J30-K30)&lt;=0.01,L30=1),"一致","检查"))</x:f>
      </x:c>
      <x:c r="N30" s="15" t="str">
        <x:f>IF(A30="","",IF(COUNTIF($A$5:$A$1204,A30)&gt;1,"重复",""))</x:f>
      </x:c>
      <x:c r="O30" s="1"/>
      <x:c r="P30" s="1"/>
      <x:c r="Q30" s="1"/>
      <x:c r="R30" s="1"/>
      <x:c r="S30" s="1"/>
      <x:c r="T30" s="1"/>
      <x:c r="U30" s="1"/>
    </x:row>
    <x:row r="31">
      <x:c r="A31" s="12"/>
      <x:c r="B31" s="12"/>
      <x:c r="C31" s="12"/>
      <x:c r="D31" s="12"/>
      <x:c r="E31" s="12"/>
      <x:c r="F31" s="12"/>
      <x:c r="G31" s="65"/>
      <x:c r="H31" s="67"/>
      <x:c r="I31" s="67"/>
      <x:c r="J31" s="67"/>
      <x:c r="K31" s="67"/>
      <x:c r="L31" s="69"/>
      <x:c r="M31" s="15" t="str">
        <x:f>IF(A31="","",IF(AND(E31&lt;&gt;"",F31&lt;&gt;"",ABS(H31-I31)&lt;=0.01,ABS(J31-K31)&lt;=0.01,L31=1),"一致","检查"))</x:f>
      </x:c>
      <x:c r="N31" s="15" t="str">
        <x:f>IF(A31="","",IF(COUNTIF($A$5:$A$1204,A31)&gt;1,"重复",""))</x:f>
      </x:c>
      <x:c r="O31" s="1"/>
      <x:c r="P31" s="1"/>
      <x:c r="Q31" s="1"/>
      <x:c r="R31" s="1"/>
      <x:c r="S31" s="1"/>
      <x:c r="T31" s="1"/>
      <x:c r="U31" s="1"/>
    </x:row>
    <x:row r="32">
      <x:c r="A32" s="12"/>
      <x:c r="B32" s="12"/>
      <x:c r="C32" s="12"/>
      <x:c r="D32" s="12"/>
      <x:c r="E32" s="12"/>
      <x:c r="F32" s="12"/>
      <x:c r="G32" s="65"/>
      <x:c r="H32" s="67"/>
      <x:c r="I32" s="67"/>
      <x:c r="J32" s="67"/>
      <x:c r="K32" s="67"/>
      <x:c r="L32" s="69"/>
      <x:c r="M32" s="15" t="str">
        <x:f>IF(A32="","",IF(AND(E32&lt;&gt;"",F32&lt;&gt;"",ABS(H32-I32)&lt;=0.01,ABS(J32-K32)&lt;=0.01,L32=1),"一致","检查"))</x:f>
      </x:c>
      <x:c r="N32" s="15" t="str">
        <x:f>IF(A32="","",IF(COUNTIF($A$5:$A$1204,A32)&gt;1,"重复",""))</x:f>
      </x:c>
      <x:c r="O32" s="1"/>
      <x:c r="P32" s="1"/>
      <x:c r="Q32" s="1"/>
      <x:c r="R32" s="1"/>
      <x:c r="S32" s="1"/>
      <x:c r="T32" s="1"/>
      <x:c r="U32" s="1"/>
    </x:row>
    <x:row r="33">
      <x:c r="A33" s="12"/>
      <x:c r="B33" s="12"/>
      <x:c r="C33" s="12"/>
      <x:c r="D33" s="12"/>
      <x:c r="E33" s="12"/>
      <x:c r="F33" s="12"/>
      <x:c r="G33" s="65"/>
      <x:c r="H33" s="67"/>
      <x:c r="I33" s="67"/>
      <x:c r="J33" s="67"/>
      <x:c r="K33" s="67"/>
      <x:c r="L33" s="69"/>
      <x:c r="M33" s="15" t="str">
        <x:f>IF(A33="","",IF(AND(E33&lt;&gt;"",F33&lt;&gt;"",ABS(H33-I33)&lt;=0.01,ABS(J33-K33)&lt;=0.01,L33=1),"一致","检查"))</x:f>
      </x:c>
      <x:c r="N33" s="15" t="str">
        <x:f>IF(A33="","",IF(COUNTIF($A$5:$A$1204,A33)&gt;1,"重复",""))</x:f>
      </x:c>
      <x:c r="O33" s="1"/>
      <x:c r="P33" s="1"/>
      <x:c r="Q33" s="1"/>
      <x:c r="R33" s="1"/>
      <x:c r="S33" s="1"/>
      <x:c r="T33" s="1"/>
      <x:c r="U33" s="1"/>
    </x:row>
    <x:row r="34">
      <x:c r="A34" s="12"/>
      <x:c r="B34" s="12"/>
      <x:c r="C34" s="12"/>
      <x:c r="D34" s="12"/>
      <x:c r="E34" s="12"/>
      <x:c r="F34" s="12"/>
      <x:c r="G34" s="65"/>
      <x:c r="H34" s="67"/>
      <x:c r="I34" s="67"/>
      <x:c r="J34" s="67"/>
      <x:c r="K34" s="67"/>
      <x:c r="L34" s="69"/>
      <x:c r="M34" s="15" t="str">
        <x:f>IF(A34="","",IF(AND(E34&lt;&gt;"",F34&lt;&gt;"",ABS(H34-I34)&lt;=0.01,ABS(J34-K34)&lt;=0.01,L34=1),"一致","检查"))</x:f>
      </x:c>
      <x:c r="N34" s="15" t="str">
        <x:f>IF(A34="","",IF(COUNTIF($A$5:$A$1204,A34)&gt;1,"重复",""))</x:f>
      </x:c>
      <x:c r="O34" s="1"/>
      <x:c r="P34" s="1"/>
      <x:c r="Q34" s="1"/>
      <x:c r="R34" s="1"/>
      <x:c r="S34" s="1"/>
      <x:c r="T34" s="1"/>
      <x:c r="U34" s="1"/>
    </x:row>
    <x:row r="35">
      <x:c r="A35" s="12"/>
      <x:c r="B35" s="12"/>
      <x:c r="C35" s="12"/>
      <x:c r="D35" s="12"/>
      <x:c r="E35" s="12"/>
      <x:c r="F35" s="12"/>
      <x:c r="G35" s="65"/>
      <x:c r="H35" s="67"/>
      <x:c r="I35" s="67"/>
      <x:c r="J35" s="67"/>
      <x:c r="K35" s="67"/>
      <x:c r="L35" s="69"/>
      <x:c r="M35" s="15" t="str">
        <x:f>IF(A35="","",IF(AND(E35&lt;&gt;"",F35&lt;&gt;"",ABS(H35-I35)&lt;=0.01,ABS(J35-K35)&lt;=0.01,L35=1),"一致","检查"))</x:f>
      </x:c>
      <x:c r="N35" s="15" t="str">
        <x:f>IF(A35="","",IF(COUNTIF($A$5:$A$1204,A35)&gt;1,"重复",""))</x:f>
      </x:c>
      <x:c r="O35" s="1"/>
      <x:c r="P35" s="1"/>
      <x:c r="Q35" s="1"/>
      <x:c r="R35" s="1"/>
      <x:c r="S35" s="1"/>
      <x:c r="T35" s="1"/>
      <x:c r="U35" s="1"/>
    </x:row>
    <x:row r="36">
      <x:c r="A36" s="12"/>
      <x:c r="B36" s="12"/>
      <x:c r="C36" s="12"/>
      <x:c r="D36" s="12"/>
      <x:c r="E36" s="12"/>
      <x:c r="F36" s="12"/>
      <x:c r="G36" s="65"/>
      <x:c r="H36" s="67"/>
      <x:c r="I36" s="67"/>
      <x:c r="J36" s="67"/>
      <x:c r="K36" s="67"/>
      <x:c r="L36" s="69"/>
      <x:c r="M36" s="15" t="str">
        <x:f>IF(A36="","",IF(AND(E36&lt;&gt;"",F36&lt;&gt;"",ABS(H36-I36)&lt;=0.01,ABS(J36-K36)&lt;=0.01,L36=1),"一致","检查"))</x:f>
      </x:c>
      <x:c r="N36" s="15" t="str">
        <x:f>IF(A36="","",IF(COUNTIF($A$5:$A$1204,A36)&gt;1,"重复",""))</x:f>
      </x:c>
      <x:c r="O36" s="1"/>
      <x:c r="P36" s="1"/>
      <x:c r="Q36" s="1"/>
      <x:c r="R36" s="1"/>
      <x:c r="S36" s="1"/>
      <x:c r="T36" s="1"/>
      <x:c r="U36" s="1"/>
    </x:row>
    <x:row r="37">
      <x:c r="A37" s="12"/>
      <x:c r="B37" s="12"/>
      <x:c r="C37" s="12"/>
      <x:c r="D37" s="12"/>
      <x:c r="E37" s="12"/>
      <x:c r="F37" s="12"/>
      <x:c r="G37" s="65"/>
      <x:c r="H37" s="67"/>
      <x:c r="I37" s="67"/>
      <x:c r="J37" s="67"/>
      <x:c r="K37" s="67"/>
      <x:c r="L37" s="69"/>
      <x:c r="M37" s="15" t="str">
        <x:f>IF(A37="","",IF(AND(E37&lt;&gt;"",F37&lt;&gt;"",ABS(H37-I37)&lt;=0.01,ABS(J37-K37)&lt;=0.01,L37=1),"一致","检查"))</x:f>
      </x:c>
      <x:c r="N37" s="15" t="str">
        <x:f>IF(A37="","",IF(COUNTIF($A$5:$A$1204,A37)&gt;1,"重复",""))</x:f>
      </x:c>
      <x:c r="O37" s="1"/>
      <x:c r="P37" s="1"/>
      <x:c r="Q37" s="1"/>
      <x:c r="R37" s="1"/>
      <x:c r="S37" s="1"/>
      <x:c r="T37" s="1"/>
      <x:c r="U37" s="1"/>
    </x:row>
    <x:row r="38">
      <x:c r="A38" s="12"/>
      <x:c r="B38" s="12"/>
      <x:c r="C38" s="12"/>
      <x:c r="D38" s="12"/>
      <x:c r="E38" s="12"/>
      <x:c r="F38" s="12"/>
      <x:c r="G38" s="65"/>
      <x:c r="H38" s="67"/>
      <x:c r="I38" s="67"/>
      <x:c r="J38" s="67"/>
      <x:c r="K38" s="67"/>
      <x:c r="L38" s="69"/>
      <x:c r="M38" s="15" t="str">
        <x:f>IF(A38="","",IF(AND(E38&lt;&gt;"",F38&lt;&gt;"",ABS(H38-I38)&lt;=0.01,ABS(J38-K38)&lt;=0.01,L38=1),"一致","检查"))</x:f>
      </x:c>
      <x:c r="N38" s="15" t="str">
        <x:f>IF(A38="","",IF(COUNTIF($A$5:$A$1204,A38)&gt;1,"重复",""))</x:f>
      </x:c>
      <x:c r="O38" s="1"/>
      <x:c r="P38" s="1"/>
      <x:c r="Q38" s="1"/>
      <x:c r="R38" s="1"/>
      <x:c r="S38" s="1"/>
      <x:c r="T38" s="1"/>
      <x:c r="U38" s="1"/>
    </x:row>
    <x:row r="39">
      <x:c r="A39" s="12"/>
      <x:c r="B39" s="12"/>
      <x:c r="C39" s="12"/>
      <x:c r="D39" s="12"/>
      <x:c r="E39" s="12"/>
      <x:c r="F39" s="12"/>
      <x:c r="G39" s="65"/>
      <x:c r="H39" s="67"/>
      <x:c r="I39" s="67"/>
      <x:c r="J39" s="67"/>
      <x:c r="K39" s="67"/>
      <x:c r="L39" s="69"/>
      <x:c r="M39" s="15" t="str">
        <x:f>IF(A39="","",IF(AND(E39&lt;&gt;"",F39&lt;&gt;"",ABS(H39-I39)&lt;=0.01,ABS(J39-K39)&lt;=0.01,L39=1),"一致","检查"))</x:f>
      </x:c>
      <x:c r="N39" s="15" t="str">
        <x:f>IF(A39="","",IF(COUNTIF($A$5:$A$1204,A39)&gt;1,"重复",""))</x:f>
      </x:c>
      <x:c r="O39" s="1"/>
      <x:c r="P39" s="1"/>
      <x:c r="Q39" s="1"/>
      <x:c r="R39" s="1"/>
      <x:c r="S39" s="1"/>
      <x:c r="T39" s="1"/>
      <x:c r="U39" s="1"/>
    </x:row>
    <x:row r="40">
      <x:c r="A40" s="12"/>
      <x:c r="B40" s="12"/>
      <x:c r="C40" s="12"/>
      <x:c r="D40" s="12"/>
      <x:c r="E40" s="12"/>
      <x:c r="F40" s="12"/>
      <x:c r="G40" s="65"/>
      <x:c r="H40" s="67"/>
      <x:c r="I40" s="67"/>
      <x:c r="J40" s="67"/>
      <x:c r="K40" s="67"/>
      <x:c r="L40" s="69"/>
      <x:c r="M40" s="15" t="str">
        <x:f>IF(A40="","",IF(AND(E40&lt;&gt;"",F40&lt;&gt;"",ABS(H40-I40)&lt;=0.01,ABS(J40-K40)&lt;=0.01,L40=1),"一致","检查"))</x:f>
      </x:c>
      <x:c r="N40" s="15" t="str">
        <x:f>IF(A40="","",IF(COUNTIF($A$5:$A$1204,A40)&gt;1,"重复",""))</x:f>
      </x:c>
      <x:c r="O40" s="1"/>
      <x:c r="P40" s="1"/>
      <x:c r="Q40" s="1"/>
      <x:c r="R40" s="1"/>
      <x:c r="S40" s="1"/>
      <x:c r="T40" s="1"/>
      <x:c r="U40" s="1"/>
    </x:row>
    <x:row r="41">
      <x:c r="A41" s="62"/>
      <x:c r="B41" s="62"/>
      <x:c r="C41" s="62"/>
      <x:c r="D41" s="62"/>
      <x:c r="E41" s="62"/>
      <x:c r="F41" s="62"/>
      <x:c r="G41" s="66"/>
      <x:c r="H41" s="68"/>
      <x:c r="I41" s="68"/>
      <x:c r="J41" s="68"/>
      <x:c r="K41" s="68"/>
      <x:c r="L41" s="70"/>
      <x:c r="M41" s="64" t="str">
        <x:f>IF(A41="","",IF(AND(E41&lt;&gt;"",F41&lt;&gt;"",ABS(H41-I41)&lt;=0.01,ABS(J41-K41)&lt;=0.01,L41=1),"一致","检查"))</x:f>
      </x:c>
      <x:c r="N41" s="64" t="str">
        <x:f>IF(A41="","",IF(COUNTIF($A$5:$A$1204,A41)&gt;1,"重复",""))</x:f>
      </x:c>
    </x:row>
    <x:row r="42">
      <x:c r="A42" s="62"/>
      <x:c r="B42" s="62"/>
      <x:c r="C42" s="62"/>
      <x:c r="D42" s="62"/>
      <x:c r="E42" s="62"/>
      <x:c r="F42" s="62"/>
      <x:c r="G42" s="66"/>
      <x:c r="H42" s="68"/>
      <x:c r="I42" s="68"/>
      <x:c r="J42" s="68"/>
      <x:c r="K42" s="68"/>
      <x:c r="L42" s="70"/>
      <x:c r="M42" s="64" t="str">
        <x:f>IF(A42="","",IF(AND(E42&lt;&gt;"",F42&lt;&gt;"",ABS(H42-I42)&lt;=0.01,ABS(J42-K42)&lt;=0.01,L42=1),"一致","检查"))</x:f>
      </x:c>
      <x:c r="N42" s="64" t="str">
        <x:f>IF(A42="","",IF(COUNTIF($A$5:$A$1204,A42)&gt;1,"重复",""))</x:f>
      </x:c>
    </x:row>
    <x:row r="43">
      <x:c r="A43" s="62"/>
      <x:c r="B43" s="62"/>
      <x:c r="C43" s="62"/>
      <x:c r="D43" s="62"/>
      <x:c r="E43" s="62"/>
      <x:c r="F43" s="62"/>
      <x:c r="G43" s="66"/>
      <x:c r="H43" s="68"/>
      <x:c r="I43" s="68"/>
      <x:c r="J43" s="68"/>
      <x:c r="K43" s="68"/>
      <x:c r="L43" s="70"/>
      <x:c r="M43" s="64" t="str">
        <x:f>IF(A43="","",IF(AND(E43&lt;&gt;"",F43&lt;&gt;"",ABS(H43-I43)&lt;=0.01,ABS(J43-K43)&lt;=0.01,L43=1),"一致","检查"))</x:f>
      </x:c>
      <x:c r="N43" s="64" t="str">
        <x:f>IF(A43="","",IF(COUNTIF($A$5:$A$1204,A43)&gt;1,"重复",""))</x:f>
      </x:c>
    </x:row>
    <x:row r="44">
      <x:c r="A44" s="62"/>
      <x:c r="B44" s="62"/>
      <x:c r="C44" s="62"/>
      <x:c r="D44" s="62"/>
      <x:c r="E44" s="62"/>
      <x:c r="F44" s="62"/>
      <x:c r="G44" s="66"/>
      <x:c r="H44" s="68"/>
      <x:c r="I44" s="68"/>
      <x:c r="J44" s="68"/>
      <x:c r="K44" s="68"/>
      <x:c r="L44" s="70"/>
      <x:c r="M44" s="64" t="str">
        <x:f>IF(A44="","",IF(AND(E44&lt;&gt;"",F44&lt;&gt;"",ABS(H44-I44)&lt;=0.01,ABS(J44-K44)&lt;=0.01,L44=1),"一致","检查"))</x:f>
      </x:c>
      <x:c r="N44" s="64" t="str">
        <x:f>IF(A44="","",IF(COUNTIF($A$5:$A$1204,A44)&gt;1,"重复",""))</x:f>
      </x:c>
    </x:row>
    <x:row r="45">
      <x:c r="A45" s="62"/>
      <x:c r="B45" s="62"/>
      <x:c r="C45" s="62"/>
      <x:c r="D45" s="62"/>
      <x:c r="E45" s="62"/>
      <x:c r="F45" s="62"/>
      <x:c r="G45" s="66"/>
      <x:c r="H45" s="68"/>
      <x:c r="I45" s="68"/>
      <x:c r="J45" s="68"/>
      <x:c r="K45" s="68"/>
      <x:c r="L45" s="70"/>
      <x:c r="M45" s="64" t="str">
        <x:f>IF(A45="","",IF(AND(E45&lt;&gt;"",F45&lt;&gt;"",ABS(H45-I45)&lt;=0.01,ABS(J45-K45)&lt;=0.01,L45=1),"一致","检查"))</x:f>
      </x:c>
      <x:c r="N45" s="64" t="str">
        <x:f>IF(A45="","",IF(COUNTIF($A$5:$A$1204,A45)&gt;1,"重复",""))</x:f>
      </x:c>
    </x:row>
    <x:row r="46">
      <x:c r="A46" s="62"/>
      <x:c r="B46" s="62"/>
      <x:c r="C46" s="62"/>
      <x:c r="D46" s="62"/>
      <x:c r="E46" s="62"/>
      <x:c r="F46" s="62"/>
      <x:c r="G46" s="66"/>
      <x:c r="H46" s="68"/>
      <x:c r="I46" s="68"/>
      <x:c r="J46" s="68"/>
      <x:c r="K46" s="68"/>
      <x:c r="L46" s="70"/>
      <x:c r="M46" s="64" t="str">
        <x:f>IF(A46="","",IF(AND(E46&lt;&gt;"",F46&lt;&gt;"",ABS(H46-I46)&lt;=0.01,ABS(J46-K46)&lt;=0.01,L46=1),"一致","检查"))</x:f>
      </x:c>
      <x:c r="N46" s="64" t="str">
        <x:f>IF(A46="","",IF(COUNTIF($A$5:$A$1204,A46)&gt;1,"重复",""))</x:f>
      </x:c>
    </x:row>
    <x:row r="47">
      <x:c r="A47" s="62"/>
      <x:c r="B47" s="62"/>
      <x:c r="C47" s="62"/>
      <x:c r="D47" s="62"/>
      <x:c r="E47" s="62"/>
      <x:c r="F47" s="62"/>
      <x:c r="G47" s="66"/>
      <x:c r="H47" s="68"/>
      <x:c r="I47" s="68"/>
      <x:c r="J47" s="68"/>
      <x:c r="K47" s="68"/>
      <x:c r="L47" s="70"/>
      <x:c r="M47" s="64" t="str">
        <x:f>IF(A47="","",IF(AND(E47&lt;&gt;"",F47&lt;&gt;"",ABS(H47-I47)&lt;=0.01,ABS(J47-K47)&lt;=0.01,L47=1),"一致","检查"))</x:f>
      </x:c>
      <x:c r="N47" s="64" t="str">
        <x:f>IF(A47="","",IF(COUNTIF($A$5:$A$1204,A47)&gt;1,"重复",""))</x:f>
      </x:c>
    </x:row>
    <x:row r="48">
      <x:c r="A48" s="62"/>
      <x:c r="B48" s="62"/>
      <x:c r="C48" s="62"/>
      <x:c r="D48" s="62"/>
      <x:c r="E48" s="62"/>
      <x:c r="F48" s="62"/>
      <x:c r="G48" s="66"/>
      <x:c r="H48" s="68"/>
      <x:c r="I48" s="68"/>
      <x:c r="J48" s="68"/>
      <x:c r="K48" s="68"/>
      <x:c r="L48" s="70"/>
      <x:c r="M48" s="64" t="str">
        <x:f>IF(A48="","",IF(AND(E48&lt;&gt;"",F48&lt;&gt;"",ABS(H48-I48)&lt;=0.01,ABS(J48-K48)&lt;=0.01,L48=1),"一致","检查"))</x:f>
      </x:c>
      <x:c r="N48" s="64" t="str">
        <x:f>IF(A48="","",IF(COUNTIF($A$5:$A$1204,A48)&gt;1,"重复",""))</x:f>
      </x:c>
    </x:row>
    <x:row r="49">
      <x:c r="A49" s="62"/>
      <x:c r="B49" s="62"/>
      <x:c r="C49" s="62"/>
      <x:c r="D49" s="62"/>
      <x:c r="E49" s="62"/>
      <x:c r="F49" s="62"/>
      <x:c r="G49" s="66"/>
      <x:c r="H49" s="68"/>
      <x:c r="I49" s="68"/>
      <x:c r="J49" s="68"/>
      <x:c r="K49" s="68"/>
      <x:c r="L49" s="70"/>
      <x:c r="M49" s="64" t="str">
        <x:f>IF(A49="","",IF(AND(E49&lt;&gt;"",F49&lt;&gt;"",ABS(H49-I49)&lt;=0.01,ABS(J49-K49)&lt;=0.01,L49=1),"一致","检查"))</x:f>
      </x:c>
      <x:c r="N49" s="64" t="str">
        <x:f>IF(A49="","",IF(COUNTIF($A$5:$A$1204,A49)&gt;1,"重复",""))</x:f>
      </x:c>
    </x:row>
    <x:row r="50">
      <x:c r="A50" s="62"/>
      <x:c r="B50" s="62"/>
      <x:c r="C50" s="62"/>
      <x:c r="D50" s="62"/>
      <x:c r="E50" s="62"/>
      <x:c r="F50" s="62"/>
      <x:c r="G50" s="66"/>
      <x:c r="H50" s="68"/>
      <x:c r="I50" s="68"/>
      <x:c r="J50" s="68"/>
      <x:c r="K50" s="68"/>
      <x:c r="L50" s="70"/>
      <x:c r="M50" s="64" t="str">
        <x:f>IF(A50="","",IF(AND(E50&lt;&gt;"",F50&lt;&gt;"",ABS(H50-I50)&lt;=0.01,ABS(J50-K50)&lt;=0.01,L50=1),"一致","检查"))</x:f>
      </x:c>
      <x:c r="N50" s="64" t="str">
        <x:f>IF(A50="","",IF(COUNTIF($A$5:$A$1204,A50)&gt;1,"重复",""))</x:f>
      </x:c>
    </x:row>
    <x:row r="51">
      <x:c r="A51" s="62"/>
      <x:c r="B51" s="62"/>
      <x:c r="C51" s="62"/>
      <x:c r="D51" s="62"/>
      <x:c r="E51" s="62"/>
      <x:c r="F51" s="62"/>
      <x:c r="G51" s="66"/>
      <x:c r="H51" s="68"/>
      <x:c r="I51" s="68"/>
      <x:c r="J51" s="68"/>
      <x:c r="K51" s="68"/>
      <x:c r="L51" s="70"/>
      <x:c r="M51" s="64" t="str">
        <x:f>IF(A51="","",IF(AND(E51&lt;&gt;"",F51&lt;&gt;"",ABS(H51-I51)&lt;=0.01,ABS(J51-K51)&lt;=0.01,L51=1),"一致","检查"))</x:f>
      </x:c>
      <x:c r="N51" s="64" t="str">
        <x:f>IF(A51="","",IF(COUNTIF($A$5:$A$1204,A51)&gt;1,"重复",""))</x:f>
      </x:c>
    </x:row>
    <x:row r="52">
      <x:c r="A52" s="62"/>
      <x:c r="B52" s="62"/>
      <x:c r="C52" s="62"/>
      <x:c r="D52" s="62"/>
      <x:c r="E52" s="62"/>
      <x:c r="F52" s="62"/>
      <x:c r="G52" s="66"/>
      <x:c r="H52" s="68"/>
      <x:c r="I52" s="68"/>
      <x:c r="J52" s="68"/>
      <x:c r="K52" s="68"/>
      <x:c r="L52" s="70"/>
      <x:c r="M52" s="64" t="str">
        <x:f>IF(A52="","",IF(AND(E52&lt;&gt;"",F52&lt;&gt;"",ABS(H52-I52)&lt;=0.01,ABS(J52-K52)&lt;=0.01,L52=1),"一致","检查"))</x:f>
      </x:c>
      <x:c r="N52" s="64" t="str">
        <x:f>IF(A52="","",IF(COUNTIF($A$5:$A$1204,A52)&gt;1,"重复",""))</x:f>
      </x:c>
    </x:row>
    <x:row r="53">
      <x:c r="A53" s="62"/>
      <x:c r="B53" s="62"/>
      <x:c r="C53" s="62"/>
      <x:c r="D53" s="62"/>
      <x:c r="E53" s="62"/>
      <x:c r="F53" s="62"/>
      <x:c r="G53" s="66"/>
      <x:c r="H53" s="68"/>
      <x:c r="I53" s="68"/>
      <x:c r="J53" s="68"/>
      <x:c r="K53" s="68"/>
      <x:c r="L53" s="70"/>
      <x:c r="M53" s="64" t="str">
        <x:f>IF(A53="","",IF(AND(E53&lt;&gt;"",F53&lt;&gt;"",ABS(H53-I53)&lt;=0.01,ABS(J53-K53)&lt;=0.01,L53=1),"一致","检查"))</x:f>
      </x:c>
      <x:c r="N53" s="64" t="str">
        <x:f>IF(A53="","",IF(COUNTIF($A$5:$A$1204,A53)&gt;1,"重复",""))</x:f>
      </x:c>
    </x:row>
    <x:row r="54">
      <x:c r="A54" s="62"/>
      <x:c r="B54" s="62"/>
      <x:c r="C54" s="62"/>
      <x:c r="D54" s="62"/>
      <x:c r="E54" s="62"/>
      <x:c r="F54" s="62"/>
      <x:c r="G54" s="66"/>
      <x:c r="H54" s="68"/>
      <x:c r="I54" s="68"/>
      <x:c r="J54" s="68"/>
      <x:c r="K54" s="68"/>
      <x:c r="L54" s="70"/>
      <x:c r="M54" s="64" t="str">
        <x:f>IF(A54="","",IF(AND(E54&lt;&gt;"",F54&lt;&gt;"",ABS(H54-I54)&lt;=0.01,ABS(J54-K54)&lt;=0.01,L54=1),"一致","检查"))</x:f>
      </x:c>
      <x:c r="N54" s="64" t="str">
        <x:f>IF(A54="","",IF(COUNTIF($A$5:$A$1204,A54)&gt;1,"重复",""))</x:f>
      </x:c>
    </x:row>
    <x:row r="55">
      <x:c r="A55" s="62"/>
      <x:c r="B55" s="62"/>
      <x:c r="C55" s="62"/>
      <x:c r="D55" s="62"/>
      <x:c r="E55" s="62"/>
      <x:c r="F55" s="62"/>
      <x:c r="G55" s="66"/>
      <x:c r="H55" s="68"/>
      <x:c r="I55" s="68"/>
      <x:c r="J55" s="68"/>
      <x:c r="K55" s="68"/>
      <x:c r="L55" s="70"/>
      <x:c r="M55" s="64" t="str">
        <x:f>IF(A55="","",IF(AND(E55&lt;&gt;"",F55&lt;&gt;"",ABS(H55-I55)&lt;=0.01,ABS(J55-K55)&lt;=0.01,L55=1),"一致","检查"))</x:f>
      </x:c>
      <x:c r="N55" s="64" t="str">
        <x:f>IF(A55="","",IF(COUNTIF($A$5:$A$1204,A55)&gt;1,"重复",""))</x:f>
      </x:c>
    </x:row>
    <x:row r="56">
      <x:c r="A56" s="62"/>
      <x:c r="B56" s="62"/>
      <x:c r="C56" s="62"/>
      <x:c r="D56" s="62"/>
      <x:c r="E56" s="62"/>
      <x:c r="F56" s="62"/>
      <x:c r="G56" s="66"/>
      <x:c r="H56" s="68"/>
      <x:c r="I56" s="68"/>
      <x:c r="J56" s="68"/>
      <x:c r="K56" s="68"/>
      <x:c r="L56" s="70"/>
      <x:c r="M56" s="64" t="str">
        <x:f>IF(A56="","",IF(AND(E56&lt;&gt;"",F56&lt;&gt;"",ABS(H56-I56)&lt;=0.01,ABS(J56-K56)&lt;=0.01,L56=1),"一致","检查"))</x:f>
      </x:c>
      <x:c r="N56" s="64" t="str">
        <x:f>IF(A56="","",IF(COUNTIF($A$5:$A$1204,A56)&gt;1,"重复",""))</x:f>
      </x:c>
    </x:row>
    <x:row r="57">
      <x:c r="A57" s="62"/>
      <x:c r="B57" s="62"/>
      <x:c r="C57" s="62"/>
      <x:c r="D57" s="62"/>
      <x:c r="E57" s="62"/>
      <x:c r="F57" s="62"/>
      <x:c r="G57" s="66"/>
      <x:c r="H57" s="68"/>
      <x:c r="I57" s="68"/>
      <x:c r="J57" s="68"/>
      <x:c r="K57" s="68"/>
      <x:c r="L57" s="70"/>
      <x:c r="M57" s="64" t="str">
        <x:f>IF(A57="","",IF(AND(E57&lt;&gt;"",F57&lt;&gt;"",ABS(H57-I57)&lt;=0.01,ABS(J57-K57)&lt;=0.01,L57=1),"一致","检查"))</x:f>
      </x:c>
      <x:c r="N57" s="64" t="str">
        <x:f>IF(A57="","",IF(COUNTIF($A$5:$A$1204,A57)&gt;1,"重复",""))</x:f>
      </x:c>
    </x:row>
    <x:row r="58">
      <x:c r="A58" s="62"/>
      <x:c r="B58" s="62"/>
      <x:c r="C58" s="62"/>
      <x:c r="D58" s="62"/>
      <x:c r="E58" s="62"/>
      <x:c r="F58" s="62"/>
      <x:c r="G58" s="66"/>
      <x:c r="H58" s="68"/>
      <x:c r="I58" s="68"/>
      <x:c r="J58" s="68"/>
      <x:c r="K58" s="68"/>
      <x:c r="L58" s="70"/>
      <x:c r="M58" s="64" t="str">
        <x:f>IF(A58="","",IF(AND(E58&lt;&gt;"",F58&lt;&gt;"",ABS(H58-I58)&lt;=0.01,ABS(J58-K58)&lt;=0.01,L58=1),"一致","检查"))</x:f>
      </x:c>
      <x:c r="N58" s="64" t="str">
        <x:f>IF(A58="","",IF(COUNTIF($A$5:$A$1204,A58)&gt;1,"重复",""))</x:f>
      </x:c>
    </x:row>
    <x:row r="59">
      <x:c r="A59" s="62"/>
      <x:c r="B59" s="62"/>
      <x:c r="C59" s="62"/>
      <x:c r="D59" s="62"/>
      <x:c r="E59" s="62"/>
      <x:c r="F59" s="62"/>
      <x:c r="G59" s="66"/>
      <x:c r="H59" s="68"/>
      <x:c r="I59" s="68"/>
      <x:c r="J59" s="68"/>
      <x:c r="K59" s="68"/>
      <x:c r="L59" s="70"/>
      <x:c r="M59" s="64" t="str">
        <x:f>IF(A59="","",IF(AND(E59&lt;&gt;"",F59&lt;&gt;"",ABS(H59-I59)&lt;=0.01,ABS(J59-K59)&lt;=0.01,L59=1),"一致","检查"))</x:f>
      </x:c>
      <x:c r="N59" s="64" t="str">
        <x:f>IF(A59="","",IF(COUNTIF($A$5:$A$1204,A59)&gt;1,"重复",""))</x:f>
      </x:c>
    </x:row>
    <x:row r="60">
      <x:c r="A60" s="62"/>
      <x:c r="B60" s="62"/>
      <x:c r="C60" s="62"/>
      <x:c r="D60" s="62"/>
      <x:c r="E60" s="62"/>
      <x:c r="F60" s="62"/>
      <x:c r="G60" s="66"/>
      <x:c r="H60" s="68"/>
      <x:c r="I60" s="68"/>
      <x:c r="J60" s="68"/>
      <x:c r="K60" s="68"/>
      <x:c r="L60" s="70"/>
      <x:c r="M60" s="64" t="str">
        <x:f>IF(A60="","",IF(AND(E60&lt;&gt;"",F60&lt;&gt;"",ABS(H60-I60)&lt;=0.01,ABS(J60-K60)&lt;=0.01,L60=1),"一致","检查"))</x:f>
      </x:c>
      <x:c r="N60" s="64" t="str">
        <x:f>IF(A60="","",IF(COUNTIF($A$5:$A$1204,A60)&gt;1,"重复",""))</x:f>
      </x:c>
    </x:row>
    <x:row r="61">
      <x:c r="A61" s="62"/>
      <x:c r="B61" s="62"/>
      <x:c r="C61" s="62"/>
      <x:c r="D61" s="62"/>
      <x:c r="E61" s="62"/>
      <x:c r="F61" s="62"/>
      <x:c r="G61" s="66"/>
      <x:c r="H61" s="68"/>
      <x:c r="I61" s="68"/>
      <x:c r="J61" s="68"/>
      <x:c r="K61" s="68"/>
      <x:c r="L61" s="70"/>
      <x:c r="M61" s="64" t="str">
        <x:f>IF(A61="","",IF(AND(E61&lt;&gt;"",F61&lt;&gt;"",ABS(H61-I61)&lt;=0.01,ABS(J61-K61)&lt;=0.01,L61=1),"一致","检查"))</x:f>
      </x:c>
      <x:c r="N61" s="64" t="str">
        <x:f>IF(A61="","",IF(COUNTIF($A$5:$A$1204,A61)&gt;1,"重复",""))</x:f>
      </x:c>
    </x:row>
    <x:row r="62">
      <x:c r="A62" s="62"/>
      <x:c r="B62" s="62"/>
      <x:c r="C62" s="62"/>
      <x:c r="D62" s="62"/>
      <x:c r="E62" s="62"/>
      <x:c r="F62" s="62"/>
      <x:c r="G62" s="66"/>
      <x:c r="H62" s="68"/>
      <x:c r="I62" s="68"/>
      <x:c r="J62" s="68"/>
      <x:c r="K62" s="68"/>
      <x:c r="L62" s="70"/>
      <x:c r="M62" s="64" t="str">
        <x:f>IF(A62="","",IF(AND(E62&lt;&gt;"",F62&lt;&gt;"",ABS(H62-I62)&lt;=0.01,ABS(J62-K62)&lt;=0.01,L62=1),"一致","检查"))</x:f>
      </x:c>
      <x:c r="N62" s="64" t="str">
        <x:f>IF(A62="","",IF(COUNTIF($A$5:$A$1204,A62)&gt;1,"重复",""))</x:f>
      </x:c>
    </x:row>
    <x:row r="63">
      <x:c r="A63" s="62"/>
      <x:c r="B63" s="62"/>
      <x:c r="C63" s="62"/>
      <x:c r="D63" s="62"/>
      <x:c r="E63" s="62"/>
      <x:c r="F63" s="62"/>
      <x:c r="G63" s="66"/>
      <x:c r="H63" s="68"/>
      <x:c r="I63" s="68"/>
      <x:c r="J63" s="68"/>
      <x:c r="K63" s="68"/>
      <x:c r="L63" s="70"/>
      <x:c r="M63" s="64" t="str">
        <x:f>IF(A63="","",IF(AND(E63&lt;&gt;"",F63&lt;&gt;"",ABS(H63-I63)&lt;=0.01,ABS(J63-K63)&lt;=0.01,L63=1),"一致","检查"))</x:f>
      </x:c>
      <x:c r="N63" s="64" t="str">
        <x:f>IF(A63="","",IF(COUNTIF($A$5:$A$1204,A63)&gt;1,"重复",""))</x:f>
      </x:c>
    </x:row>
    <x:row r="64">
      <x:c r="A64" s="62"/>
      <x:c r="B64" s="62"/>
      <x:c r="C64" s="62"/>
      <x:c r="D64" s="62"/>
      <x:c r="E64" s="62"/>
      <x:c r="F64" s="62"/>
      <x:c r="G64" s="66"/>
      <x:c r="H64" s="68"/>
      <x:c r="I64" s="68"/>
      <x:c r="J64" s="68"/>
      <x:c r="K64" s="68"/>
      <x:c r="L64" s="70"/>
      <x:c r="M64" s="64" t="str">
        <x:f>IF(A64="","",IF(AND(E64&lt;&gt;"",F64&lt;&gt;"",ABS(H64-I64)&lt;=0.01,ABS(J64-K64)&lt;=0.01,L64=1),"一致","检查"))</x:f>
      </x:c>
      <x:c r="N64" s="64" t="str">
        <x:f>IF(A64="","",IF(COUNTIF($A$5:$A$1204,A64)&gt;1,"重复",""))</x:f>
      </x:c>
    </x:row>
    <x:row r="65">
      <x:c r="A65" s="62"/>
      <x:c r="B65" s="62"/>
      <x:c r="C65" s="62"/>
      <x:c r="D65" s="62"/>
      <x:c r="E65" s="62"/>
      <x:c r="F65" s="62"/>
      <x:c r="G65" s="66"/>
      <x:c r="H65" s="68"/>
      <x:c r="I65" s="68"/>
      <x:c r="J65" s="68"/>
      <x:c r="K65" s="68"/>
      <x:c r="L65" s="70"/>
      <x:c r="M65" s="64" t="str">
        <x:f>IF(A65="","",IF(AND(E65&lt;&gt;"",F65&lt;&gt;"",ABS(H65-I65)&lt;=0.01,ABS(J65-K65)&lt;=0.01,L65=1),"一致","检查"))</x:f>
      </x:c>
      <x:c r="N65" s="64" t="str">
        <x:f>IF(A65="","",IF(COUNTIF($A$5:$A$1204,A65)&gt;1,"重复",""))</x:f>
      </x:c>
    </x:row>
    <x:row r="66">
      <x:c r="A66" s="62"/>
      <x:c r="B66" s="62"/>
      <x:c r="C66" s="62"/>
      <x:c r="D66" s="62"/>
      <x:c r="E66" s="62"/>
      <x:c r="F66" s="62"/>
      <x:c r="G66" s="66"/>
      <x:c r="H66" s="68"/>
      <x:c r="I66" s="68"/>
      <x:c r="J66" s="68"/>
      <x:c r="K66" s="68"/>
      <x:c r="L66" s="70"/>
      <x:c r="M66" s="64" t="str">
        <x:f>IF(A66="","",IF(AND(E66&lt;&gt;"",F66&lt;&gt;"",ABS(H66-I66)&lt;=0.01,ABS(J66-K66)&lt;=0.01,L66=1),"一致","检查"))</x:f>
      </x:c>
      <x:c r="N66" s="64" t="str">
        <x:f>IF(A66="","",IF(COUNTIF($A$5:$A$1204,A66)&gt;1,"重复",""))</x:f>
      </x:c>
    </x:row>
    <x:row r="67">
      <x:c r="A67" s="62"/>
      <x:c r="B67" s="62"/>
      <x:c r="C67" s="62"/>
      <x:c r="D67" s="62"/>
      <x:c r="E67" s="62"/>
      <x:c r="F67" s="62"/>
      <x:c r="G67" s="66"/>
      <x:c r="H67" s="68"/>
      <x:c r="I67" s="68"/>
      <x:c r="J67" s="68"/>
      <x:c r="K67" s="68"/>
      <x:c r="L67" s="70"/>
      <x:c r="M67" s="64" t="str">
        <x:f>IF(A67="","",IF(AND(E67&lt;&gt;"",F67&lt;&gt;"",ABS(H67-I67)&lt;=0.01,ABS(J67-K67)&lt;=0.01,L67=1),"一致","检查"))</x:f>
      </x:c>
      <x:c r="N67" s="64" t="str">
        <x:f>IF(A67="","",IF(COUNTIF($A$5:$A$1204,A67)&gt;1,"重复",""))</x:f>
      </x:c>
    </x:row>
    <x:row r="68">
      <x:c r="A68" s="62"/>
      <x:c r="B68" s="62"/>
      <x:c r="C68" s="62"/>
      <x:c r="D68" s="62"/>
      <x:c r="E68" s="62"/>
      <x:c r="F68" s="62"/>
      <x:c r="G68" s="66"/>
      <x:c r="H68" s="68"/>
      <x:c r="I68" s="68"/>
      <x:c r="J68" s="68"/>
      <x:c r="K68" s="68"/>
      <x:c r="L68" s="70"/>
      <x:c r="M68" s="64" t="str">
        <x:f>IF(A68="","",IF(AND(E68&lt;&gt;"",F68&lt;&gt;"",ABS(H68-I68)&lt;=0.01,ABS(J68-K68)&lt;=0.01,L68=1),"一致","检查"))</x:f>
      </x:c>
      <x:c r="N68" s="64" t="str">
        <x:f>IF(A68="","",IF(COUNTIF($A$5:$A$1204,A68)&gt;1,"重复",""))</x:f>
      </x:c>
    </x:row>
    <x:row r="69">
      <x:c r="A69" s="62"/>
      <x:c r="B69" s="62"/>
      <x:c r="C69" s="62"/>
      <x:c r="D69" s="62"/>
      <x:c r="E69" s="62"/>
      <x:c r="F69" s="62"/>
      <x:c r="G69" s="66"/>
      <x:c r="H69" s="68"/>
      <x:c r="I69" s="68"/>
      <x:c r="J69" s="68"/>
      <x:c r="K69" s="68"/>
      <x:c r="L69" s="70"/>
      <x:c r="M69" s="64" t="str">
        <x:f>IF(A69="","",IF(AND(E69&lt;&gt;"",F69&lt;&gt;"",ABS(H69-I69)&lt;=0.01,ABS(J69-K69)&lt;=0.01,L69=1),"一致","检查"))</x:f>
      </x:c>
      <x:c r="N69" s="64" t="str">
        <x:f>IF(A69="","",IF(COUNTIF($A$5:$A$1204,A69)&gt;1,"重复",""))</x:f>
      </x:c>
    </x:row>
    <x:row r="70">
      <x:c r="A70" s="62"/>
      <x:c r="B70" s="62"/>
      <x:c r="C70" s="62"/>
      <x:c r="D70" s="62"/>
      <x:c r="E70" s="62"/>
      <x:c r="F70" s="62"/>
      <x:c r="G70" s="66"/>
      <x:c r="H70" s="68"/>
      <x:c r="I70" s="68"/>
      <x:c r="J70" s="68"/>
      <x:c r="K70" s="68"/>
      <x:c r="L70" s="70"/>
      <x:c r="M70" s="64" t="str">
        <x:f>IF(A70="","",IF(AND(E70&lt;&gt;"",F70&lt;&gt;"",ABS(H70-I70)&lt;=0.01,ABS(J70-K70)&lt;=0.01,L70=1),"一致","检查"))</x:f>
      </x:c>
      <x:c r="N70" s="64" t="str">
        <x:f>IF(A70="","",IF(COUNTIF($A$5:$A$1204,A70)&gt;1,"重复",""))</x:f>
      </x:c>
    </x:row>
    <x:row r="71">
      <x:c r="A71" s="62"/>
      <x:c r="B71" s="62"/>
      <x:c r="C71" s="62"/>
      <x:c r="D71" s="62"/>
      <x:c r="E71" s="62"/>
      <x:c r="F71" s="62"/>
      <x:c r="G71" s="66"/>
      <x:c r="H71" s="68"/>
      <x:c r="I71" s="68"/>
      <x:c r="J71" s="68"/>
      <x:c r="K71" s="68"/>
      <x:c r="L71" s="70"/>
      <x:c r="M71" s="64" t="str">
        <x:f>IF(A71="","",IF(AND(E71&lt;&gt;"",F71&lt;&gt;"",ABS(H71-I71)&lt;=0.01,ABS(J71-K71)&lt;=0.01,L71=1),"一致","检查"))</x:f>
      </x:c>
      <x:c r="N71" s="64" t="str">
        <x:f>IF(A71="","",IF(COUNTIF($A$5:$A$1204,A71)&gt;1,"重复",""))</x:f>
      </x:c>
    </x:row>
    <x:row r="72">
      <x:c r="A72" s="62"/>
      <x:c r="B72" s="62"/>
      <x:c r="C72" s="62"/>
      <x:c r="D72" s="62"/>
      <x:c r="E72" s="62"/>
      <x:c r="F72" s="62"/>
      <x:c r="G72" s="66"/>
      <x:c r="H72" s="68"/>
      <x:c r="I72" s="68"/>
      <x:c r="J72" s="68"/>
      <x:c r="K72" s="68"/>
      <x:c r="L72" s="70"/>
      <x:c r="M72" s="64" t="str">
        <x:f>IF(A72="","",IF(AND(E72&lt;&gt;"",F72&lt;&gt;"",ABS(H72-I72)&lt;=0.01,ABS(J72-K72)&lt;=0.01,L72=1),"一致","检查"))</x:f>
      </x:c>
      <x:c r="N72" s="64" t="str">
        <x:f>IF(A72="","",IF(COUNTIF($A$5:$A$1204,A72)&gt;1,"重复",""))</x:f>
      </x:c>
    </x:row>
    <x:row r="73">
      <x:c r="A73" s="62"/>
      <x:c r="B73" s="62"/>
      <x:c r="C73" s="62"/>
      <x:c r="D73" s="62"/>
      <x:c r="E73" s="62"/>
      <x:c r="F73" s="62"/>
      <x:c r="G73" s="66"/>
      <x:c r="H73" s="68"/>
      <x:c r="I73" s="68"/>
      <x:c r="J73" s="68"/>
      <x:c r="K73" s="68"/>
      <x:c r="L73" s="70"/>
      <x:c r="M73" s="64" t="str">
        <x:f>IF(A73="","",IF(AND(E73&lt;&gt;"",F73&lt;&gt;"",ABS(H73-I73)&lt;=0.01,ABS(J73-K73)&lt;=0.01,L73=1),"一致","检查"))</x:f>
      </x:c>
      <x:c r="N73" s="64" t="str">
        <x:f>IF(A73="","",IF(COUNTIF($A$5:$A$1204,A73)&gt;1,"重复",""))</x:f>
      </x:c>
    </x:row>
    <x:row r="74">
      <x:c r="A74" s="62"/>
      <x:c r="B74" s="62"/>
      <x:c r="C74" s="62"/>
      <x:c r="D74" s="62"/>
      <x:c r="E74" s="62"/>
      <x:c r="F74" s="62"/>
      <x:c r="G74" s="66"/>
      <x:c r="H74" s="68"/>
      <x:c r="I74" s="68"/>
      <x:c r="J74" s="68"/>
      <x:c r="K74" s="68"/>
      <x:c r="L74" s="70"/>
      <x:c r="M74" s="64" t="str">
        <x:f>IF(A74="","",IF(AND(E74&lt;&gt;"",F74&lt;&gt;"",ABS(H74-I74)&lt;=0.01,ABS(J74-K74)&lt;=0.01,L74=1),"一致","检查"))</x:f>
      </x:c>
      <x:c r="N74" s="64" t="str">
        <x:f>IF(A74="","",IF(COUNTIF($A$5:$A$1204,A74)&gt;1,"重复",""))</x:f>
      </x:c>
    </x:row>
    <x:row r="75">
      <x:c r="A75" s="62"/>
      <x:c r="B75" s="62"/>
      <x:c r="C75" s="62"/>
      <x:c r="D75" s="62"/>
      <x:c r="E75" s="62"/>
      <x:c r="F75" s="62"/>
      <x:c r="G75" s="66"/>
      <x:c r="H75" s="68"/>
      <x:c r="I75" s="68"/>
      <x:c r="J75" s="68"/>
      <x:c r="K75" s="68"/>
      <x:c r="L75" s="70"/>
      <x:c r="M75" s="64" t="str">
        <x:f>IF(A75="","",IF(AND(E75&lt;&gt;"",F75&lt;&gt;"",ABS(H75-I75)&lt;=0.01,ABS(J75-K75)&lt;=0.01,L75=1),"一致","检查"))</x:f>
      </x:c>
      <x:c r="N75" s="64" t="str">
        <x:f>IF(A75="","",IF(COUNTIF($A$5:$A$1204,A75)&gt;1,"重复",""))</x:f>
      </x:c>
    </x:row>
    <x:row r="76">
      <x:c r="A76" s="62"/>
      <x:c r="B76" s="62"/>
      <x:c r="C76" s="62"/>
      <x:c r="D76" s="62"/>
      <x:c r="E76" s="62"/>
      <x:c r="F76" s="62"/>
      <x:c r="G76" s="66"/>
      <x:c r="H76" s="68"/>
      <x:c r="I76" s="68"/>
      <x:c r="J76" s="68"/>
      <x:c r="K76" s="68"/>
      <x:c r="L76" s="70"/>
      <x:c r="M76" s="64" t="str">
        <x:f>IF(A76="","",IF(AND(E76&lt;&gt;"",F76&lt;&gt;"",ABS(H76-I76)&lt;=0.01,ABS(J76-K76)&lt;=0.01,L76=1),"一致","检查"))</x:f>
      </x:c>
      <x:c r="N76" s="64" t="str">
        <x:f>IF(A76="","",IF(COUNTIF($A$5:$A$1204,A76)&gt;1,"重复",""))</x:f>
      </x:c>
    </x:row>
    <x:row r="77">
      <x:c r="A77" s="62"/>
      <x:c r="B77" s="62"/>
      <x:c r="C77" s="62"/>
      <x:c r="D77" s="62"/>
      <x:c r="E77" s="62"/>
      <x:c r="F77" s="62"/>
      <x:c r="G77" s="66"/>
      <x:c r="H77" s="68"/>
      <x:c r="I77" s="68"/>
      <x:c r="J77" s="68"/>
      <x:c r="K77" s="68"/>
      <x:c r="L77" s="70"/>
      <x:c r="M77" s="64" t="str">
        <x:f>IF(A77="","",IF(AND(E77&lt;&gt;"",F77&lt;&gt;"",ABS(H77-I77)&lt;=0.01,ABS(J77-K77)&lt;=0.01,L77=1),"一致","检查"))</x:f>
      </x:c>
      <x:c r="N77" s="64" t="str">
        <x:f>IF(A77="","",IF(COUNTIF($A$5:$A$1204,A77)&gt;1,"重复",""))</x:f>
      </x:c>
    </x:row>
    <x:row r="78">
      <x:c r="A78" s="62"/>
      <x:c r="B78" s="62"/>
      <x:c r="C78" s="62"/>
      <x:c r="D78" s="62"/>
      <x:c r="E78" s="62"/>
      <x:c r="F78" s="62"/>
      <x:c r="G78" s="66"/>
      <x:c r="H78" s="68"/>
      <x:c r="I78" s="68"/>
      <x:c r="J78" s="68"/>
      <x:c r="K78" s="68"/>
      <x:c r="L78" s="70"/>
      <x:c r="M78" s="64" t="str">
        <x:f>IF(A78="","",IF(AND(E78&lt;&gt;"",F78&lt;&gt;"",ABS(H78-I78)&lt;=0.01,ABS(J78-K78)&lt;=0.01,L78=1),"一致","检查"))</x:f>
      </x:c>
      <x:c r="N78" s="64" t="str">
        <x:f>IF(A78="","",IF(COUNTIF($A$5:$A$1204,A78)&gt;1,"重复",""))</x:f>
      </x:c>
    </x:row>
    <x:row r="79">
      <x:c r="A79" s="62"/>
      <x:c r="B79" s="62"/>
      <x:c r="C79" s="62"/>
      <x:c r="D79" s="62"/>
      <x:c r="E79" s="62"/>
      <x:c r="F79" s="62"/>
      <x:c r="G79" s="66"/>
      <x:c r="H79" s="68"/>
      <x:c r="I79" s="68"/>
      <x:c r="J79" s="68"/>
      <x:c r="K79" s="68"/>
      <x:c r="L79" s="70"/>
      <x:c r="M79" s="64" t="str">
        <x:f>IF(A79="","",IF(AND(E79&lt;&gt;"",F79&lt;&gt;"",ABS(H79-I79)&lt;=0.01,ABS(J79-K79)&lt;=0.01,L79=1),"一致","检查"))</x:f>
      </x:c>
      <x:c r="N79" s="64" t="str">
        <x:f>IF(A79="","",IF(COUNTIF($A$5:$A$1204,A79)&gt;1,"重复",""))</x:f>
      </x:c>
    </x:row>
    <x:row r="80">
      <x:c r="A80" s="62"/>
      <x:c r="B80" s="62"/>
      <x:c r="C80" s="62"/>
      <x:c r="D80" s="62"/>
      <x:c r="E80" s="62"/>
      <x:c r="F80" s="62"/>
      <x:c r="G80" s="66"/>
      <x:c r="H80" s="68"/>
      <x:c r="I80" s="68"/>
      <x:c r="J80" s="68"/>
      <x:c r="K80" s="68"/>
      <x:c r="L80" s="70"/>
      <x:c r="M80" s="64" t="str">
        <x:f>IF(A80="","",IF(AND(E80&lt;&gt;"",F80&lt;&gt;"",ABS(H80-I80)&lt;=0.01,ABS(J80-K80)&lt;=0.01,L80=1),"一致","检查"))</x:f>
      </x:c>
      <x:c r="N80" s="64" t="str">
        <x:f>IF(A80="","",IF(COUNTIF($A$5:$A$1204,A80)&gt;1,"重复",""))</x:f>
      </x:c>
    </x:row>
    <x:row r="81">
      <x:c r="A81" s="62"/>
      <x:c r="B81" s="62"/>
      <x:c r="C81" s="62"/>
      <x:c r="D81" s="62"/>
      <x:c r="E81" s="62"/>
      <x:c r="F81" s="62"/>
      <x:c r="G81" s="66"/>
      <x:c r="H81" s="68"/>
      <x:c r="I81" s="68"/>
      <x:c r="J81" s="68"/>
      <x:c r="K81" s="68"/>
      <x:c r="L81" s="70"/>
      <x:c r="M81" s="64" t="str">
        <x:f>IF(A81="","",IF(AND(E81&lt;&gt;"",F81&lt;&gt;"",ABS(H81-I81)&lt;=0.01,ABS(J81-K81)&lt;=0.01,L81=1),"一致","检查"))</x:f>
      </x:c>
      <x:c r="N81" s="64" t="str">
        <x:f>IF(A81="","",IF(COUNTIF($A$5:$A$1204,A81)&gt;1,"重复",""))</x:f>
      </x:c>
    </x:row>
    <x:row r="82">
      <x:c r="A82" s="62"/>
      <x:c r="B82" s="62"/>
      <x:c r="C82" s="62"/>
      <x:c r="D82" s="62"/>
      <x:c r="E82" s="62"/>
      <x:c r="F82" s="62"/>
      <x:c r="G82" s="66"/>
      <x:c r="H82" s="68"/>
      <x:c r="I82" s="68"/>
      <x:c r="J82" s="68"/>
      <x:c r="K82" s="68"/>
      <x:c r="L82" s="70"/>
      <x:c r="M82" s="64" t="str">
        <x:f>IF(A82="","",IF(AND(E82&lt;&gt;"",F82&lt;&gt;"",ABS(H82-I82)&lt;=0.01,ABS(J82-K82)&lt;=0.01,L82=1),"一致","检查"))</x:f>
      </x:c>
      <x:c r="N82" s="64" t="str">
        <x:f>IF(A82="","",IF(COUNTIF($A$5:$A$1204,A82)&gt;1,"重复",""))</x:f>
      </x:c>
    </x:row>
    <x:row r="83">
      <x:c r="A83" s="62"/>
      <x:c r="B83" s="62"/>
      <x:c r="C83" s="62"/>
      <x:c r="D83" s="62"/>
      <x:c r="E83" s="62"/>
      <x:c r="F83" s="62"/>
      <x:c r="G83" s="66"/>
      <x:c r="H83" s="68"/>
      <x:c r="I83" s="68"/>
      <x:c r="J83" s="68"/>
      <x:c r="K83" s="68"/>
      <x:c r="L83" s="70"/>
      <x:c r="M83" s="64" t="str">
        <x:f>IF(A83="","",IF(AND(E83&lt;&gt;"",F83&lt;&gt;"",ABS(H83-I83)&lt;=0.01,ABS(J83-K83)&lt;=0.01,L83=1),"一致","检查"))</x:f>
      </x:c>
      <x:c r="N83" s="64" t="str">
        <x:f>IF(A83="","",IF(COUNTIF($A$5:$A$1204,A83)&gt;1,"重复",""))</x:f>
      </x:c>
    </x:row>
    <x:row r="84">
      <x:c r="A84" s="62"/>
      <x:c r="B84" s="62"/>
      <x:c r="C84" s="62"/>
      <x:c r="D84" s="62"/>
      <x:c r="E84" s="62"/>
      <x:c r="F84" s="62"/>
      <x:c r="G84" s="66"/>
      <x:c r="H84" s="68"/>
      <x:c r="I84" s="68"/>
      <x:c r="J84" s="68"/>
      <x:c r="K84" s="68"/>
      <x:c r="L84" s="70"/>
      <x:c r="M84" s="64" t="str">
        <x:f>IF(A84="","",IF(AND(E84&lt;&gt;"",F84&lt;&gt;"",ABS(H84-I84)&lt;=0.01,ABS(J84-K84)&lt;=0.01,L84=1),"一致","检查"))</x:f>
      </x:c>
      <x:c r="N84" s="64" t="str">
        <x:f>IF(A84="","",IF(COUNTIF($A$5:$A$1204,A84)&gt;1,"重复",""))</x:f>
      </x:c>
    </x:row>
    <x:row r="85">
      <x:c r="A85" s="62"/>
      <x:c r="B85" s="62"/>
      <x:c r="C85" s="62"/>
      <x:c r="D85" s="62"/>
      <x:c r="E85" s="62"/>
      <x:c r="F85" s="62"/>
      <x:c r="G85" s="66"/>
      <x:c r="H85" s="68"/>
      <x:c r="I85" s="68"/>
      <x:c r="J85" s="68"/>
      <x:c r="K85" s="68"/>
      <x:c r="L85" s="70"/>
      <x:c r="M85" s="64" t="str">
        <x:f>IF(A85="","",IF(AND(E85&lt;&gt;"",F85&lt;&gt;"",ABS(H85-I85)&lt;=0.01,ABS(J85-K85)&lt;=0.01,L85=1),"一致","检查"))</x:f>
      </x:c>
      <x:c r="N85" s="64" t="str">
        <x:f>IF(A85="","",IF(COUNTIF($A$5:$A$1204,A85)&gt;1,"重复",""))</x:f>
      </x:c>
    </x:row>
    <x:row r="86">
      <x:c r="A86" s="62"/>
      <x:c r="B86" s="62"/>
      <x:c r="C86" s="62"/>
      <x:c r="D86" s="62"/>
      <x:c r="E86" s="62"/>
      <x:c r="F86" s="62"/>
      <x:c r="G86" s="66"/>
      <x:c r="H86" s="68"/>
      <x:c r="I86" s="68"/>
      <x:c r="J86" s="68"/>
      <x:c r="K86" s="68"/>
      <x:c r="L86" s="70"/>
      <x:c r="M86" s="64" t="str">
        <x:f>IF(A86="","",IF(AND(E86&lt;&gt;"",F86&lt;&gt;"",ABS(H86-I86)&lt;=0.01,ABS(J86-K86)&lt;=0.01,L86=1),"一致","检查"))</x:f>
      </x:c>
      <x:c r="N86" s="64" t="str">
        <x:f>IF(A86="","",IF(COUNTIF($A$5:$A$1204,A86)&gt;1,"重复",""))</x:f>
      </x:c>
    </x:row>
    <x:row r="87">
      <x:c r="A87" s="62"/>
      <x:c r="B87" s="62"/>
      <x:c r="C87" s="62"/>
      <x:c r="D87" s="62"/>
      <x:c r="E87" s="62"/>
      <x:c r="F87" s="62"/>
      <x:c r="G87" s="66"/>
      <x:c r="H87" s="68"/>
      <x:c r="I87" s="68"/>
      <x:c r="J87" s="68"/>
      <x:c r="K87" s="68"/>
      <x:c r="L87" s="70"/>
      <x:c r="M87" s="64" t="str">
        <x:f>IF(A87="","",IF(AND(E87&lt;&gt;"",F87&lt;&gt;"",ABS(H87-I87)&lt;=0.01,ABS(J87-K87)&lt;=0.01,L87=1),"一致","检查"))</x:f>
      </x:c>
      <x:c r="N87" s="64" t="str">
        <x:f>IF(A87="","",IF(COUNTIF($A$5:$A$1204,A87)&gt;1,"重复",""))</x:f>
      </x:c>
    </x:row>
    <x:row r="88">
      <x:c r="A88" s="62"/>
      <x:c r="B88" s="62"/>
      <x:c r="C88" s="62"/>
      <x:c r="D88" s="62"/>
      <x:c r="E88" s="62"/>
      <x:c r="F88" s="62"/>
      <x:c r="G88" s="66"/>
      <x:c r="H88" s="68"/>
      <x:c r="I88" s="68"/>
      <x:c r="J88" s="68"/>
      <x:c r="K88" s="68"/>
      <x:c r="L88" s="70"/>
      <x:c r="M88" s="64" t="str">
        <x:f>IF(A88="","",IF(AND(E88&lt;&gt;"",F88&lt;&gt;"",ABS(H88-I88)&lt;=0.01,ABS(J88-K88)&lt;=0.01,L88=1),"一致","检查"))</x:f>
      </x:c>
      <x:c r="N88" s="64" t="str">
        <x:f>IF(A88="","",IF(COUNTIF($A$5:$A$1204,A88)&gt;1,"重复",""))</x:f>
      </x:c>
    </x:row>
    <x:row r="89">
      <x:c r="A89" s="62"/>
      <x:c r="B89" s="62"/>
      <x:c r="C89" s="62"/>
      <x:c r="D89" s="62"/>
      <x:c r="E89" s="62"/>
      <x:c r="F89" s="62"/>
      <x:c r="G89" s="66"/>
      <x:c r="H89" s="68"/>
      <x:c r="I89" s="68"/>
      <x:c r="J89" s="68"/>
      <x:c r="K89" s="68"/>
      <x:c r="L89" s="70"/>
      <x:c r="M89" s="64" t="str">
        <x:f>IF(A89="","",IF(AND(E89&lt;&gt;"",F89&lt;&gt;"",ABS(H89-I89)&lt;=0.01,ABS(J89-K89)&lt;=0.01,L89=1),"一致","检查"))</x:f>
      </x:c>
      <x:c r="N89" s="64" t="str">
        <x:f>IF(A89="","",IF(COUNTIF($A$5:$A$1204,A89)&gt;1,"重复",""))</x:f>
      </x:c>
    </x:row>
    <x:row r="90">
      <x:c r="A90" s="62"/>
      <x:c r="B90" s="62"/>
      <x:c r="C90" s="62"/>
      <x:c r="D90" s="62"/>
      <x:c r="E90" s="62"/>
      <x:c r="F90" s="62"/>
      <x:c r="G90" s="66"/>
      <x:c r="H90" s="68"/>
      <x:c r="I90" s="68"/>
      <x:c r="J90" s="68"/>
      <x:c r="K90" s="68"/>
      <x:c r="L90" s="70"/>
      <x:c r="M90" s="64" t="str">
        <x:f>IF(A90="","",IF(AND(E90&lt;&gt;"",F90&lt;&gt;"",ABS(H90-I90)&lt;=0.01,ABS(J90-K90)&lt;=0.01,L90=1),"一致","检查"))</x:f>
      </x:c>
      <x:c r="N90" s="64" t="str">
        <x:f>IF(A90="","",IF(COUNTIF($A$5:$A$1204,A90)&gt;1,"重复",""))</x:f>
      </x:c>
    </x:row>
    <x:row r="91">
      <x:c r="A91" s="62"/>
      <x:c r="B91" s="62"/>
      <x:c r="C91" s="62"/>
      <x:c r="D91" s="62"/>
      <x:c r="E91" s="62"/>
      <x:c r="F91" s="62"/>
      <x:c r="G91" s="66"/>
      <x:c r="H91" s="68"/>
      <x:c r="I91" s="68"/>
      <x:c r="J91" s="68"/>
      <x:c r="K91" s="68"/>
      <x:c r="L91" s="70"/>
      <x:c r="M91" s="64" t="str">
        <x:f>IF(A91="","",IF(AND(E91&lt;&gt;"",F91&lt;&gt;"",ABS(H91-I91)&lt;=0.01,ABS(J91-K91)&lt;=0.01,L91=1),"一致","检查"))</x:f>
      </x:c>
      <x:c r="N91" s="64" t="str">
        <x:f>IF(A91="","",IF(COUNTIF($A$5:$A$1204,A91)&gt;1,"重复",""))</x:f>
      </x:c>
    </x:row>
    <x:row r="92">
      <x:c r="A92" s="62"/>
      <x:c r="B92" s="62"/>
      <x:c r="C92" s="62"/>
      <x:c r="D92" s="62"/>
      <x:c r="E92" s="62"/>
      <x:c r="F92" s="62"/>
      <x:c r="G92" s="66"/>
      <x:c r="H92" s="68"/>
      <x:c r="I92" s="68"/>
      <x:c r="J92" s="68"/>
      <x:c r="K92" s="68"/>
      <x:c r="L92" s="70"/>
      <x:c r="M92" s="64" t="str">
        <x:f>IF(A92="","",IF(AND(E92&lt;&gt;"",F92&lt;&gt;"",ABS(H92-I92)&lt;=0.01,ABS(J92-K92)&lt;=0.01,L92=1),"一致","检查"))</x:f>
      </x:c>
      <x:c r="N92" s="64" t="str">
        <x:f>IF(A92="","",IF(COUNTIF($A$5:$A$1204,A92)&gt;1,"重复",""))</x:f>
      </x:c>
    </x:row>
    <x:row r="93">
      <x:c r="A93" s="62"/>
      <x:c r="B93" s="62"/>
      <x:c r="C93" s="62"/>
      <x:c r="D93" s="62"/>
      <x:c r="E93" s="62"/>
      <x:c r="F93" s="62"/>
      <x:c r="G93" s="66"/>
      <x:c r="H93" s="68"/>
      <x:c r="I93" s="68"/>
      <x:c r="J93" s="68"/>
      <x:c r="K93" s="68"/>
      <x:c r="L93" s="70"/>
      <x:c r="M93" s="64" t="str">
        <x:f>IF(A93="","",IF(AND(E93&lt;&gt;"",F93&lt;&gt;"",ABS(H93-I93)&lt;=0.01,ABS(J93-K93)&lt;=0.01,L93=1),"一致","检查"))</x:f>
      </x:c>
      <x:c r="N93" s="64" t="str">
        <x:f>IF(A93="","",IF(COUNTIF($A$5:$A$1204,A93)&gt;1,"重复",""))</x:f>
      </x:c>
    </x:row>
    <x:row r="94">
      <x:c r="A94" s="62"/>
      <x:c r="B94" s="62"/>
      <x:c r="C94" s="62"/>
      <x:c r="D94" s="62"/>
      <x:c r="E94" s="62"/>
      <x:c r="F94" s="62"/>
      <x:c r="G94" s="66"/>
      <x:c r="H94" s="68"/>
      <x:c r="I94" s="68"/>
      <x:c r="J94" s="68"/>
      <x:c r="K94" s="68"/>
      <x:c r="L94" s="70"/>
      <x:c r="M94" s="64" t="str">
        <x:f>IF(A94="","",IF(AND(E94&lt;&gt;"",F94&lt;&gt;"",ABS(H94-I94)&lt;=0.01,ABS(J94-K94)&lt;=0.01,L94=1),"一致","检查"))</x:f>
      </x:c>
      <x:c r="N94" s="64" t="str">
        <x:f>IF(A94="","",IF(COUNTIF($A$5:$A$1204,A94)&gt;1,"重复",""))</x:f>
      </x:c>
    </x:row>
    <x:row r="95">
      <x:c r="A95" s="62"/>
      <x:c r="B95" s="62"/>
      <x:c r="C95" s="62"/>
      <x:c r="D95" s="62"/>
      <x:c r="E95" s="62"/>
      <x:c r="F95" s="62"/>
      <x:c r="G95" s="66"/>
      <x:c r="H95" s="68"/>
      <x:c r="I95" s="68"/>
      <x:c r="J95" s="68"/>
      <x:c r="K95" s="68"/>
      <x:c r="L95" s="70"/>
      <x:c r="M95" s="64" t="str">
        <x:f>IF(A95="","",IF(AND(E95&lt;&gt;"",F95&lt;&gt;"",ABS(H95-I95)&lt;=0.01,ABS(J95-K95)&lt;=0.01,L95=1),"一致","检查"))</x:f>
      </x:c>
      <x:c r="N95" s="64" t="str">
        <x:f>IF(A95="","",IF(COUNTIF($A$5:$A$1204,A95)&gt;1,"重复",""))</x:f>
      </x:c>
    </x:row>
    <x:row r="96">
      <x:c r="A96" s="62"/>
      <x:c r="B96" s="62"/>
      <x:c r="C96" s="62"/>
      <x:c r="D96" s="62"/>
      <x:c r="E96" s="62"/>
      <x:c r="F96" s="62"/>
      <x:c r="G96" s="66"/>
      <x:c r="H96" s="68"/>
      <x:c r="I96" s="68"/>
      <x:c r="J96" s="68"/>
      <x:c r="K96" s="68"/>
      <x:c r="L96" s="70"/>
      <x:c r="M96" s="64" t="str">
        <x:f>IF(A96="","",IF(AND(E96&lt;&gt;"",F96&lt;&gt;"",ABS(H96-I96)&lt;=0.01,ABS(J96-K96)&lt;=0.01,L96=1),"一致","检查"))</x:f>
      </x:c>
      <x:c r="N96" s="64" t="str">
        <x:f>IF(A96="","",IF(COUNTIF($A$5:$A$1204,A96)&gt;1,"重复",""))</x:f>
      </x:c>
    </x:row>
    <x:row r="97">
      <x:c r="A97" s="62"/>
      <x:c r="B97" s="62"/>
      <x:c r="C97" s="62"/>
      <x:c r="D97" s="62"/>
      <x:c r="E97" s="62"/>
      <x:c r="F97" s="62"/>
      <x:c r="G97" s="66"/>
      <x:c r="H97" s="68"/>
      <x:c r="I97" s="68"/>
      <x:c r="J97" s="68"/>
      <x:c r="K97" s="68"/>
      <x:c r="L97" s="70"/>
      <x:c r="M97" s="64" t="str">
        <x:f>IF(A97="","",IF(AND(E97&lt;&gt;"",F97&lt;&gt;"",ABS(H97-I97)&lt;=0.01,ABS(J97-K97)&lt;=0.01,L97=1),"一致","检查"))</x:f>
      </x:c>
      <x:c r="N97" s="64" t="str">
        <x:f>IF(A97="","",IF(COUNTIF($A$5:$A$1204,A97)&gt;1,"重复",""))</x:f>
      </x:c>
    </x:row>
    <x:row r="98">
      <x:c r="A98" s="62"/>
      <x:c r="B98" s="62"/>
      <x:c r="C98" s="62"/>
      <x:c r="D98" s="62"/>
      <x:c r="E98" s="62"/>
      <x:c r="F98" s="62"/>
      <x:c r="G98" s="66"/>
      <x:c r="H98" s="68"/>
      <x:c r="I98" s="68"/>
      <x:c r="J98" s="68"/>
      <x:c r="K98" s="68"/>
      <x:c r="L98" s="70"/>
      <x:c r="M98" s="64" t="str">
        <x:f>IF(A98="","",IF(AND(E98&lt;&gt;"",F98&lt;&gt;"",ABS(H98-I98)&lt;=0.01,ABS(J98-K98)&lt;=0.01,L98=1),"一致","检查"))</x:f>
      </x:c>
      <x:c r="N98" s="64" t="str">
        <x:f>IF(A98="","",IF(COUNTIF($A$5:$A$1204,A98)&gt;1,"重复",""))</x:f>
      </x:c>
    </x:row>
    <x:row r="99">
      <x:c r="A99" s="62"/>
      <x:c r="B99" s="62"/>
      <x:c r="C99" s="62"/>
      <x:c r="D99" s="62"/>
      <x:c r="E99" s="62"/>
      <x:c r="F99" s="62"/>
      <x:c r="G99" s="66"/>
      <x:c r="H99" s="68"/>
      <x:c r="I99" s="68"/>
      <x:c r="J99" s="68"/>
      <x:c r="K99" s="68"/>
      <x:c r="L99" s="70"/>
      <x:c r="M99" s="64" t="str">
        <x:f>IF(A99="","",IF(AND(E99&lt;&gt;"",F99&lt;&gt;"",ABS(H99-I99)&lt;=0.01,ABS(J99-K99)&lt;=0.01,L99=1),"一致","检查"))</x:f>
      </x:c>
      <x:c r="N99" s="64" t="str">
        <x:f>IF(A99="","",IF(COUNTIF($A$5:$A$1204,A99)&gt;1,"重复",""))</x:f>
      </x:c>
    </x:row>
    <x:row r="100">
      <x:c r="A100" s="62"/>
      <x:c r="B100" s="62"/>
      <x:c r="C100" s="62"/>
      <x:c r="D100" s="62"/>
      <x:c r="E100" s="62"/>
      <x:c r="F100" s="62"/>
      <x:c r="G100" s="66"/>
      <x:c r="H100" s="68"/>
      <x:c r="I100" s="68"/>
      <x:c r="J100" s="68"/>
      <x:c r="K100" s="68"/>
      <x:c r="L100" s="70"/>
      <x:c r="M100" s="64" t="str">
        <x:f>IF(A100="","",IF(AND(E100&lt;&gt;"",F100&lt;&gt;"",ABS(H100-I100)&lt;=0.01,ABS(J100-K100)&lt;=0.01,L100=1),"一致","检查"))</x:f>
      </x:c>
      <x:c r="N100" s="64" t="str">
        <x:f>IF(A100="","",IF(COUNTIF($A$5:$A$1204,A100)&gt;1,"重复",""))</x:f>
      </x:c>
    </x:row>
    <x:row r="101">
      <x:c r="A101" s="62"/>
      <x:c r="B101" s="62"/>
      <x:c r="C101" s="62"/>
      <x:c r="D101" s="62"/>
      <x:c r="E101" s="62"/>
      <x:c r="F101" s="62"/>
      <x:c r="G101" s="66"/>
      <x:c r="H101" s="68"/>
      <x:c r="I101" s="68"/>
      <x:c r="J101" s="68"/>
      <x:c r="K101" s="68"/>
      <x:c r="L101" s="70"/>
      <x:c r="M101" s="64" t="str">
        <x:f>IF(A101="","",IF(AND(E101&lt;&gt;"",F101&lt;&gt;"",ABS(H101-I101)&lt;=0.01,ABS(J101-K101)&lt;=0.01,L101=1),"一致","检查"))</x:f>
      </x:c>
      <x:c r="N101" s="64" t="str">
        <x:f>IF(A101="","",IF(COUNTIF($A$5:$A$1204,A101)&gt;1,"重复",""))</x:f>
      </x:c>
    </x:row>
    <x:row r="102">
      <x:c r="A102" s="62"/>
      <x:c r="B102" s="62"/>
      <x:c r="C102" s="62"/>
      <x:c r="D102" s="62"/>
      <x:c r="E102" s="62"/>
      <x:c r="F102" s="62"/>
      <x:c r="G102" s="66"/>
      <x:c r="H102" s="68"/>
      <x:c r="I102" s="68"/>
      <x:c r="J102" s="68"/>
      <x:c r="K102" s="68"/>
      <x:c r="L102" s="70"/>
      <x:c r="M102" s="64" t="str">
        <x:f>IF(A102="","",IF(AND(E102&lt;&gt;"",F102&lt;&gt;"",ABS(H102-I102)&lt;=0.01,ABS(J102-K102)&lt;=0.01,L102=1),"一致","检查"))</x:f>
      </x:c>
      <x:c r="N102" s="64" t="str">
        <x:f>IF(A102="","",IF(COUNTIF($A$5:$A$1204,A102)&gt;1,"重复",""))</x:f>
      </x:c>
    </x:row>
    <x:row r="103">
      <x:c r="A103" s="62"/>
      <x:c r="B103" s="62"/>
      <x:c r="C103" s="62"/>
      <x:c r="D103" s="62"/>
      <x:c r="E103" s="62"/>
      <x:c r="F103" s="62"/>
      <x:c r="G103" s="66"/>
      <x:c r="H103" s="68"/>
      <x:c r="I103" s="68"/>
      <x:c r="J103" s="68"/>
      <x:c r="K103" s="68"/>
      <x:c r="L103" s="70"/>
      <x:c r="M103" s="64" t="str">
        <x:f>IF(A103="","",IF(AND(E103&lt;&gt;"",F103&lt;&gt;"",ABS(H103-I103)&lt;=0.01,ABS(J103-K103)&lt;=0.01,L103=1),"一致","检查"))</x:f>
      </x:c>
      <x:c r="N103" s="64" t="str">
        <x:f>IF(A103="","",IF(COUNTIF($A$5:$A$1204,A103)&gt;1,"重复",""))</x:f>
      </x:c>
    </x:row>
    <x:row r="104">
      <x:c r="A104" s="62"/>
      <x:c r="B104" s="62"/>
      <x:c r="C104" s="62"/>
      <x:c r="D104" s="62"/>
      <x:c r="E104" s="62"/>
      <x:c r="F104" s="62"/>
      <x:c r="G104" s="66"/>
      <x:c r="H104" s="68"/>
      <x:c r="I104" s="68"/>
      <x:c r="J104" s="68"/>
      <x:c r="K104" s="68"/>
      <x:c r="L104" s="70"/>
      <x:c r="M104" s="64" t="str">
        <x:f>IF(A104="","",IF(AND(E104&lt;&gt;"",F104&lt;&gt;"",ABS(H104-I104)&lt;=0.01,ABS(J104-K104)&lt;=0.01,L104=1),"一致","检查"))</x:f>
      </x:c>
      <x:c r="N104" s="64" t="str">
        <x:f>IF(A104="","",IF(COUNTIF($A$5:$A$1204,A104)&gt;1,"重复",""))</x:f>
      </x:c>
    </x:row>
    <x:row r="105">
      <x:c r="A105" s="62"/>
      <x:c r="B105" s="62"/>
      <x:c r="C105" s="62"/>
      <x:c r="D105" s="62"/>
      <x:c r="E105" s="62"/>
      <x:c r="F105" s="62"/>
      <x:c r="G105" s="66"/>
      <x:c r="H105" s="68"/>
      <x:c r="I105" s="68"/>
      <x:c r="J105" s="68"/>
      <x:c r="K105" s="68"/>
      <x:c r="L105" s="70"/>
      <x:c r="M105" s="64" t="str">
        <x:f>IF(A105="","",IF(AND(E105&lt;&gt;"",F105&lt;&gt;"",ABS(H105-I105)&lt;=0.01,ABS(J105-K105)&lt;=0.01,L105=1),"一致","检查"))</x:f>
      </x:c>
      <x:c r="N105" s="64" t="str">
        <x:f>IF(A105="","",IF(COUNTIF($A$5:$A$1204,A105)&gt;1,"重复",""))</x:f>
      </x:c>
    </x:row>
    <x:row r="106">
      <x:c r="A106" s="62"/>
      <x:c r="B106" s="62"/>
      <x:c r="C106" s="62"/>
      <x:c r="D106" s="62"/>
      <x:c r="E106" s="62"/>
      <x:c r="F106" s="62"/>
      <x:c r="G106" s="66"/>
      <x:c r="H106" s="68"/>
      <x:c r="I106" s="68"/>
      <x:c r="J106" s="68"/>
      <x:c r="K106" s="68"/>
      <x:c r="L106" s="70"/>
      <x:c r="M106" s="64" t="str">
        <x:f>IF(A106="","",IF(AND(E106&lt;&gt;"",F106&lt;&gt;"",ABS(H106-I106)&lt;=0.01,ABS(J106-K106)&lt;=0.01,L106=1),"一致","检查"))</x:f>
      </x:c>
      <x:c r="N106" s="64" t="str">
        <x:f>IF(A106="","",IF(COUNTIF($A$5:$A$1204,A106)&gt;1,"重复",""))</x:f>
      </x:c>
    </x:row>
    <x:row r="107">
      <x:c r="A107" s="62"/>
      <x:c r="B107" s="62"/>
      <x:c r="C107" s="62"/>
      <x:c r="D107" s="62"/>
      <x:c r="E107" s="62"/>
      <x:c r="F107" s="62"/>
      <x:c r="G107" s="66"/>
      <x:c r="H107" s="68"/>
      <x:c r="I107" s="68"/>
      <x:c r="J107" s="68"/>
      <x:c r="K107" s="68"/>
      <x:c r="L107" s="70"/>
      <x:c r="M107" s="64" t="str">
        <x:f>IF(A107="","",IF(AND(E107&lt;&gt;"",F107&lt;&gt;"",ABS(H107-I107)&lt;=0.01,ABS(J107-K107)&lt;=0.01,L107=1),"一致","检查"))</x:f>
      </x:c>
      <x:c r="N107" s="64" t="str">
        <x:f>IF(A107="","",IF(COUNTIF($A$5:$A$1204,A107)&gt;1,"重复",""))</x:f>
      </x:c>
    </x:row>
    <x:row r="108">
      <x:c r="A108" s="62"/>
      <x:c r="B108" s="62"/>
      <x:c r="C108" s="62"/>
      <x:c r="D108" s="62"/>
      <x:c r="E108" s="62"/>
      <x:c r="F108" s="62"/>
      <x:c r="G108" s="66"/>
      <x:c r="H108" s="68"/>
      <x:c r="I108" s="68"/>
      <x:c r="J108" s="68"/>
      <x:c r="K108" s="68"/>
      <x:c r="L108" s="70"/>
      <x:c r="M108" s="64" t="str">
        <x:f>IF(A108="","",IF(AND(E108&lt;&gt;"",F108&lt;&gt;"",ABS(H108-I108)&lt;=0.01,ABS(J108-K108)&lt;=0.01,L108=1),"一致","检查"))</x:f>
      </x:c>
      <x:c r="N108" s="64" t="str">
        <x:f>IF(A108="","",IF(COUNTIF($A$5:$A$1204,A108)&gt;1,"重复",""))</x:f>
      </x:c>
    </x:row>
    <x:row r="109">
      <x:c r="A109" s="62"/>
      <x:c r="B109" s="62"/>
      <x:c r="C109" s="62"/>
      <x:c r="D109" s="62"/>
      <x:c r="E109" s="62"/>
      <x:c r="F109" s="62"/>
      <x:c r="G109" s="66"/>
      <x:c r="H109" s="68"/>
      <x:c r="I109" s="68"/>
      <x:c r="J109" s="68"/>
      <x:c r="K109" s="68"/>
      <x:c r="L109" s="70"/>
      <x:c r="M109" s="64" t="str">
        <x:f>IF(A109="","",IF(AND(E109&lt;&gt;"",F109&lt;&gt;"",ABS(H109-I109)&lt;=0.01,ABS(J109-K109)&lt;=0.01,L109=1),"一致","检查"))</x:f>
      </x:c>
      <x:c r="N109" s="64" t="str">
        <x:f>IF(A109="","",IF(COUNTIF($A$5:$A$1204,A109)&gt;1,"重复",""))</x:f>
      </x:c>
    </x:row>
    <x:row r="110">
      <x:c r="A110" s="62"/>
      <x:c r="B110" s="62"/>
      <x:c r="C110" s="62"/>
      <x:c r="D110" s="62"/>
      <x:c r="E110" s="62"/>
      <x:c r="F110" s="62"/>
      <x:c r="G110" s="66"/>
      <x:c r="H110" s="68"/>
      <x:c r="I110" s="68"/>
      <x:c r="J110" s="68"/>
      <x:c r="K110" s="68"/>
      <x:c r="L110" s="70"/>
      <x:c r="M110" s="64" t="str">
        <x:f>IF(A110="","",IF(AND(E110&lt;&gt;"",F110&lt;&gt;"",ABS(H110-I110)&lt;=0.01,ABS(J110-K110)&lt;=0.01,L110=1),"一致","检查"))</x:f>
      </x:c>
      <x:c r="N110" s="64" t="str">
        <x:f>IF(A110="","",IF(COUNTIF($A$5:$A$1204,A110)&gt;1,"重复",""))</x:f>
      </x:c>
    </x:row>
    <x:row r="111">
      <x:c r="A111" s="62"/>
      <x:c r="B111" s="62"/>
      <x:c r="C111" s="62"/>
      <x:c r="D111" s="62"/>
      <x:c r="E111" s="62"/>
      <x:c r="F111" s="62"/>
      <x:c r="G111" s="66"/>
      <x:c r="H111" s="68"/>
      <x:c r="I111" s="68"/>
      <x:c r="J111" s="68"/>
      <x:c r="K111" s="68"/>
      <x:c r="L111" s="70"/>
      <x:c r="M111" s="64" t="str">
        <x:f>IF(A111="","",IF(AND(E111&lt;&gt;"",F111&lt;&gt;"",ABS(H111-I111)&lt;=0.01,ABS(J111-K111)&lt;=0.01,L111=1),"一致","检查"))</x:f>
      </x:c>
      <x:c r="N111" s="64" t="str">
        <x:f>IF(A111="","",IF(COUNTIF($A$5:$A$1204,A111)&gt;1,"重复",""))</x:f>
      </x:c>
    </x:row>
    <x:row r="112">
      <x:c r="A112" s="62"/>
      <x:c r="B112" s="62"/>
      <x:c r="C112" s="62"/>
      <x:c r="D112" s="62"/>
      <x:c r="E112" s="62"/>
      <x:c r="F112" s="62"/>
      <x:c r="G112" s="66"/>
      <x:c r="H112" s="68"/>
      <x:c r="I112" s="68"/>
      <x:c r="J112" s="68"/>
      <x:c r="K112" s="68"/>
      <x:c r="L112" s="70"/>
      <x:c r="M112" s="64" t="str">
        <x:f>IF(A112="","",IF(AND(E112&lt;&gt;"",F112&lt;&gt;"",ABS(H112-I112)&lt;=0.01,ABS(J112-K112)&lt;=0.01,L112=1),"一致","检查"))</x:f>
      </x:c>
      <x:c r="N112" s="64" t="str">
        <x:f>IF(A112="","",IF(COUNTIF($A$5:$A$1204,A112)&gt;1,"重复",""))</x:f>
      </x:c>
    </x:row>
    <x:row r="113">
      <x:c r="A113" s="62"/>
      <x:c r="B113" s="62"/>
      <x:c r="C113" s="62"/>
      <x:c r="D113" s="62"/>
      <x:c r="E113" s="62"/>
      <x:c r="F113" s="62"/>
      <x:c r="G113" s="66"/>
      <x:c r="H113" s="68"/>
      <x:c r="I113" s="68"/>
      <x:c r="J113" s="68"/>
      <x:c r="K113" s="68"/>
      <x:c r="L113" s="70"/>
      <x:c r="M113" s="64" t="str">
        <x:f>IF(A113="","",IF(AND(E113&lt;&gt;"",F113&lt;&gt;"",ABS(H113-I113)&lt;=0.01,ABS(J113-K113)&lt;=0.01,L113=1),"一致","检查"))</x:f>
      </x:c>
      <x:c r="N113" s="64" t="str">
        <x:f>IF(A113="","",IF(COUNTIF($A$5:$A$1204,A113)&gt;1,"重复",""))</x:f>
      </x:c>
    </x:row>
    <x:row r="114">
      <x:c r="A114" s="62"/>
      <x:c r="B114" s="62"/>
      <x:c r="C114" s="62"/>
      <x:c r="D114" s="62"/>
      <x:c r="E114" s="62"/>
      <x:c r="F114" s="62"/>
      <x:c r="G114" s="66"/>
      <x:c r="H114" s="68"/>
      <x:c r="I114" s="68"/>
      <x:c r="J114" s="68"/>
      <x:c r="K114" s="68"/>
      <x:c r="L114" s="70"/>
      <x:c r="M114" s="64" t="str">
        <x:f>IF(A114="","",IF(AND(E114&lt;&gt;"",F114&lt;&gt;"",ABS(H114-I114)&lt;=0.01,ABS(J114-K114)&lt;=0.01,L114=1),"一致","检查"))</x:f>
      </x:c>
      <x:c r="N114" s="64" t="str">
        <x:f>IF(A114="","",IF(COUNTIF($A$5:$A$1204,A114)&gt;1,"重复",""))</x:f>
      </x:c>
    </x:row>
    <x:row r="115">
      <x:c r="A115" s="62"/>
      <x:c r="B115" s="62"/>
      <x:c r="C115" s="62"/>
      <x:c r="D115" s="62"/>
      <x:c r="E115" s="62"/>
      <x:c r="F115" s="62"/>
      <x:c r="G115" s="66"/>
      <x:c r="H115" s="68"/>
      <x:c r="I115" s="68"/>
      <x:c r="J115" s="68"/>
      <x:c r="K115" s="68"/>
      <x:c r="L115" s="70"/>
      <x:c r="M115" s="64" t="str">
        <x:f>IF(A115="","",IF(AND(E115&lt;&gt;"",F115&lt;&gt;"",ABS(H115-I115)&lt;=0.01,ABS(J115-K115)&lt;=0.01,L115=1),"一致","检查"))</x:f>
      </x:c>
      <x:c r="N115" s="64" t="str">
        <x:f>IF(A115="","",IF(COUNTIF($A$5:$A$1204,A115)&gt;1,"重复",""))</x:f>
      </x:c>
    </x:row>
    <x:row r="116">
      <x:c r="A116" s="62"/>
      <x:c r="B116" s="62"/>
      <x:c r="C116" s="62"/>
      <x:c r="D116" s="62"/>
      <x:c r="E116" s="62"/>
      <x:c r="F116" s="62"/>
      <x:c r="G116" s="66"/>
      <x:c r="H116" s="68"/>
      <x:c r="I116" s="68"/>
      <x:c r="J116" s="68"/>
      <x:c r="K116" s="68"/>
      <x:c r="L116" s="70"/>
      <x:c r="M116" s="64" t="str">
        <x:f>IF(A116="","",IF(AND(E116&lt;&gt;"",F116&lt;&gt;"",ABS(H116-I116)&lt;=0.01,ABS(J116-K116)&lt;=0.01,L116=1),"一致","检查"))</x:f>
      </x:c>
      <x:c r="N116" s="64" t="str">
        <x:f>IF(A116="","",IF(COUNTIF($A$5:$A$1204,A116)&gt;1,"重复",""))</x:f>
      </x:c>
    </x:row>
    <x:row r="117">
      <x:c r="A117" s="62"/>
      <x:c r="B117" s="62"/>
      <x:c r="C117" s="62"/>
      <x:c r="D117" s="62"/>
      <x:c r="E117" s="62"/>
      <x:c r="F117" s="62"/>
      <x:c r="G117" s="66"/>
      <x:c r="H117" s="68"/>
      <x:c r="I117" s="68"/>
      <x:c r="J117" s="68"/>
      <x:c r="K117" s="68"/>
      <x:c r="L117" s="70"/>
      <x:c r="M117" s="64" t="str">
        <x:f>IF(A117="","",IF(AND(E117&lt;&gt;"",F117&lt;&gt;"",ABS(H117-I117)&lt;=0.01,ABS(J117-K117)&lt;=0.01,L117=1),"一致","检查"))</x:f>
      </x:c>
      <x:c r="N117" s="64" t="str">
        <x:f>IF(A117="","",IF(COUNTIF($A$5:$A$1204,A117)&gt;1,"重复",""))</x:f>
      </x:c>
    </x:row>
    <x:row r="118">
      <x:c r="A118" s="62"/>
      <x:c r="B118" s="62"/>
      <x:c r="C118" s="62"/>
      <x:c r="D118" s="62"/>
      <x:c r="E118" s="62"/>
      <x:c r="F118" s="62"/>
      <x:c r="G118" s="66"/>
      <x:c r="H118" s="68"/>
      <x:c r="I118" s="68"/>
      <x:c r="J118" s="68"/>
      <x:c r="K118" s="68"/>
      <x:c r="L118" s="70"/>
      <x:c r="M118" s="64" t="str">
        <x:f>IF(A118="","",IF(AND(E118&lt;&gt;"",F118&lt;&gt;"",ABS(H118-I118)&lt;=0.01,ABS(J118-K118)&lt;=0.01,L118=1),"一致","检查"))</x:f>
      </x:c>
      <x:c r="N118" s="64" t="str">
        <x:f>IF(A118="","",IF(COUNTIF($A$5:$A$1204,A118)&gt;1,"重复",""))</x:f>
      </x:c>
    </x:row>
    <x:row r="119">
      <x:c r="A119" s="62"/>
      <x:c r="B119" s="62"/>
      <x:c r="C119" s="62"/>
      <x:c r="D119" s="62"/>
      <x:c r="E119" s="62"/>
      <x:c r="F119" s="62"/>
      <x:c r="G119" s="66"/>
      <x:c r="H119" s="68"/>
      <x:c r="I119" s="68"/>
      <x:c r="J119" s="68"/>
      <x:c r="K119" s="68"/>
      <x:c r="L119" s="70"/>
      <x:c r="M119" s="64" t="str">
        <x:f>IF(A119="","",IF(AND(E119&lt;&gt;"",F119&lt;&gt;"",ABS(H119-I119)&lt;=0.01,ABS(J119-K119)&lt;=0.01,L119=1),"一致","检查"))</x:f>
      </x:c>
      <x:c r="N119" s="64" t="str">
        <x:f>IF(A119="","",IF(COUNTIF($A$5:$A$1204,A119)&gt;1,"重复",""))</x:f>
      </x:c>
    </x:row>
    <x:row r="120">
      <x:c r="A120" s="62"/>
      <x:c r="B120" s="62"/>
      <x:c r="C120" s="62"/>
      <x:c r="D120" s="62"/>
      <x:c r="E120" s="62"/>
      <x:c r="F120" s="62"/>
      <x:c r="G120" s="66"/>
      <x:c r="H120" s="68"/>
      <x:c r="I120" s="68"/>
      <x:c r="J120" s="68"/>
      <x:c r="K120" s="68"/>
      <x:c r="L120" s="70"/>
      <x:c r="M120" s="64" t="str">
        <x:f>IF(A120="","",IF(AND(E120&lt;&gt;"",F120&lt;&gt;"",ABS(H120-I120)&lt;=0.01,ABS(J120-K120)&lt;=0.01,L120=1),"一致","检查"))</x:f>
      </x:c>
      <x:c r="N120" s="64" t="str">
        <x:f>IF(A120="","",IF(COUNTIF($A$5:$A$1204,A120)&gt;1,"重复",""))</x:f>
      </x:c>
    </x:row>
    <x:row r="121">
      <x:c r="A121" s="62"/>
      <x:c r="B121" s="62"/>
      <x:c r="C121" s="62"/>
      <x:c r="D121" s="62"/>
      <x:c r="E121" s="62"/>
      <x:c r="F121" s="62"/>
      <x:c r="G121" s="66"/>
      <x:c r="H121" s="68"/>
      <x:c r="I121" s="68"/>
      <x:c r="J121" s="68"/>
      <x:c r="K121" s="68"/>
      <x:c r="L121" s="70"/>
      <x:c r="M121" s="64" t="str">
        <x:f>IF(A121="","",IF(AND(E121&lt;&gt;"",F121&lt;&gt;"",ABS(H121-I121)&lt;=0.01,ABS(J121-K121)&lt;=0.01,L121=1),"一致","检查"))</x:f>
      </x:c>
      <x:c r="N121" s="64" t="str">
        <x:f>IF(A121="","",IF(COUNTIF($A$5:$A$1204,A121)&gt;1,"重复",""))</x:f>
      </x:c>
    </x:row>
    <x:row r="122">
      <x:c r="A122" s="62"/>
      <x:c r="B122" s="62"/>
      <x:c r="C122" s="62"/>
      <x:c r="D122" s="62"/>
      <x:c r="E122" s="62"/>
      <x:c r="F122" s="62"/>
      <x:c r="G122" s="66"/>
      <x:c r="H122" s="68"/>
      <x:c r="I122" s="68"/>
      <x:c r="J122" s="68"/>
      <x:c r="K122" s="68"/>
      <x:c r="L122" s="70"/>
      <x:c r="M122" s="64" t="str">
        <x:f>IF(A122="","",IF(AND(E122&lt;&gt;"",F122&lt;&gt;"",ABS(H122-I122)&lt;=0.01,ABS(J122-K122)&lt;=0.01,L122=1),"一致","检查"))</x:f>
      </x:c>
      <x:c r="N122" s="64" t="str">
        <x:f>IF(A122="","",IF(COUNTIF($A$5:$A$1204,A122)&gt;1,"重复",""))</x:f>
      </x:c>
    </x:row>
    <x:row r="123">
      <x:c r="A123" s="62"/>
      <x:c r="B123" s="62"/>
      <x:c r="C123" s="62"/>
      <x:c r="D123" s="62"/>
      <x:c r="E123" s="62"/>
      <x:c r="F123" s="62"/>
      <x:c r="G123" s="66"/>
      <x:c r="H123" s="68"/>
      <x:c r="I123" s="68"/>
      <x:c r="J123" s="68"/>
      <x:c r="K123" s="68"/>
      <x:c r="L123" s="70"/>
      <x:c r="M123" s="64" t="str">
        <x:f>IF(A123="","",IF(AND(E123&lt;&gt;"",F123&lt;&gt;"",ABS(H123-I123)&lt;=0.01,ABS(J123-K123)&lt;=0.01,L123=1),"一致","检查"))</x:f>
      </x:c>
      <x:c r="N123" s="64" t="str">
        <x:f>IF(A123="","",IF(COUNTIF($A$5:$A$1204,A123)&gt;1,"重复",""))</x:f>
      </x:c>
    </x:row>
    <x:row r="124">
      <x:c r="A124" s="62"/>
      <x:c r="B124" s="62"/>
      <x:c r="C124" s="62"/>
      <x:c r="D124" s="62"/>
      <x:c r="E124" s="62"/>
      <x:c r="F124" s="62"/>
      <x:c r="G124" s="66"/>
      <x:c r="H124" s="68"/>
      <x:c r="I124" s="68"/>
      <x:c r="J124" s="68"/>
      <x:c r="K124" s="68"/>
      <x:c r="L124" s="70"/>
      <x:c r="M124" s="64" t="str">
        <x:f>IF(A124="","",IF(AND(E124&lt;&gt;"",F124&lt;&gt;"",ABS(H124-I124)&lt;=0.01,ABS(J124-K124)&lt;=0.01,L124=1),"一致","检查"))</x:f>
      </x:c>
      <x:c r="N124" s="64" t="str">
        <x:f>IF(A124="","",IF(COUNTIF($A$5:$A$1204,A124)&gt;1,"重复",""))</x:f>
      </x:c>
    </x:row>
    <x:row r="125">
      <x:c r="A125" s="62"/>
      <x:c r="B125" s="62"/>
      <x:c r="C125" s="62"/>
      <x:c r="D125" s="62"/>
      <x:c r="E125" s="62"/>
      <x:c r="F125" s="62"/>
      <x:c r="G125" s="66"/>
      <x:c r="H125" s="68"/>
      <x:c r="I125" s="68"/>
      <x:c r="J125" s="68"/>
      <x:c r="K125" s="68"/>
      <x:c r="L125" s="70"/>
      <x:c r="M125" s="64" t="str">
        <x:f>IF(A125="","",IF(AND(E125&lt;&gt;"",F125&lt;&gt;"",ABS(H125-I125)&lt;=0.01,ABS(J125-K125)&lt;=0.01,L125=1),"一致","检查"))</x:f>
      </x:c>
      <x:c r="N125" s="64" t="str">
        <x:f>IF(A125="","",IF(COUNTIF($A$5:$A$1204,A125)&gt;1,"重复",""))</x:f>
      </x:c>
    </x:row>
    <x:row r="126">
      <x:c r="A126" s="62"/>
      <x:c r="B126" s="62"/>
      <x:c r="C126" s="62"/>
      <x:c r="D126" s="62"/>
      <x:c r="E126" s="62"/>
      <x:c r="F126" s="62"/>
      <x:c r="G126" s="66"/>
      <x:c r="H126" s="68"/>
      <x:c r="I126" s="68"/>
      <x:c r="J126" s="68"/>
      <x:c r="K126" s="68"/>
      <x:c r="L126" s="70"/>
      <x:c r="M126" s="64" t="str">
        <x:f>IF(A126="","",IF(AND(E126&lt;&gt;"",F126&lt;&gt;"",ABS(H126-I126)&lt;=0.01,ABS(J126-K126)&lt;=0.01,L126=1),"一致","检查"))</x:f>
      </x:c>
      <x:c r="N126" s="64" t="str">
        <x:f>IF(A126="","",IF(COUNTIF($A$5:$A$1204,A126)&gt;1,"重复",""))</x:f>
      </x:c>
    </x:row>
    <x:row r="127">
      <x:c r="A127" s="62"/>
      <x:c r="B127" s="62"/>
      <x:c r="C127" s="62"/>
      <x:c r="D127" s="62"/>
      <x:c r="E127" s="62"/>
      <x:c r="F127" s="62"/>
      <x:c r="G127" s="66"/>
      <x:c r="H127" s="68"/>
      <x:c r="I127" s="68"/>
      <x:c r="J127" s="68"/>
      <x:c r="K127" s="68"/>
      <x:c r="L127" s="70"/>
      <x:c r="M127" s="64" t="str">
        <x:f>IF(A127="","",IF(AND(E127&lt;&gt;"",F127&lt;&gt;"",ABS(H127-I127)&lt;=0.01,ABS(J127-K127)&lt;=0.01,L127=1),"一致","检查"))</x:f>
      </x:c>
      <x:c r="N127" s="64" t="str">
        <x:f>IF(A127="","",IF(COUNTIF($A$5:$A$1204,A127)&gt;1,"重复",""))</x:f>
      </x:c>
    </x:row>
    <x:row r="128">
      <x:c r="A128" s="62"/>
      <x:c r="B128" s="62"/>
      <x:c r="C128" s="62"/>
      <x:c r="D128" s="62"/>
      <x:c r="E128" s="62"/>
      <x:c r="F128" s="62"/>
      <x:c r="G128" s="66"/>
      <x:c r="H128" s="68"/>
      <x:c r="I128" s="68"/>
      <x:c r="J128" s="68"/>
      <x:c r="K128" s="68"/>
      <x:c r="L128" s="70"/>
      <x:c r="M128" s="64" t="str">
        <x:f>IF(A128="","",IF(AND(E128&lt;&gt;"",F128&lt;&gt;"",ABS(H128-I128)&lt;=0.01,ABS(J128-K128)&lt;=0.01,L128=1),"一致","检查"))</x:f>
      </x:c>
      <x:c r="N128" s="64" t="str">
        <x:f>IF(A128="","",IF(COUNTIF($A$5:$A$1204,A128)&gt;1,"重复",""))</x:f>
      </x:c>
    </x:row>
    <x:row r="129">
      <x:c r="A129" s="62"/>
      <x:c r="B129" s="62"/>
      <x:c r="C129" s="62"/>
      <x:c r="D129" s="62"/>
      <x:c r="E129" s="62"/>
      <x:c r="F129" s="62"/>
      <x:c r="G129" s="66"/>
      <x:c r="H129" s="68"/>
      <x:c r="I129" s="68"/>
      <x:c r="J129" s="68"/>
      <x:c r="K129" s="68"/>
      <x:c r="L129" s="70"/>
      <x:c r="M129" s="64" t="str">
        <x:f>IF(A129="","",IF(AND(E129&lt;&gt;"",F129&lt;&gt;"",ABS(H129-I129)&lt;=0.01,ABS(J129-K129)&lt;=0.01,L129=1),"一致","检查"))</x:f>
      </x:c>
      <x:c r="N129" s="64" t="str">
        <x:f>IF(A129="","",IF(COUNTIF($A$5:$A$1204,A129)&gt;1,"重复",""))</x:f>
      </x:c>
    </x:row>
    <x:row r="130">
      <x:c r="A130" s="62"/>
      <x:c r="B130" s="62"/>
      <x:c r="C130" s="62"/>
      <x:c r="D130" s="62"/>
      <x:c r="E130" s="62"/>
      <x:c r="F130" s="62"/>
      <x:c r="G130" s="66"/>
      <x:c r="H130" s="68"/>
      <x:c r="I130" s="68"/>
      <x:c r="J130" s="68"/>
      <x:c r="K130" s="68"/>
      <x:c r="L130" s="70"/>
      <x:c r="M130" s="64" t="str">
        <x:f>IF(A130="","",IF(AND(E130&lt;&gt;"",F130&lt;&gt;"",ABS(H130-I130)&lt;=0.01,ABS(J130-K130)&lt;=0.01,L130=1),"一致","检查"))</x:f>
      </x:c>
      <x:c r="N130" s="64" t="str">
        <x:f>IF(A130="","",IF(COUNTIF($A$5:$A$1204,A130)&gt;1,"重复",""))</x:f>
      </x:c>
    </x:row>
    <x:row r="131">
      <x:c r="A131" s="62"/>
      <x:c r="B131" s="62"/>
      <x:c r="C131" s="62"/>
      <x:c r="D131" s="62"/>
      <x:c r="E131" s="62"/>
      <x:c r="F131" s="62"/>
      <x:c r="G131" s="66"/>
      <x:c r="H131" s="68"/>
      <x:c r="I131" s="68"/>
      <x:c r="J131" s="68"/>
      <x:c r="K131" s="68"/>
      <x:c r="L131" s="70"/>
      <x:c r="M131" s="64" t="str">
        <x:f>IF(A131="","",IF(AND(E131&lt;&gt;"",F131&lt;&gt;"",ABS(H131-I131)&lt;=0.01,ABS(J131-K131)&lt;=0.01,L131=1),"一致","检查"))</x:f>
      </x:c>
      <x:c r="N131" s="64" t="str">
        <x:f>IF(A131="","",IF(COUNTIF($A$5:$A$1204,A131)&gt;1,"重复",""))</x:f>
      </x:c>
    </x:row>
    <x:row r="132">
      <x:c r="A132" s="62"/>
      <x:c r="B132" s="62"/>
      <x:c r="C132" s="62"/>
      <x:c r="D132" s="62"/>
      <x:c r="E132" s="62"/>
      <x:c r="F132" s="62"/>
      <x:c r="G132" s="66"/>
      <x:c r="H132" s="68"/>
      <x:c r="I132" s="68"/>
      <x:c r="J132" s="68"/>
      <x:c r="K132" s="68"/>
      <x:c r="L132" s="70"/>
      <x:c r="M132" s="64" t="str">
        <x:f>IF(A132="","",IF(AND(E132&lt;&gt;"",F132&lt;&gt;"",ABS(H132-I132)&lt;=0.01,ABS(J132-K132)&lt;=0.01,L132=1),"一致","检查"))</x:f>
      </x:c>
      <x:c r="N132" s="64" t="str">
        <x:f>IF(A132="","",IF(COUNTIF($A$5:$A$1204,A132)&gt;1,"重复",""))</x:f>
      </x:c>
    </x:row>
    <x:row r="133">
      <x:c r="A133" s="62"/>
      <x:c r="B133" s="62"/>
      <x:c r="C133" s="62"/>
      <x:c r="D133" s="62"/>
      <x:c r="E133" s="62"/>
      <x:c r="F133" s="62"/>
      <x:c r="G133" s="66"/>
      <x:c r="H133" s="68"/>
      <x:c r="I133" s="68"/>
      <x:c r="J133" s="68"/>
      <x:c r="K133" s="68"/>
      <x:c r="L133" s="70"/>
      <x:c r="M133" s="64" t="str">
        <x:f>IF(A133="","",IF(AND(E133&lt;&gt;"",F133&lt;&gt;"",ABS(H133-I133)&lt;=0.01,ABS(J133-K133)&lt;=0.01,L133=1),"一致","检查"))</x:f>
      </x:c>
      <x:c r="N133" s="64" t="str">
        <x:f>IF(A133="","",IF(COUNTIF($A$5:$A$1204,A133)&gt;1,"重复",""))</x:f>
      </x:c>
    </x:row>
    <x:row r="134">
      <x:c r="A134" s="62"/>
      <x:c r="B134" s="62"/>
      <x:c r="C134" s="62"/>
      <x:c r="D134" s="62"/>
      <x:c r="E134" s="62"/>
      <x:c r="F134" s="62"/>
      <x:c r="G134" s="66"/>
      <x:c r="H134" s="68"/>
      <x:c r="I134" s="68"/>
      <x:c r="J134" s="68"/>
      <x:c r="K134" s="68"/>
      <x:c r="L134" s="70"/>
      <x:c r="M134" s="64" t="str">
        <x:f>IF(A134="","",IF(AND(E134&lt;&gt;"",F134&lt;&gt;"",ABS(H134-I134)&lt;=0.01,ABS(J134-K134)&lt;=0.01,L134=1),"一致","检查"))</x:f>
      </x:c>
      <x:c r="N134" s="64" t="str">
        <x:f>IF(A134="","",IF(COUNTIF($A$5:$A$1204,A134)&gt;1,"重复",""))</x:f>
      </x:c>
    </x:row>
    <x:row r="135">
      <x:c r="A135" s="62"/>
      <x:c r="B135" s="62"/>
      <x:c r="C135" s="62"/>
      <x:c r="D135" s="62"/>
      <x:c r="E135" s="62"/>
      <x:c r="F135" s="62"/>
      <x:c r="G135" s="66"/>
      <x:c r="H135" s="68"/>
      <x:c r="I135" s="68"/>
      <x:c r="J135" s="68"/>
      <x:c r="K135" s="68"/>
      <x:c r="L135" s="70"/>
      <x:c r="M135" s="64" t="str">
        <x:f>IF(A135="","",IF(AND(E135&lt;&gt;"",F135&lt;&gt;"",ABS(H135-I135)&lt;=0.01,ABS(J135-K135)&lt;=0.01,L135=1),"一致","检查"))</x:f>
      </x:c>
      <x:c r="N135" s="64" t="str">
        <x:f>IF(A135="","",IF(COUNTIF($A$5:$A$1204,A135)&gt;1,"重复",""))</x:f>
      </x:c>
    </x:row>
    <x:row r="136">
      <x:c r="A136" s="62"/>
      <x:c r="B136" s="62"/>
      <x:c r="C136" s="62"/>
      <x:c r="D136" s="62"/>
      <x:c r="E136" s="62"/>
      <x:c r="F136" s="62"/>
      <x:c r="G136" s="66"/>
      <x:c r="H136" s="68"/>
      <x:c r="I136" s="68"/>
      <x:c r="J136" s="68"/>
      <x:c r="K136" s="68"/>
      <x:c r="L136" s="70"/>
      <x:c r="M136" s="64" t="str">
        <x:f>IF(A136="","",IF(AND(E136&lt;&gt;"",F136&lt;&gt;"",ABS(H136-I136)&lt;=0.01,ABS(J136-K136)&lt;=0.01,L136=1),"一致","检查"))</x:f>
      </x:c>
      <x:c r="N136" s="64" t="str">
        <x:f>IF(A136="","",IF(COUNTIF($A$5:$A$1204,A136)&gt;1,"重复",""))</x:f>
      </x:c>
    </x:row>
    <x:row r="137">
      <x:c r="A137" s="62"/>
      <x:c r="B137" s="62"/>
      <x:c r="C137" s="62"/>
      <x:c r="D137" s="62"/>
      <x:c r="E137" s="62"/>
      <x:c r="F137" s="62"/>
      <x:c r="G137" s="66"/>
      <x:c r="H137" s="68"/>
      <x:c r="I137" s="68"/>
      <x:c r="J137" s="68"/>
      <x:c r="K137" s="68"/>
      <x:c r="L137" s="70"/>
      <x:c r="M137" s="64" t="str">
        <x:f>IF(A137="","",IF(AND(E137&lt;&gt;"",F137&lt;&gt;"",ABS(H137-I137)&lt;=0.01,ABS(J137-K137)&lt;=0.01,L137=1),"一致","检查"))</x:f>
      </x:c>
      <x:c r="N137" s="64" t="str">
        <x:f>IF(A137="","",IF(COUNTIF($A$5:$A$1204,A137)&gt;1,"重复",""))</x:f>
      </x:c>
    </x:row>
    <x:row r="138">
      <x:c r="A138" s="62"/>
      <x:c r="B138" s="62"/>
      <x:c r="C138" s="62"/>
      <x:c r="D138" s="62"/>
      <x:c r="E138" s="62"/>
      <x:c r="F138" s="62"/>
      <x:c r="G138" s="66"/>
      <x:c r="H138" s="68"/>
      <x:c r="I138" s="68"/>
      <x:c r="J138" s="68"/>
      <x:c r="K138" s="68"/>
      <x:c r="L138" s="70"/>
      <x:c r="M138" s="64" t="str">
        <x:f>IF(A138="","",IF(AND(E138&lt;&gt;"",F138&lt;&gt;"",ABS(H138-I138)&lt;=0.01,ABS(J138-K138)&lt;=0.01,L138=1),"一致","检查"))</x:f>
      </x:c>
      <x:c r="N138" s="64" t="str">
        <x:f>IF(A138="","",IF(COUNTIF($A$5:$A$1204,A138)&gt;1,"重复",""))</x:f>
      </x:c>
    </x:row>
    <x:row r="139">
      <x:c r="A139" s="62"/>
      <x:c r="B139" s="62"/>
      <x:c r="C139" s="62"/>
      <x:c r="D139" s="62"/>
      <x:c r="E139" s="62"/>
      <x:c r="F139" s="62"/>
      <x:c r="G139" s="66"/>
      <x:c r="H139" s="68"/>
      <x:c r="I139" s="68"/>
      <x:c r="J139" s="68"/>
      <x:c r="K139" s="68"/>
      <x:c r="L139" s="70"/>
      <x:c r="M139" s="64" t="str">
        <x:f>IF(A139="","",IF(AND(E139&lt;&gt;"",F139&lt;&gt;"",ABS(H139-I139)&lt;=0.01,ABS(J139-K139)&lt;=0.01,L139=1),"一致","检查"))</x:f>
      </x:c>
      <x:c r="N139" s="64" t="str">
        <x:f>IF(A139="","",IF(COUNTIF($A$5:$A$1204,A139)&gt;1,"重复",""))</x:f>
      </x:c>
    </x:row>
    <x:row r="140">
      <x:c r="A140" s="62"/>
      <x:c r="B140" s="62"/>
      <x:c r="C140" s="62"/>
      <x:c r="D140" s="62"/>
      <x:c r="E140" s="62"/>
      <x:c r="F140" s="62"/>
      <x:c r="G140" s="66"/>
      <x:c r="H140" s="68"/>
      <x:c r="I140" s="68"/>
      <x:c r="J140" s="68"/>
      <x:c r="K140" s="68"/>
      <x:c r="L140" s="70"/>
      <x:c r="M140" s="64" t="str">
        <x:f>IF(A140="","",IF(AND(E140&lt;&gt;"",F140&lt;&gt;"",ABS(H140-I140)&lt;=0.01,ABS(J140-K140)&lt;=0.01,L140=1),"一致","检查"))</x:f>
      </x:c>
      <x:c r="N140" s="64" t="str">
        <x:f>IF(A140="","",IF(COUNTIF($A$5:$A$1204,A140)&gt;1,"重复",""))</x:f>
      </x:c>
    </x:row>
    <x:row r="141">
      <x:c r="A141" s="62"/>
      <x:c r="B141" s="62"/>
      <x:c r="C141" s="62"/>
      <x:c r="D141" s="62"/>
      <x:c r="E141" s="62"/>
      <x:c r="F141" s="62"/>
      <x:c r="G141" s="66"/>
      <x:c r="H141" s="68"/>
      <x:c r="I141" s="68"/>
      <x:c r="J141" s="68"/>
      <x:c r="K141" s="68"/>
      <x:c r="L141" s="70"/>
      <x:c r="M141" s="64" t="str">
        <x:f>IF(A141="","",IF(AND(E141&lt;&gt;"",F141&lt;&gt;"",ABS(H141-I141)&lt;=0.01,ABS(J141-K141)&lt;=0.01,L141=1),"一致","检查"))</x:f>
      </x:c>
      <x:c r="N141" s="64" t="str">
        <x:f>IF(A141="","",IF(COUNTIF($A$5:$A$1204,A141)&gt;1,"重复",""))</x:f>
      </x:c>
    </x:row>
    <x:row r="142">
      <x:c r="A142" s="62"/>
      <x:c r="B142" s="62"/>
      <x:c r="C142" s="62"/>
      <x:c r="D142" s="62"/>
      <x:c r="E142" s="62"/>
      <x:c r="F142" s="62"/>
      <x:c r="G142" s="66"/>
      <x:c r="H142" s="68"/>
      <x:c r="I142" s="68"/>
      <x:c r="J142" s="68"/>
      <x:c r="K142" s="68"/>
      <x:c r="L142" s="70"/>
      <x:c r="M142" s="64" t="str">
        <x:f>IF(A142="","",IF(AND(E142&lt;&gt;"",F142&lt;&gt;"",ABS(H142-I142)&lt;=0.01,ABS(J142-K142)&lt;=0.01,L142=1),"一致","检查"))</x:f>
      </x:c>
      <x:c r="N142" s="64" t="str">
        <x:f>IF(A142="","",IF(COUNTIF($A$5:$A$1204,A142)&gt;1,"重复",""))</x:f>
      </x:c>
    </x:row>
    <x:row r="143">
      <x:c r="A143" s="62"/>
      <x:c r="B143" s="62"/>
      <x:c r="C143" s="62"/>
      <x:c r="D143" s="62"/>
      <x:c r="E143" s="62"/>
      <x:c r="F143" s="62"/>
      <x:c r="G143" s="66"/>
      <x:c r="H143" s="68"/>
      <x:c r="I143" s="68"/>
      <x:c r="J143" s="68"/>
      <x:c r="K143" s="68"/>
      <x:c r="L143" s="70"/>
      <x:c r="M143" s="64" t="str">
        <x:f>IF(A143="","",IF(AND(E143&lt;&gt;"",F143&lt;&gt;"",ABS(H143-I143)&lt;=0.01,ABS(J143-K143)&lt;=0.01,L143=1),"一致","检查"))</x:f>
      </x:c>
      <x:c r="N143" s="64" t="str">
        <x:f>IF(A143="","",IF(COUNTIF($A$5:$A$1204,A143)&gt;1,"重复",""))</x:f>
      </x:c>
    </x:row>
    <x:row r="144">
      <x:c r="A144" s="62"/>
      <x:c r="B144" s="62"/>
      <x:c r="C144" s="62"/>
      <x:c r="D144" s="62"/>
      <x:c r="E144" s="62"/>
      <x:c r="F144" s="62"/>
      <x:c r="G144" s="66"/>
      <x:c r="H144" s="68"/>
      <x:c r="I144" s="68"/>
      <x:c r="J144" s="68"/>
      <x:c r="K144" s="68"/>
      <x:c r="L144" s="70"/>
      <x:c r="M144" s="64" t="str">
        <x:f>IF(A144="","",IF(AND(E144&lt;&gt;"",F144&lt;&gt;"",ABS(H144-I144)&lt;=0.01,ABS(J144-K144)&lt;=0.01,L144=1),"一致","检查"))</x:f>
      </x:c>
      <x:c r="N144" s="64" t="str">
        <x:f>IF(A144="","",IF(COUNTIF($A$5:$A$1204,A144)&gt;1,"重复",""))</x:f>
      </x:c>
    </x:row>
    <x:row r="145">
      <x:c r="A145" s="62"/>
      <x:c r="B145" s="62"/>
      <x:c r="C145" s="62"/>
      <x:c r="D145" s="62"/>
      <x:c r="E145" s="62"/>
      <x:c r="F145" s="62"/>
      <x:c r="G145" s="66"/>
      <x:c r="H145" s="68"/>
      <x:c r="I145" s="68"/>
      <x:c r="J145" s="68"/>
      <x:c r="K145" s="68"/>
      <x:c r="L145" s="70"/>
      <x:c r="M145" s="64" t="str">
        <x:f>IF(A145="","",IF(AND(E145&lt;&gt;"",F145&lt;&gt;"",ABS(H145-I145)&lt;=0.01,ABS(J145-K145)&lt;=0.01,L145=1),"一致","检查"))</x:f>
      </x:c>
      <x:c r="N145" s="64" t="str">
        <x:f>IF(A145="","",IF(COUNTIF($A$5:$A$1204,A145)&gt;1,"重复",""))</x:f>
      </x:c>
    </x:row>
    <x:row r="146">
      <x:c r="A146" s="62"/>
      <x:c r="B146" s="62"/>
      <x:c r="C146" s="62"/>
      <x:c r="D146" s="62"/>
      <x:c r="E146" s="62"/>
      <x:c r="F146" s="62"/>
      <x:c r="G146" s="66"/>
      <x:c r="H146" s="68"/>
      <x:c r="I146" s="68"/>
      <x:c r="J146" s="68"/>
      <x:c r="K146" s="68"/>
      <x:c r="L146" s="70"/>
      <x:c r="M146" s="64" t="str">
        <x:f>IF(A146="","",IF(AND(E146&lt;&gt;"",F146&lt;&gt;"",ABS(H146-I146)&lt;=0.01,ABS(J146-K146)&lt;=0.01,L146=1),"一致","检查"))</x:f>
      </x:c>
      <x:c r="N146" s="64" t="str">
        <x:f>IF(A146="","",IF(COUNTIF($A$5:$A$1204,A146)&gt;1,"重复",""))</x:f>
      </x:c>
    </x:row>
    <x:row r="147">
      <x:c r="A147" s="62"/>
      <x:c r="B147" s="62"/>
      <x:c r="C147" s="62"/>
      <x:c r="D147" s="62"/>
      <x:c r="E147" s="62"/>
      <x:c r="F147" s="62"/>
      <x:c r="G147" s="66"/>
      <x:c r="H147" s="68"/>
      <x:c r="I147" s="68"/>
      <x:c r="J147" s="68"/>
      <x:c r="K147" s="68"/>
      <x:c r="L147" s="70"/>
      <x:c r="M147" s="64" t="str">
        <x:f>IF(A147="","",IF(AND(E147&lt;&gt;"",F147&lt;&gt;"",ABS(H147-I147)&lt;=0.01,ABS(J147-K147)&lt;=0.01,L147=1),"一致","检查"))</x:f>
      </x:c>
      <x:c r="N147" s="64" t="str">
        <x:f>IF(A147="","",IF(COUNTIF($A$5:$A$1204,A147)&gt;1,"重复",""))</x:f>
      </x:c>
    </x:row>
    <x:row r="148">
      <x:c r="A148" s="62"/>
      <x:c r="B148" s="62"/>
      <x:c r="C148" s="62"/>
      <x:c r="D148" s="62"/>
      <x:c r="E148" s="62"/>
      <x:c r="F148" s="62"/>
      <x:c r="G148" s="66"/>
      <x:c r="H148" s="68"/>
      <x:c r="I148" s="68"/>
      <x:c r="J148" s="68"/>
      <x:c r="K148" s="68"/>
      <x:c r="L148" s="70"/>
      <x:c r="M148" s="64" t="str">
        <x:f>IF(A148="","",IF(AND(E148&lt;&gt;"",F148&lt;&gt;"",ABS(H148-I148)&lt;=0.01,ABS(J148-K148)&lt;=0.01,L148=1),"一致","检查"))</x:f>
      </x:c>
      <x:c r="N148" s="64" t="str">
        <x:f>IF(A148="","",IF(COUNTIF($A$5:$A$1204,A148)&gt;1,"重复",""))</x:f>
      </x:c>
    </x:row>
    <x:row r="149">
      <x:c r="A149" s="62"/>
      <x:c r="B149" s="62"/>
      <x:c r="C149" s="62"/>
      <x:c r="D149" s="62"/>
      <x:c r="E149" s="62"/>
      <x:c r="F149" s="62"/>
      <x:c r="G149" s="66"/>
      <x:c r="H149" s="68"/>
      <x:c r="I149" s="68"/>
      <x:c r="J149" s="68"/>
      <x:c r="K149" s="68"/>
      <x:c r="L149" s="70"/>
      <x:c r="M149" s="64" t="str">
        <x:f>IF(A149="","",IF(AND(E149&lt;&gt;"",F149&lt;&gt;"",ABS(H149-I149)&lt;=0.01,ABS(J149-K149)&lt;=0.01,L149=1),"一致","检查"))</x:f>
      </x:c>
      <x:c r="N149" s="64" t="str">
        <x:f>IF(A149="","",IF(COUNTIF($A$5:$A$1204,A149)&gt;1,"重复",""))</x:f>
      </x:c>
    </x:row>
    <x:row r="150">
      <x:c r="A150" s="62"/>
      <x:c r="B150" s="62"/>
      <x:c r="C150" s="62"/>
      <x:c r="D150" s="62"/>
      <x:c r="E150" s="62"/>
      <x:c r="F150" s="62"/>
      <x:c r="G150" s="66"/>
      <x:c r="H150" s="68"/>
      <x:c r="I150" s="68"/>
      <x:c r="J150" s="68"/>
      <x:c r="K150" s="68"/>
      <x:c r="L150" s="70"/>
      <x:c r="M150" s="64" t="str">
        <x:f>IF(A150="","",IF(AND(E150&lt;&gt;"",F150&lt;&gt;"",ABS(H150-I150)&lt;=0.01,ABS(J150-K150)&lt;=0.01,L150=1),"一致","检查"))</x:f>
      </x:c>
      <x:c r="N150" s="64" t="str">
        <x:f>IF(A150="","",IF(COUNTIF($A$5:$A$1204,A150)&gt;1,"重复",""))</x:f>
      </x:c>
    </x:row>
    <x:row r="151">
      <x:c r="A151" s="62"/>
      <x:c r="B151" s="62"/>
      <x:c r="C151" s="62"/>
      <x:c r="D151" s="62"/>
      <x:c r="E151" s="62"/>
      <x:c r="F151" s="62"/>
      <x:c r="G151" s="66"/>
      <x:c r="H151" s="68"/>
      <x:c r="I151" s="68"/>
      <x:c r="J151" s="68"/>
      <x:c r="K151" s="68"/>
      <x:c r="L151" s="70"/>
      <x:c r="M151" s="64" t="str">
        <x:f>IF(A151="","",IF(AND(E151&lt;&gt;"",F151&lt;&gt;"",ABS(H151-I151)&lt;=0.01,ABS(J151-K151)&lt;=0.01,L151=1),"一致","检查"))</x:f>
      </x:c>
      <x:c r="N151" s="64" t="str">
        <x:f>IF(A151="","",IF(COUNTIF($A$5:$A$1204,A151)&gt;1,"重复",""))</x:f>
      </x:c>
    </x:row>
    <x:row r="152">
      <x:c r="A152" s="62"/>
      <x:c r="B152" s="62"/>
      <x:c r="C152" s="62"/>
      <x:c r="D152" s="62"/>
      <x:c r="E152" s="62"/>
      <x:c r="F152" s="62"/>
      <x:c r="G152" s="66"/>
      <x:c r="H152" s="68"/>
      <x:c r="I152" s="68"/>
      <x:c r="J152" s="68"/>
      <x:c r="K152" s="68"/>
      <x:c r="L152" s="70"/>
      <x:c r="M152" s="64" t="str">
        <x:f>IF(A152="","",IF(AND(E152&lt;&gt;"",F152&lt;&gt;"",ABS(H152-I152)&lt;=0.01,ABS(J152-K152)&lt;=0.01,L152=1),"一致","检查"))</x:f>
      </x:c>
      <x:c r="N152" s="64" t="str">
        <x:f>IF(A152="","",IF(COUNTIF($A$5:$A$1204,A152)&gt;1,"重复",""))</x:f>
      </x:c>
    </x:row>
    <x:row r="153">
      <x:c r="A153" s="62"/>
      <x:c r="B153" s="62"/>
      <x:c r="C153" s="62"/>
      <x:c r="D153" s="62"/>
      <x:c r="E153" s="62"/>
      <x:c r="F153" s="62"/>
      <x:c r="G153" s="66"/>
      <x:c r="H153" s="68"/>
      <x:c r="I153" s="68"/>
      <x:c r="J153" s="68"/>
      <x:c r="K153" s="68"/>
      <x:c r="L153" s="70"/>
      <x:c r="M153" s="64" t="str">
        <x:f>IF(A153="","",IF(AND(E153&lt;&gt;"",F153&lt;&gt;"",ABS(H153-I153)&lt;=0.01,ABS(J153-K153)&lt;=0.01,L153=1),"一致","检查"))</x:f>
      </x:c>
      <x:c r="N153" s="64" t="str">
        <x:f>IF(A153="","",IF(COUNTIF($A$5:$A$1204,A153)&gt;1,"重复",""))</x:f>
      </x:c>
    </x:row>
    <x:row r="154">
      <x:c r="A154" s="62"/>
      <x:c r="B154" s="62"/>
      <x:c r="C154" s="62"/>
      <x:c r="D154" s="62"/>
      <x:c r="E154" s="62"/>
      <x:c r="F154" s="62"/>
      <x:c r="G154" s="66"/>
      <x:c r="H154" s="68"/>
      <x:c r="I154" s="68"/>
      <x:c r="J154" s="68"/>
      <x:c r="K154" s="68"/>
      <x:c r="L154" s="70"/>
      <x:c r="M154" s="64" t="str">
        <x:f>IF(A154="","",IF(AND(E154&lt;&gt;"",F154&lt;&gt;"",ABS(H154-I154)&lt;=0.01,ABS(J154-K154)&lt;=0.01,L154=1),"一致","检查"))</x:f>
      </x:c>
      <x:c r="N154" s="64" t="str">
        <x:f>IF(A154="","",IF(COUNTIF($A$5:$A$1204,A154)&gt;1,"重复",""))</x:f>
      </x:c>
    </x:row>
    <x:row r="155">
      <x:c r="A155" s="62"/>
      <x:c r="B155" s="62"/>
      <x:c r="C155" s="62"/>
      <x:c r="D155" s="62"/>
      <x:c r="E155" s="62"/>
      <x:c r="F155" s="62"/>
      <x:c r="G155" s="66"/>
      <x:c r="H155" s="68"/>
      <x:c r="I155" s="68"/>
      <x:c r="J155" s="68"/>
      <x:c r="K155" s="68"/>
      <x:c r="L155" s="70"/>
      <x:c r="M155" s="64" t="str">
        <x:f>IF(A155="","",IF(AND(E155&lt;&gt;"",F155&lt;&gt;"",ABS(H155-I155)&lt;=0.01,ABS(J155-K155)&lt;=0.01,L155=1),"一致","检查"))</x:f>
      </x:c>
      <x:c r="N155" s="64" t="str">
        <x:f>IF(A155="","",IF(COUNTIF($A$5:$A$1204,A155)&gt;1,"重复",""))</x:f>
      </x:c>
    </x:row>
    <x:row r="156">
      <x:c r="A156" s="62"/>
      <x:c r="B156" s="62"/>
      <x:c r="C156" s="62"/>
      <x:c r="D156" s="62"/>
      <x:c r="E156" s="62"/>
      <x:c r="F156" s="62"/>
      <x:c r="G156" s="66"/>
      <x:c r="H156" s="68"/>
      <x:c r="I156" s="68"/>
      <x:c r="J156" s="68"/>
      <x:c r="K156" s="68"/>
      <x:c r="L156" s="70"/>
      <x:c r="M156" s="64" t="str">
        <x:f>IF(A156="","",IF(AND(E156&lt;&gt;"",F156&lt;&gt;"",ABS(H156-I156)&lt;=0.01,ABS(J156-K156)&lt;=0.01,L156=1),"一致","检查"))</x:f>
      </x:c>
      <x:c r="N156" s="64" t="str">
        <x:f>IF(A156="","",IF(COUNTIF($A$5:$A$1204,A156)&gt;1,"重复",""))</x:f>
      </x:c>
    </x:row>
    <x:row r="157">
      <x:c r="A157" s="62"/>
      <x:c r="B157" s="62"/>
      <x:c r="C157" s="62"/>
      <x:c r="D157" s="62"/>
      <x:c r="E157" s="62"/>
      <x:c r="F157" s="62"/>
      <x:c r="G157" s="66"/>
      <x:c r="H157" s="68"/>
      <x:c r="I157" s="68"/>
      <x:c r="J157" s="68"/>
      <x:c r="K157" s="68"/>
      <x:c r="L157" s="70"/>
      <x:c r="M157" s="64" t="str">
        <x:f>IF(A157="","",IF(AND(E157&lt;&gt;"",F157&lt;&gt;"",ABS(H157-I157)&lt;=0.01,ABS(J157-K157)&lt;=0.01,L157=1),"一致","检查"))</x:f>
      </x:c>
      <x:c r="N157" s="64" t="str">
        <x:f>IF(A157="","",IF(COUNTIF($A$5:$A$1204,A157)&gt;1,"重复",""))</x:f>
      </x:c>
    </x:row>
    <x:row r="158">
      <x:c r="A158" s="62"/>
      <x:c r="B158" s="62"/>
      <x:c r="C158" s="62"/>
      <x:c r="D158" s="62"/>
      <x:c r="E158" s="62"/>
      <x:c r="F158" s="62"/>
      <x:c r="G158" s="66"/>
      <x:c r="H158" s="68"/>
      <x:c r="I158" s="68"/>
      <x:c r="J158" s="68"/>
      <x:c r="K158" s="68"/>
      <x:c r="L158" s="70"/>
      <x:c r="M158" s="64" t="str">
        <x:f>IF(A158="","",IF(AND(E158&lt;&gt;"",F158&lt;&gt;"",ABS(H158-I158)&lt;=0.01,ABS(J158-K158)&lt;=0.01,L158=1),"一致","检查"))</x:f>
      </x:c>
      <x:c r="N158" s="64" t="str">
        <x:f>IF(A158="","",IF(COUNTIF($A$5:$A$1204,A158)&gt;1,"重复",""))</x:f>
      </x:c>
    </x:row>
    <x:row r="159">
      <x:c r="A159" s="62"/>
      <x:c r="B159" s="62"/>
      <x:c r="C159" s="62"/>
      <x:c r="D159" s="62"/>
      <x:c r="E159" s="62"/>
      <x:c r="F159" s="62"/>
      <x:c r="G159" s="66"/>
      <x:c r="H159" s="68"/>
      <x:c r="I159" s="68"/>
      <x:c r="J159" s="68"/>
      <x:c r="K159" s="68"/>
      <x:c r="L159" s="70"/>
      <x:c r="M159" s="64" t="str">
        <x:f>IF(A159="","",IF(AND(E159&lt;&gt;"",F159&lt;&gt;"",ABS(H159-I159)&lt;=0.01,ABS(J159-K159)&lt;=0.01,L159=1),"一致","检查"))</x:f>
      </x:c>
      <x:c r="N159" s="64" t="str">
        <x:f>IF(A159="","",IF(COUNTIF($A$5:$A$1204,A159)&gt;1,"重复",""))</x:f>
      </x:c>
    </x:row>
    <x:row r="160">
      <x:c r="A160" s="62"/>
      <x:c r="B160" s="62"/>
      <x:c r="C160" s="62"/>
      <x:c r="D160" s="62"/>
      <x:c r="E160" s="62"/>
      <x:c r="F160" s="62"/>
      <x:c r="G160" s="66"/>
      <x:c r="H160" s="68"/>
      <x:c r="I160" s="68"/>
      <x:c r="J160" s="68"/>
      <x:c r="K160" s="68"/>
      <x:c r="L160" s="70"/>
      <x:c r="M160" s="64" t="str">
        <x:f>IF(A160="","",IF(AND(E160&lt;&gt;"",F160&lt;&gt;"",ABS(H160-I160)&lt;=0.01,ABS(J160-K160)&lt;=0.01,L160=1),"一致","检查"))</x:f>
      </x:c>
      <x:c r="N160" s="64" t="str">
        <x:f>IF(A160="","",IF(COUNTIF($A$5:$A$1204,A160)&gt;1,"重复",""))</x:f>
      </x:c>
    </x:row>
    <x:row r="161">
      <x:c r="A161" s="62"/>
      <x:c r="B161" s="62"/>
      <x:c r="C161" s="62"/>
      <x:c r="D161" s="62"/>
      <x:c r="E161" s="62"/>
      <x:c r="F161" s="62"/>
      <x:c r="G161" s="66"/>
      <x:c r="H161" s="68"/>
      <x:c r="I161" s="68"/>
      <x:c r="J161" s="68"/>
      <x:c r="K161" s="68"/>
      <x:c r="L161" s="70"/>
      <x:c r="M161" s="64" t="str">
        <x:f>IF(A161="","",IF(AND(E161&lt;&gt;"",F161&lt;&gt;"",ABS(H161-I161)&lt;=0.01,ABS(J161-K161)&lt;=0.01,L161=1),"一致","检查"))</x:f>
      </x:c>
      <x:c r="N161" s="64" t="str">
        <x:f>IF(A161="","",IF(COUNTIF($A$5:$A$1204,A161)&gt;1,"重复",""))</x:f>
      </x:c>
    </x:row>
    <x:row r="162">
      <x:c r="A162" s="62"/>
      <x:c r="B162" s="62"/>
      <x:c r="C162" s="62"/>
      <x:c r="D162" s="62"/>
      <x:c r="E162" s="62"/>
      <x:c r="F162" s="62"/>
      <x:c r="G162" s="66"/>
      <x:c r="H162" s="68"/>
      <x:c r="I162" s="68"/>
      <x:c r="J162" s="68"/>
      <x:c r="K162" s="68"/>
      <x:c r="L162" s="70"/>
      <x:c r="M162" s="64" t="str">
        <x:f>IF(A162="","",IF(AND(E162&lt;&gt;"",F162&lt;&gt;"",ABS(H162-I162)&lt;=0.01,ABS(J162-K162)&lt;=0.01,L162=1),"一致","检查"))</x:f>
      </x:c>
      <x:c r="N162" s="64" t="str">
        <x:f>IF(A162="","",IF(COUNTIF($A$5:$A$1204,A162)&gt;1,"重复",""))</x:f>
      </x:c>
    </x:row>
    <x:row r="163">
      <x:c r="A163" s="62"/>
      <x:c r="B163" s="62"/>
      <x:c r="C163" s="62"/>
      <x:c r="D163" s="62"/>
      <x:c r="E163" s="62"/>
      <x:c r="F163" s="62"/>
      <x:c r="G163" s="66"/>
      <x:c r="H163" s="68"/>
      <x:c r="I163" s="68"/>
      <x:c r="J163" s="68"/>
      <x:c r="K163" s="68"/>
      <x:c r="L163" s="70"/>
      <x:c r="M163" s="64" t="str">
        <x:f>IF(A163="","",IF(AND(E163&lt;&gt;"",F163&lt;&gt;"",ABS(H163-I163)&lt;=0.01,ABS(J163-K163)&lt;=0.01,L163=1),"一致","检查"))</x:f>
      </x:c>
      <x:c r="N163" s="64" t="str">
        <x:f>IF(A163="","",IF(COUNTIF($A$5:$A$1204,A163)&gt;1,"重复",""))</x:f>
      </x:c>
    </x:row>
    <x:row r="164">
      <x:c r="A164" s="62"/>
      <x:c r="B164" s="62"/>
      <x:c r="C164" s="62"/>
      <x:c r="D164" s="62"/>
      <x:c r="E164" s="62"/>
      <x:c r="F164" s="62"/>
      <x:c r="G164" s="66"/>
      <x:c r="H164" s="68"/>
      <x:c r="I164" s="68"/>
      <x:c r="J164" s="68"/>
      <x:c r="K164" s="68"/>
      <x:c r="L164" s="70"/>
      <x:c r="M164" s="64" t="str">
        <x:f>IF(A164="","",IF(AND(E164&lt;&gt;"",F164&lt;&gt;"",ABS(H164-I164)&lt;=0.01,ABS(J164-K164)&lt;=0.01,L164=1),"一致","检查"))</x:f>
      </x:c>
      <x:c r="N164" s="64" t="str">
        <x:f>IF(A164="","",IF(COUNTIF($A$5:$A$1204,A164)&gt;1,"重复",""))</x:f>
      </x:c>
    </x:row>
    <x:row r="165">
      <x:c r="A165" s="62"/>
      <x:c r="B165" s="62"/>
      <x:c r="C165" s="62"/>
      <x:c r="D165" s="62"/>
      <x:c r="E165" s="62"/>
      <x:c r="F165" s="62"/>
      <x:c r="G165" s="66"/>
      <x:c r="H165" s="68"/>
      <x:c r="I165" s="68"/>
      <x:c r="J165" s="68"/>
      <x:c r="K165" s="68"/>
      <x:c r="L165" s="70"/>
      <x:c r="M165" s="64" t="str">
        <x:f>IF(A165="","",IF(AND(E165&lt;&gt;"",F165&lt;&gt;"",ABS(H165-I165)&lt;=0.01,ABS(J165-K165)&lt;=0.01,L165=1),"一致","检查"))</x:f>
      </x:c>
      <x:c r="N165" s="64" t="str">
        <x:f>IF(A165="","",IF(COUNTIF($A$5:$A$1204,A165)&gt;1,"重复",""))</x:f>
      </x:c>
    </x:row>
    <x:row r="166">
      <x:c r="A166" s="62"/>
      <x:c r="B166" s="62"/>
      <x:c r="C166" s="62"/>
      <x:c r="D166" s="62"/>
      <x:c r="E166" s="62"/>
      <x:c r="F166" s="62"/>
      <x:c r="G166" s="66"/>
      <x:c r="H166" s="68"/>
      <x:c r="I166" s="68"/>
      <x:c r="J166" s="68"/>
      <x:c r="K166" s="68"/>
      <x:c r="L166" s="70"/>
      <x:c r="M166" s="64" t="str">
        <x:f>IF(A166="","",IF(AND(E166&lt;&gt;"",F166&lt;&gt;"",ABS(H166-I166)&lt;=0.01,ABS(J166-K166)&lt;=0.01,L166=1),"一致","检查"))</x:f>
      </x:c>
      <x:c r="N166" s="64" t="str">
        <x:f>IF(A166="","",IF(COUNTIF($A$5:$A$1204,A166)&gt;1,"重复",""))</x:f>
      </x:c>
    </x:row>
    <x:row r="167">
      <x:c r="A167" s="62"/>
      <x:c r="B167" s="62"/>
      <x:c r="C167" s="62"/>
      <x:c r="D167" s="62"/>
      <x:c r="E167" s="62"/>
      <x:c r="F167" s="62"/>
      <x:c r="G167" s="66"/>
      <x:c r="H167" s="68"/>
      <x:c r="I167" s="68"/>
      <x:c r="J167" s="68"/>
      <x:c r="K167" s="68"/>
      <x:c r="L167" s="70"/>
      <x:c r="M167" s="64" t="str">
        <x:f>IF(A167="","",IF(AND(E167&lt;&gt;"",F167&lt;&gt;"",ABS(H167-I167)&lt;=0.01,ABS(J167-K167)&lt;=0.01,L167=1),"一致","检查"))</x:f>
      </x:c>
      <x:c r="N167" s="64" t="str">
        <x:f>IF(A167="","",IF(COUNTIF($A$5:$A$1204,A167)&gt;1,"重复",""))</x:f>
      </x:c>
    </x:row>
    <x:row r="168">
      <x:c r="A168" s="62"/>
      <x:c r="B168" s="62"/>
      <x:c r="C168" s="62"/>
      <x:c r="D168" s="62"/>
      <x:c r="E168" s="62"/>
      <x:c r="F168" s="62"/>
      <x:c r="G168" s="66"/>
      <x:c r="H168" s="68"/>
      <x:c r="I168" s="68"/>
      <x:c r="J168" s="68"/>
      <x:c r="K168" s="68"/>
      <x:c r="L168" s="70"/>
      <x:c r="M168" s="64" t="str">
        <x:f>IF(A168="","",IF(AND(E168&lt;&gt;"",F168&lt;&gt;"",ABS(H168-I168)&lt;=0.01,ABS(J168-K168)&lt;=0.01,L168=1),"一致","检查"))</x:f>
      </x:c>
      <x:c r="N168" s="64" t="str">
        <x:f>IF(A168="","",IF(COUNTIF($A$5:$A$1204,A168)&gt;1,"重复",""))</x:f>
      </x:c>
    </x:row>
    <x:row r="169">
      <x:c r="A169" s="62"/>
      <x:c r="B169" s="62"/>
      <x:c r="C169" s="62"/>
      <x:c r="D169" s="62"/>
      <x:c r="E169" s="62"/>
      <x:c r="F169" s="62"/>
      <x:c r="G169" s="66"/>
      <x:c r="H169" s="68"/>
      <x:c r="I169" s="68"/>
      <x:c r="J169" s="68"/>
      <x:c r="K169" s="68"/>
      <x:c r="L169" s="70"/>
      <x:c r="M169" s="64" t="str">
        <x:f>IF(A169="","",IF(AND(E169&lt;&gt;"",F169&lt;&gt;"",ABS(H169-I169)&lt;=0.01,ABS(J169-K169)&lt;=0.01,L169=1),"一致","检查"))</x:f>
      </x:c>
      <x:c r="N169" s="64" t="str">
        <x:f>IF(A169="","",IF(COUNTIF($A$5:$A$1204,A169)&gt;1,"重复",""))</x:f>
      </x:c>
    </x:row>
    <x:row r="170">
      <x:c r="A170" s="62"/>
      <x:c r="B170" s="62"/>
      <x:c r="C170" s="62"/>
      <x:c r="D170" s="62"/>
      <x:c r="E170" s="62"/>
      <x:c r="F170" s="62"/>
      <x:c r="G170" s="66"/>
      <x:c r="H170" s="68"/>
      <x:c r="I170" s="68"/>
      <x:c r="J170" s="68"/>
      <x:c r="K170" s="68"/>
      <x:c r="L170" s="70"/>
      <x:c r="M170" s="64" t="str">
        <x:f>IF(A170="","",IF(AND(E170&lt;&gt;"",F170&lt;&gt;"",ABS(H170-I170)&lt;=0.01,ABS(J170-K170)&lt;=0.01,L170=1),"一致","检查"))</x:f>
      </x:c>
      <x:c r="N170" s="64" t="str">
        <x:f>IF(A170="","",IF(COUNTIF($A$5:$A$1204,A170)&gt;1,"重复",""))</x:f>
      </x:c>
    </x:row>
    <x:row r="171">
      <x:c r="A171" s="62"/>
      <x:c r="B171" s="62"/>
      <x:c r="C171" s="62"/>
      <x:c r="D171" s="62"/>
      <x:c r="E171" s="62"/>
      <x:c r="F171" s="62"/>
      <x:c r="G171" s="66"/>
      <x:c r="H171" s="68"/>
      <x:c r="I171" s="68"/>
      <x:c r="J171" s="68"/>
      <x:c r="K171" s="68"/>
      <x:c r="L171" s="70"/>
      <x:c r="M171" s="64" t="str">
        <x:f>IF(A171="","",IF(AND(E171&lt;&gt;"",F171&lt;&gt;"",ABS(H171-I171)&lt;=0.01,ABS(J171-K171)&lt;=0.01,L171=1),"一致","检查"))</x:f>
      </x:c>
      <x:c r="N171" s="64" t="str">
        <x:f>IF(A171="","",IF(COUNTIF($A$5:$A$1204,A171)&gt;1,"重复",""))</x:f>
      </x:c>
    </x:row>
    <x:row r="172">
      <x:c r="A172" s="62"/>
      <x:c r="B172" s="62"/>
      <x:c r="C172" s="62"/>
      <x:c r="D172" s="62"/>
      <x:c r="E172" s="62"/>
      <x:c r="F172" s="62"/>
      <x:c r="G172" s="66"/>
      <x:c r="H172" s="68"/>
      <x:c r="I172" s="68"/>
      <x:c r="J172" s="68"/>
      <x:c r="K172" s="68"/>
      <x:c r="L172" s="70"/>
      <x:c r="M172" s="64" t="str">
        <x:f>IF(A172="","",IF(AND(E172&lt;&gt;"",F172&lt;&gt;"",ABS(H172-I172)&lt;=0.01,ABS(J172-K172)&lt;=0.01,L172=1),"一致","检查"))</x:f>
      </x:c>
      <x:c r="N172" s="64" t="str">
        <x:f>IF(A172="","",IF(COUNTIF($A$5:$A$1204,A172)&gt;1,"重复",""))</x:f>
      </x:c>
    </x:row>
    <x:row r="173">
      <x:c r="A173" s="62"/>
      <x:c r="B173" s="62"/>
      <x:c r="C173" s="62"/>
      <x:c r="D173" s="62"/>
      <x:c r="E173" s="62"/>
      <x:c r="F173" s="62"/>
      <x:c r="G173" s="66"/>
      <x:c r="H173" s="68"/>
      <x:c r="I173" s="68"/>
      <x:c r="J173" s="68"/>
      <x:c r="K173" s="68"/>
      <x:c r="L173" s="70"/>
      <x:c r="M173" s="64" t="str">
        <x:f>IF(A173="","",IF(AND(E173&lt;&gt;"",F173&lt;&gt;"",ABS(H173-I173)&lt;=0.01,ABS(J173-K173)&lt;=0.01,L173=1),"一致","检查"))</x:f>
      </x:c>
      <x:c r="N173" s="64" t="str">
        <x:f>IF(A173="","",IF(COUNTIF($A$5:$A$1204,A173)&gt;1,"重复",""))</x:f>
      </x:c>
    </x:row>
    <x:row r="174">
      <x:c r="A174" s="62"/>
      <x:c r="B174" s="62"/>
      <x:c r="C174" s="62"/>
      <x:c r="D174" s="62"/>
      <x:c r="E174" s="62"/>
      <x:c r="F174" s="62"/>
      <x:c r="G174" s="66"/>
      <x:c r="H174" s="68"/>
      <x:c r="I174" s="68"/>
      <x:c r="J174" s="68"/>
      <x:c r="K174" s="68"/>
      <x:c r="L174" s="70"/>
      <x:c r="M174" s="64" t="str">
        <x:f>IF(A174="","",IF(AND(E174&lt;&gt;"",F174&lt;&gt;"",ABS(H174-I174)&lt;=0.01,ABS(J174-K174)&lt;=0.01,L174=1),"一致","检查"))</x:f>
      </x:c>
      <x:c r="N174" s="64" t="str">
        <x:f>IF(A174="","",IF(COUNTIF($A$5:$A$1204,A174)&gt;1,"重复",""))</x:f>
      </x:c>
    </x:row>
    <x:row r="175">
      <x:c r="A175" s="62"/>
      <x:c r="B175" s="62"/>
      <x:c r="C175" s="62"/>
      <x:c r="D175" s="62"/>
      <x:c r="E175" s="62"/>
      <x:c r="F175" s="62"/>
      <x:c r="G175" s="66"/>
      <x:c r="H175" s="68"/>
      <x:c r="I175" s="68"/>
      <x:c r="J175" s="68"/>
      <x:c r="K175" s="68"/>
      <x:c r="L175" s="70"/>
      <x:c r="M175" s="64" t="str">
        <x:f>IF(A175="","",IF(AND(E175&lt;&gt;"",F175&lt;&gt;"",ABS(H175-I175)&lt;=0.01,ABS(J175-K175)&lt;=0.01,L175=1),"一致","检查"))</x:f>
      </x:c>
      <x:c r="N175" s="64" t="str">
        <x:f>IF(A175="","",IF(COUNTIF($A$5:$A$1204,A175)&gt;1,"重复",""))</x:f>
      </x:c>
    </x:row>
    <x:row r="176">
      <x:c r="A176" s="62"/>
      <x:c r="B176" s="62"/>
      <x:c r="C176" s="62"/>
      <x:c r="D176" s="62"/>
      <x:c r="E176" s="62"/>
      <x:c r="F176" s="62"/>
      <x:c r="G176" s="66"/>
      <x:c r="H176" s="68"/>
      <x:c r="I176" s="68"/>
      <x:c r="J176" s="68"/>
      <x:c r="K176" s="68"/>
      <x:c r="L176" s="70"/>
      <x:c r="M176" s="64" t="str">
        <x:f>IF(A176="","",IF(AND(E176&lt;&gt;"",F176&lt;&gt;"",ABS(H176-I176)&lt;=0.01,ABS(J176-K176)&lt;=0.01,L176=1),"一致","检查"))</x:f>
      </x:c>
      <x:c r="N176" s="64" t="str">
        <x:f>IF(A176="","",IF(COUNTIF($A$5:$A$1204,A176)&gt;1,"重复",""))</x:f>
      </x:c>
    </x:row>
    <x:row r="177">
      <x:c r="A177" s="62"/>
      <x:c r="B177" s="62"/>
      <x:c r="C177" s="62"/>
      <x:c r="D177" s="62"/>
      <x:c r="E177" s="62"/>
      <x:c r="F177" s="62"/>
      <x:c r="G177" s="66"/>
      <x:c r="H177" s="68"/>
      <x:c r="I177" s="68"/>
      <x:c r="J177" s="68"/>
      <x:c r="K177" s="68"/>
      <x:c r="L177" s="70"/>
      <x:c r="M177" s="64" t="str">
        <x:f>IF(A177="","",IF(AND(E177&lt;&gt;"",F177&lt;&gt;"",ABS(H177-I177)&lt;=0.01,ABS(J177-K177)&lt;=0.01,L177=1),"一致","检查"))</x:f>
      </x:c>
      <x:c r="N177" s="64" t="str">
        <x:f>IF(A177="","",IF(COUNTIF($A$5:$A$1204,A177)&gt;1,"重复",""))</x:f>
      </x:c>
    </x:row>
    <x:row r="178">
      <x:c r="A178" s="62"/>
      <x:c r="B178" s="62"/>
      <x:c r="C178" s="62"/>
      <x:c r="D178" s="62"/>
      <x:c r="E178" s="62"/>
      <x:c r="F178" s="62"/>
      <x:c r="G178" s="66"/>
      <x:c r="H178" s="68"/>
      <x:c r="I178" s="68"/>
      <x:c r="J178" s="68"/>
      <x:c r="K178" s="68"/>
      <x:c r="L178" s="70"/>
      <x:c r="M178" s="64" t="str">
        <x:f>IF(A178="","",IF(AND(E178&lt;&gt;"",F178&lt;&gt;"",ABS(H178-I178)&lt;=0.01,ABS(J178-K178)&lt;=0.01,L178=1),"一致","检查"))</x:f>
      </x:c>
      <x:c r="N178" s="64" t="str">
        <x:f>IF(A178="","",IF(COUNTIF($A$5:$A$1204,A178)&gt;1,"重复",""))</x:f>
      </x:c>
    </x:row>
    <x:row r="179">
      <x:c r="A179" s="62"/>
      <x:c r="B179" s="62"/>
      <x:c r="C179" s="62"/>
      <x:c r="D179" s="62"/>
      <x:c r="E179" s="62"/>
      <x:c r="F179" s="62"/>
      <x:c r="G179" s="66"/>
      <x:c r="H179" s="68"/>
      <x:c r="I179" s="68"/>
      <x:c r="J179" s="68"/>
      <x:c r="K179" s="68"/>
      <x:c r="L179" s="70"/>
      <x:c r="M179" s="64" t="str">
        <x:f>IF(A179="","",IF(AND(E179&lt;&gt;"",F179&lt;&gt;"",ABS(H179-I179)&lt;=0.01,ABS(J179-K179)&lt;=0.01,L179=1),"一致","检查"))</x:f>
      </x:c>
      <x:c r="N179" s="64" t="str">
        <x:f>IF(A179="","",IF(COUNTIF($A$5:$A$1204,A179)&gt;1,"重复",""))</x:f>
      </x:c>
    </x:row>
    <x:row r="180">
      <x:c r="A180" s="62"/>
      <x:c r="B180" s="62"/>
      <x:c r="C180" s="62"/>
      <x:c r="D180" s="62"/>
      <x:c r="E180" s="62"/>
      <x:c r="F180" s="62"/>
      <x:c r="G180" s="66"/>
      <x:c r="H180" s="68"/>
      <x:c r="I180" s="68"/>
      <x:c r="J180" s="68"/>
      <x:c r="K180" s="68"/>
      <x:c r="L180" s="70"/>
      <x:c r="M180" s="64" t="str">
        <x:f>IF(A180="","",IF(AND(E180&lt;&gt;"",F180&lt;&gt;"",ABS(H180-I180)&lt;=0.01,ABS(J180-K180)&lt;=0.01,L180=1),"一致","检查"))</x:f>
      </x:c>
      <x:c r="N180" s="64" t="str">
        <x:f>IF(A180="","",IF(COUNTIF($A$5:$A$1204,A180)&gt;1,"重复",""))</x:f>
      </x:c>
    </x:row>
    <x:row r="181">
      <x:c r="A181" s="62"/>
      <x:c r="B181" s="62"/>
      <x:c r="C181" s="62"/>
      <x:c r="D181" s="62"/>
      <x:c r="E181" s="62"/>
      <x:c r="F181" s="62"/>
      <x:c r="G181" s="66"/>
      <x:c r="H181" s="68"/>
      <x:c r="I181" s="68"/>
      <x:c r="J181" s="68"/>
      <x:c r="K181" s="68"/>
      <x:c r="L181" s="70"/>
      <x:c r="M181" s="64" t="str">
        <x:f>IF(A181="","",IF(AND(E181&lt;&gt;"",F181&lt;&gt;"",ABS(H181-I181)&lt;=0.01,ABS(J181-K181)&lt;=0.01,L181=1),"一致","检查"))</x:f>
      </x:c>
      <x:c r="N181" s="64" t="str">
        <x:f>IF(A181="","",IF(COUNTIF($A$5:$A$1204,A181)&gt;1,"重复",""))</x:f>
      </x:c>
    </x:row>
    <x:row r="182">
      <x:c r="A182" s="62"/>
      <x:c r="B182" s="62"/>
      <x:c r="C182" s="62"/>
      <x:c r="D182" s="62"/>
      <x:c r="E182" s="62"/>
      <x:c r="F182" s="62"/>
      <x:c r="G182" s="66"/>
      <x:c r="H182" s="68"/>
      <x:c r="I182" s="68"/>
      <x:c r="J182" s="68"/>
      <x:c r="K182" s="68"/>
      <x:c r="L182" s="70"/>
      <x:c r="M182" s="64" t="str">
        <x:f>IF(A182="","",IF(AND(E182&lt;&gt;"",F182&lt;&gt;"",ABS(H182-I182)&lt;=0.01,ABS(J182-K182)&lt;=0.01,L182=1),"一致","检查"))</x:f>
      </x:c>
      <x:c r="N182" s="64" t="str">
        <x:f>IF(A182="","",IF(COUNTIF($A$5:$A$1204,A182)&gt;1,"重复",""))</x:f>
      </x:c>
    </x:row>
    <x:row r="183">
      <x:c r="A183" s="62"/>
      <x:c r="B183" s="62"/>
      <x:c r="C183" s="62"/>
      <x:c r="D183" s="62"/>
      <x:c r="E183" s="62"/>
      <x:c r="F183" s="62"/>
      <x:c r="G183" s="66"/>
      <x:c r="H183" s="68"/>
      <x:c r="I183" s="68"/>
      <x:c r="J183" s="68"/>
      <x:c r="K183" s="68"/>
      <x:c r="L183" s="70"/>
      <x:c r="M183" s="64" t="str">
        <x:f>IF(A183="","",IF(AND(E183&lt;&gt;"",F183&lt;&gt;"",ABS(H183-I183)&lt;=0.01,ABS(J183-K183)&lt;=0.01,L183=1),"一致","检查"))</x:f>
      </x:c>
      <x:c r="N183" s="64" t="str">
        <x:f>IF(A183="","",IF(COUNTIF($A$5:$A$1204,A183)&gt;1,"重复",""))</x:f>
      </x:c>
    </x:row>
    <x:row r="184">
      <x:c r="A184" s="62"/>
      <x:c r="B184" s="62"/>
      <x:c r="C184" s="62"/>
      <x:c r="D184" s="62"/>
      <x:c r="E184" s="62"/>
      <x:c r="F184" s="62"/>
      <x:c r="G184" s="66"/>
      <x:c r="H184" s="68"/>
      <x:c r="I184" s="68"/>
      <x:c r="J184" s="68"/>
      <x:c r="K184" s="68"/>
      <x:c r="L184" s="70"/>
      <x:c r="M184" s="64" t="str">
        <x:f>IF(A184="","",IF(AND(E184&lt;&gt;"",F184&lt;&gt;"",ABS(H184-I184)&lt;=0.01,ABS(J184-K184)&lt;=0.01,L184=1),"一致","检查"))</x:f>
      </x:c>
      <x:c r="N184" s="64" t="str">
        <x:f>IF(A184="","",IF(COUNTIF($A$5:$A$1204,A184)&gt;1,"重复",""))</x:f>
      </x:c>
    </x:row>
    <x:row r="185">
      <x:c r="A185" s="62"/>
      <x:c r="B185" s="62"/>
      <x:c r="C185" s="62"/>
      <x:c r="D185" s="62"/>
      <x:c r="E185" s="62"/>
      <x:c r="F185" s="62"/>
      <x:c r="G185" s="66"/>
      <x:c r="H185" s="68"/>
      <x:c r="I185" s="68"/>
      <x:c r="J185" s="68"/>
      <x:c r="K185" s="68"/>
      <x:c r="L185" s="70"/>
      <x:c r="M185" s="64" t="str">
        <x:f>IF(A185="","",IF(AND(E185&lt;&gt;"",F185&lt;&gt;"",ABS(H185-I185)&lt;=0.01,ABS(J185-K185)&lt;=0.01,L185=1),"一致","检查"))</x:f>
      </x:c>
      <x:c r="N185" s="64" t="str">
        <x:f>IF(A185="","",IF(COUNTIF($A$5:$A$1204,A185)&gt;1,"重复",""))</x:f>
      </x:c>
    </x:row>
    <x:row r="186">
      <x:c r="A186" s="62"/>
      <x:c r="B186" s="62"/>
      <x:c r="C186" s="62"/>
      <x:c r="D186" s="62"/>
      <x:c r="E186" s="62"/>
      <x:c r="F186" s="62"/>
      <x:c r="G186" s="66"/>
      <x:c r="H186" s="68"/>
      <x:c r="I186" s="68"/>
      <x:c r="J186" s="68"/>
      <x:c r="K186" s="68"/>
      <x:c r="L186" s="70"/>
      <x:c r="M186" s="64" t="str">
        <x:f>IF(A186="","",IF(AND(E186&lt;&gt;"",F186&lt;&gt;"",ABS(H186-I186)&lt;=0.01,ABS(J186-K186)&lt;=0.01,L186=1),"一致","检查"))</x:f>
      </x:c>
      <x:c r="N186" s="64" t="str">
        <x:f>IF(A186="","",IF(COUNTIF($A$5:$A$1204,A186)&gt;1,"重复",""))</x:f>
      </x:c>
    </x:row>
    <x:row r="187">
      <x:c r="A187" s="62"/>
      <x:c r="B187" s="62"/>
      <x:c r="C187" s="62"/>
      <x:c r="D187" s="62"/>
      <x:c r="E187" s="62"/>
      <x:c r="F187" s="62"/>
      <x:c r="G187" s="66"/>
      <x:c r="H187" s="68"/>
      <x:c r="I187" s="68"/>
      <x:c r="J187" s="68"/>
      <x:c r="K187" s="68"/>
      <x:c r="L187" s="70"/>
      <x:c r="M187" s="64" t="str">
        <x:f>IF(A187="","",IF(AND(E187&lt;&gt;"",F187&lt;&gt;"",ABS(H187-I187)&lt;=0.01,ABS(J187-K187)&lt;=0.01,L187=1),"一致","检查"))</x:f>
      </x:c>
      <x:c r="N187" s="64" t="str">
        <x:f>IF(A187="","",IF(COUNTIF($A$5:$A$1204,A187)&gt;1,"重复",""))</x:f>
      </x:c>
    </x:row>
    <x:row r="188">
      <x:c r="A188" s="62"/>
      <x:c r="B188" s="62"/>
      <x:c r="C188" s="62"/>
      <x:c r="D188" s="62"/>
      <x:c r="E188" s="62"/>
      <x:c r="F188" s="62"/>
      <x:c r="G188" s="66"/>
      <x:c r="H188" s="68"/>
      <x:c r="I188" s="68"/>
      <x:c r="J188" s="68"/>
      <x:c r="K188" s="68"/>
      <x:c r="L188" s="70"/>
      <x:c r="M188" s="64" t="str">
        <x:f>IF(A188="","",IF(AND(E188&lt;&gt;"",F188&lt;&gt;"",ABS(H188-I188)&lt;=0.01,ABS(J188-K188)&lt;=0.01,L188=1),"一致","检查"))</x:f>
      </x:c>
      <x:c r="N188" s="64" t="str">
        <x:f>IF(A188="","",IF(COUNTIF($A$5:$A$1204,A188)&gt;1,"重复",""))</x:f>
      </x:c>
    </x:row>
    <x:row r="189">
      <x:c r="A189" s="62"/>
      <x:c r="B189" s="62"/>
      <x:c r="C189" s="62"/>
      <x:c r="D189" s="62"/>
      <x:c r="E189" s="62"/>
      <x:c r="F189" s="62"/>
      <x:c r="G189" s="66"/>
      <x:c r="H189" s="68"/>
      <x:c r="I189" s="68"/>
      <x:c r="J189" s="68"/>
      <x:c r="K189" s="68"/>
      <x:c r="L189" s="70"/>
      <x:c r="M189" s="64" t="str">
        <x:f>IF(A189="","",IF(AND(E189&lt;&gt;"",F189&lt;&gt;"",ABS(H189-I189)&lt;=0.01,ABS(J189-K189)&lt;=0.01,L189=1),"一致","检查"))</x:f>
      </x:c>
      <x:c r="N189" s="64" t="str">
        <x:f>IF(A189="","",IF(COUNTIF($A$5:$A$1204,A189)&gt;1,"重复",""))</x:f>
      </x:c>
    </x:row>
    <x:row r="190">
      <x:c r="A190" s="62"/>
      <x:c r="B190" s="62"/>
      <x:c r="C190" s="62"/>
      <x:c r="D190" s="62"/>
      <x:c r="E190" s="62"/>
      <x:c r="F190" s="62"/>
      <x:c r="G190" s="66"/>
      <x:c r="H190" s="68"/>
      <x:c r="I190" s="68"/>
      <x:c r="J190" s="68"/>
      <x:c r="K190" s="68"/>
      <x:c r="L190" s="70"/>
      <x:c r="M190" s="64" t="str">
        <x:f>IF(A190="","",IF(AND(E190&lt;&gt;"",F190&lt;&gt;"",ABS(H190-I190)&lt;=0.01,ABS(J190-K190)&lt;=0.01,L190=1),"一致","检查"))</x:f>
      </x:c>
      <x:c r="N190" s="64" t="str">
        <x:f>IF(A190="","",IF(COUNTIF($A$5:$A$1204,A190)&gt;1,"重复",""))</x:f>
      </x:c>
    </x:row>
    <x:row r="191">
      <x:c r="A191" s="62"/>
      <x:c r="B191" s="62"/>
      <x:c r="C191" s="62"/>
      <x:c r="D191" s="62"/>
      <x:c r="E191" s="62"/>
      <x:c r="F191" s="62"/>
      <x:c r="G191" s="66"/>
      <x:c r="H191" s="68"/>
      <x:c r="I191" s="68"/>
      <x:c r="J191" s="68"/>
      <x:c r="K191" s="68"/>
      <x:c r="L191" s="70"/>
      <x:c r="M191" s="64" t="str">
        <x:f>IF(A191="","",IF(AND(E191&lt;&gt;"",F191&lt;&gt;"",ABS(H191-I191)&lt;=0.01,ABS(J191-K191)&lt;=0.01,L191=1),"一致","检查"))</x:f>
      </x:c>
      <x:c r="N191" s="64" t="str">
        <x:f>IF(A191="","",IF(COUNTIF($A$5:$A$1204,A191)&gt;1,"重复",""))</x:f>
      </x:c>
    </x:row>
    <x:row r="192">
      <x:c r="A192" s="62"/>
      <x:c r="B192" s="62"/>
      <x:c r="C192" s="62"/>
      <x:c r="D192" s="62"/>
      <x:c r="E192" s="62"/>
      <x:c r="F192" s="62"/>
      <x:c r="G192" s="66"/>
      <x:c r="H192" s="68"/>
      <x:c r="I192" s="68"/>
      <x:c r="J192" s="68"/>
      <x:c r="K192" s="68"/>
      <x:c r="L192" s="70"/>
      <x:c r="M192" s="64" t="str">
        <x:f>IF(A192="","",IF(AND(E192&lt;&gt;"",F192&lt;&gt;"",ABS(H192-I192)&lt;=0.01,ABS(J192-K192)&lt;=0.01,L192=1),"一致","检查"))</x:f>
      </x:c>
      <x:c r="N192" s="64" t="str">
        <x:f>IF(A192="","",IF(COUNTIF($A$5:$A$1204,A192)&gt;1,"重复",""))</x:f>
      </x:c>
    </x:row>
    <x:row r="193">
      <x:c r="A193" s="62"/>
      <x:c r="B193" s="62"/>
      <x:c r="C193" s="62"/>
      <x:c r="D193" s="62"/>
      <x:c r="E193" s="62"/>
      <x:c r="F193" s="62"/>
      <x:c r="G193" s="66"/>
      <x:c r="H193" s="68"/>
      <x:c r="I193" s="68"/>
      <x:c r="J193" s="68"/>
      <x:c r="K193" s="68"/>
      <x:c r="L193" s="70"/>
      <x:c r="M193" s="64" t="str">
        <x:f>IF(A193="","",IF(AND(E193&lt;&gt;"",F193&lt;&gt;"",ABS(H193-I193)&lt;=0.01,ABS(J193-K193)&lt;=0.01,L193=1),"一致","检查"))</x:f>
      </x:c>
      <x:c r="N193" s="64" t="str">
        <x:f>IF(A193="","",IF(COUNTIF($A$5:$A$1204,A193)&gt;1,"重复",""))</x:f>
      </x:c>
    </x:row>
    <x:row r="194">
      <x:c r="A194" s="62"/>
      <x:c r="B194" s="62"/>
      <x:c r="C194" s="62"/>
      <x:c r="D194" s="62"/>
      <x:c r="E194" s="62"/>
      <x:c r="F194" s="62"/>
      <x:c r="G194" s="66"/>
      <x:c r="H194" s="68"/>
      <x:c r="I194" s="68"/>
      <x:c r="J194" s="68"/>
      <x:c r="K194" s="68"/>
      <x:c r="L194" s="70"/>
      <x:c r="M194" s="64" t="str">
        <x:f>IF(A194="","",IF(AND(E194&lt;&gt;"",F194&lt;&gt;"",ABS(H194-I194)&lt;=0.01,ABS(J194-K194)&lt;=0.01,L194=1),"一致","检查"))</x:f>
      </x:c>
      <x:c r="N194" s="64" t="str">
        <x:f>IF(A194="","",IF(COUNTIF($A$5:$A$1204,A194)&gt;1,"重复",""))</x:f>
      </x:c>
    </x:row>
    <x:row r="195">
      <x:c r="A195" s="62"/>
      <x:c r="B195" s="62"/>
      <x:c r="C195" s="62"/>
      <x:c r="D195" s="62"/>
      <x:c r="E195" s="62"/>
      <x:c r="F195" s="62"/>
      <x:c r="G195" s="66"/>
      <x:c r="H195" s="68"/>
      <x:c r="I195" s="68"/>
      <x:c r="J195" s="68"/>
      <x:c r="K195" s="68"/>
      <x:c r="L195" s="70"/>
      <x:c r="M195" s="64" t="str">
        <x:f>IF(A195="","",IF(AND(E195&lt;&gt;"",F195&lt;&gt;"",ABS(H195-I195)&lt;=0.01,ABS(J195-K195)&lt;=0.01,L195=1),"一致","检查"))</x:f>
      </x:c>
      <x:c r="N195" s="64" t="str">
        <x:f>IF(A195="","",IF(COUNTIF($A$5:$A$1204,A195)&gt;1,"重复",""))</x:f>
      </x:c>
    </x:row>
    <x:row r="196">
      <x:c r="A196" s="62"/>
      <x:c r="B196" s="62"/>
      <x:c r="C196" s="62"/>
      <x:c r="D196" s="62"/>
      <x:c r="E196" s="62"/>
      <x:c r="F196" s="62"/>
      <x:c r="G196" s="66"/>
      <x:c r="H196" s="68"/>
      <x:c r="I196" s="68"/>
      <x:c r="J196" s="68"/>
      <x:c r="K196" s="68"/>
      <x:c r="L196" s="70"/>
      <x:c r="M196" s="64" t="str">
        <x:f>IF(A196="","",IF(AND(E196&lt;&gt;"",F196&lt;&gt;"",ABS(H196-I196)&lt;=0.01,ABS(J196-K196)&lt;=0.01,L196=1),"一致","检查"))</x:f>
      </x:c>
      <x:c r="N196" s="64" t="str">
        <x:f>IF(A196="","",IF(COUNTIF($A$5:$A$1204,A196)&gt;1,"重复",""))</x:f>
      </x:c>
    </x:row>
    <x:row r="197">
      <x:c r="A197" s="62"/>
      <x:c r="B197" s="62"/>
      <x:c r="C197" s="62"/>
      <x:c r="D197" s="62"/>
      <x:c r="E197" s="62"/>
      <x:c r="F197" s="62"/>
      <x:c r="G197" s="66"/>
      <x:c r="H197" s="68"/>
      <x:c r="I197" s="68"/>
      <x:c r="J197" s="68"/>
      <x:c r="K197" s="68"/>
      <x:c r="L197" s="70"/>
      <x:c r="M197" s="64" t="str">
        <x:f>IF(A197="","",IF(AND(E197&lt;&gt;"",F197&lt;&gt;"",ABS(H197-I197)&lt;=0.01,ABS(J197-K197)&lt;=0.01,L197=1),"一致","检查"))</x:f>
      </x:c>
      <x:c r="N197" s="64" t="str">
        <x:f>IF(A197="","",IF(COUNTIF($A$5:$A$1204,A197)&gt;1,"重复",""))</x:f>
      </x:c>
    </x:row>
    <x:row r="198">
      <x:c r="A198" s="62"/>
      <x:c r="B198" s="62"/>
      <x:c r="C198" s="62"/>
      <x:c r="D198" s="62"/>
      <x:c r="E198" s="62"/>
      <x:c r="F198" s="62"/>
      <x:c r="G198" s="66"/>
      <x:c r="H198" s="68"/>
      <x:c r="I198" s="68"/>
      <x:c r="J198" s="68"/>
      <x:c r="K198" s="68"/>
      <x:c r="L198" s="70"/>
      <x:c r="M198" s="64" t="str">
        <x:f>IF(A198="","",IF(AND(E198&lt;&gt;"",F198&lt;&gt;"",ABS(H198-I198)&lt;=0.01,ABS(J198-K198)&lt;=0.01,L198=1),"一致","检查"))</x:f>
      </x:c>
      <x:c r="N198" s="64" t="str">
        <x:f>IF(A198="","",IF(COUNTIF($A$5:$A$1204,A198)&gt;1,"重复",""))</x:f>
      </x:c>
    </x:row>
    <x:row r="199">
      <x:c r="A199" s="62"/>
      <x:c r="B199" s="62"/>
      <x:c r="C199" s="62"/>
      <x:c r="D199" s="62"/>
      <x:c r="E199" s="62"/>
      <x:c r="F199" s="62"/>
      <x:c r="G199" s="66"/>
      <x:c r="H199" s="68"/>
      <x:c r="I199" s="68"/>
      <x:c r="J199" s="68"/>
      <x:c r="K199" s="68"/>
      <x:c r="L199" s="70"/>
      <x:c r="M199" s="64" t="str">
        <x:f>IF(A199="","",IF(AND(E199&lt;&gt;"",F199&lt;&gt;"",ABS(H199-I199)&lt;=0.01,ABS(J199-K199)&lt;=0.01,L199=1),"一致","检查"))</x:f>
      </x:c>
      <x:c r="N199" s="64" t="str">
        <x:f>IF(A199="","",IF(COUNTIF($A$5:$A$1204,A199)&gt;1,"重复",""))</x:f>
      </x:c>
    </x:row>
    <x:row r="200">
      <x:c r="A200" s="62"/>
      <x:c r="B200" s="62"/>
      <x:c r="C200" s="62"/>
      <x:c r="D200" s="62"/>
      <x:c r="E200" s="62"/>
      <x:c r="F200" s="62"/>
      <x:c r="G200" s="66"/>
      <x:c r="H200" s="68"/>
      <x:c r="I200" s="68"/>
      <x:c r="J200" s="68"/>
      <x:c r="K200" s="68"/>
      <x:c r="L200" s="70"/>
      <x:c r="M200" s="64" t="str">
        <x:f>IF(A200="","",IF(AND(E200&lt;&gt;"",F200&lt;&gt;"",ABS(H200-I200)&lt;=0.01,ABS(J200-K200)&lt;=0.01,L200=1),"一致","检查"))</x:f>
      </x:c>
      <x:c r="N200" s="64" t="str">
        <x:f>IF(A200="","",IF(COUNTIF($A$5:$A$1204,A200)&gt;1,"重复",""))</x:f>
      </x:c>
    </x:row>
    <x:row r="201">
      <x:c r="A201" s="62"/>
      <x:c r="B201" s="62"/>
      <x:c r="C201" s="62"/>
      <x:c r="D201" s="62"/>
      <x:c r="E201" s="62"/>
      <x:c r="F201" s="62"/>
      <x:c r="G201" s="66"/>
      <x:c r="H201" s="68"/>
      <x:c r="I201" s="68"/>
      <x:c r="J201" s="68"/>
      <x:c r="K201" s="68"/>
      <x:c r="L201" s="70"/>
      <x:c r="M201" s="64" t="str">
        <x:f>IF(A201="","",IF(AND(E201&lt;&gt;"",F201&lt;&gt;"",ABS(H201-I201)&lt;=0.01,ABS(J201-K201)&lt;=0.01,L201=1),"一致","检查"))</x:f>
      </x:c>
      <x:c r="N201" s="64" t="str">
        <x:f>IF(A201="","",IF(COUNTIF($A$5:$A$1204,A201)&gt;1,"重复",""))</x:f>
      </x:c>
    </x:row>
    <x:row r="202">
      <x:c r="A202" s="62"/>
      <x:c r="B202" s="62"/>
      <x:c r="C202" s="62"/>
      <x:c r="D202" s="62"/>
      <x:c r="E202" s="62"/>
      <x:c r="F202" s="62"/>
      <x:c r="G202" s="66"/>
      <x:c r="H202" s="68"/>
      <x:c r="I202" s="68"/>
      <x:c r="J202" s="68"/>
      <x:c r="K202" s="68"/>
      <x:c r="L202" s="70"/>
      <x:c r="M202" s="64" t="str">
        <x:f>IF(A202="","",IF(AND(E202&lt;&gt;"",F202&lt;&gt;"",ABS(H202-I202)&lt;=0.01,ABS(J202-K202)&lt;=0.01,L202=1),"一致","检查"))</x:f>
      </x:c>
      <x:c r="N202" s="64" t="str">
        <x:f>IF(A202="","",IF(COUNTIF($A$5:$A$1204,A202)&gt;1,"重复",""))</x:f>
      </x:c>
    </x:row>
    <x:row r="203">
      <x:c r="A203" s="62"/>
      <x:c r="B203" s="62"/>
      <x:c r="C203" s="62"/>
      <x:c r="D203" s="62"/>
      <x:c r="E203" s="62"/>
      <x:c r="F203" s="62"/>
      <x:c r="G203" s="66"/>
      <x:c r="H203" s="68"/>
      <x:c r="I203" s="68"/>
      <x:c r="J203" s="68"/>
      <x:c r="K203" s="68"/>
      <x:c r="L203" s="70"/>
      <x:c r="M203" s="64" t="str">
        <x:f>IF(A203="","",IF(AND(E203&lt;&gt;"",F203&lt;&gt;"",ABS(H203-I203)&lt;=0.01,ABS(J203-K203)&lt;=0.01,L203=1),"一致","检查"))</x:f>
      </x:c>
      <x:c r="N203" s="64" t="str">
        <x:f>IF(A203="","",IF(COUNTIF($A$5:$A$1204,A203)&gt;1,"重复",""))</x:f>
      </x:c>
    </x:row>
    <x:row r="204">
      <x:c r="A204" s="62"/>
      <x:c r="B204" s="62"/>
      <x:c r="C204" s="62"/>
      <x:c r="D204" s="62"/>
      <x:c r="E204" s="62"/>
      <x:c r="F204" s="62"/>
      <x:c r="G204" s="66"/>
      <x:c r="H204" s="68"/>
      <x:c r="I204" s="68"/>
      <x:c r="J204" s="68"/>
      <x:c r="K204" s="68"/>
      <x:c r="L204" s="70"/>
      <x:c r="M204" s="64" t="str">
        <x:f>IF(A204="","",IF(AND(E204&lt;&gt;"",F204&lt;&gt;"",ABS(H204-I204)&lt;=0.01,ABS(J204-K204)&lt;=0.01,L204=1),"一致","检查"))</x:f>
      </x:c>
      <x:c r="N204" s="64" t="str">
        <x:f>IF(A204="","",IF(COUNTIF($A$5:$A$1204,A204)&gt;1,"重复",""))</x:f>
      </x:c>
    </x:row>
    <x:row r="205">
      <x:c r="A205" s="62"/>
      <x:c r="B205" s="62"/>
      <x:c r="C205" s="62"/>
      <x:c r="D205" s="62"/>
      <x:c r="E205" s="62"/>
      <x:c r="F205" s="62"/>
      <x:c r="G205" s="66"/>
      <x:c r="H205" s="68"/>
      <x:c r="I205" s="68"/>
      <x:c r="J205" s="68"/>
      <x:c r="K205" s="68"/>
      <x:c r="L205" s="70"/>
      <x:c r="M205" s="64" t="str">
        <x:f>IF(A205="","",IF(AND(E205&lt;&gt;"",F205&lt;&gt;"",ABS(H205-I205)&lt;=0.01,ABS(J205-K205)&lt;=0.01,L205=1),"一致","检查"))</x:f>
      </x:c>
      <x:c r="N205" s="64" t="str">
        <x:f>IF(A205="","",IF(COUNTIF($A$5:$A$1204,A205)&gt;1,"重复",""))</x:f>
      </x:c>
    </x:row>
    <x:row r="206">
      <x:c r="A206" s="62"/>
      <x:c r="B206" s="62"/>
      <x:c r="C206" s="62"/>
      <x:c r="D206" s="62"/>
      <x:c r="E206" s="62"/>
      <x:c r="F206" s="62"/>
      <x:c r="G206" s="66"/>
      <x:c r="H206" s="68"/>
      <x:c r="I206" s="68"/>
      <x:c r="J206" s="68"/>
      <x:c r="K206" s="68"/>
      <x:c r="L206" s="70"/>
      <x:c r="M206" s="64" t="str">
        <x:f>IF(A206="","",IF(AND(E206&lt;&gt;"",F206&lt;&gt;"",ABS(H206-I206)&lt;=0.01,ABS(J206-K206)&lt;=0.01,L206=1),"一致","检查"))</x:f>
      </x:c>
      <x:c r="N206" s="64" t="str">
        <x:f>IF(A206="","",IF(COUNTIF($A$5:$A$1204,A206)&gt;1,"重复",""))</x:f>
      </x:c>
    </x:row>
    <x:row r="207">
      <x:c r="A207" s="62"/>
      <x:c r="B207" s="62"/>
      <x:c r="C207" s="62"/>
      <x:c r="D207" s="62"/>
      <x:c r="E207" s="62"/>
      <x:c r="F207" s="62"/>
      <x:c r="G207" s="66"/>
      <x:c r="H207" s="68"/>
      <x:c r="I207" s="68"/>
      <x:c r="J207" s="68"/>
      <x:c r="K207" s="68"/>
      <x:c r="L207" s="70"/>
      <x:c r="M207" s="64" t="str">
        <x:f>IF(A207="","",IF(AND(E207&lt;&gt;"",F207&lt;&gt;"",ABS(H207-I207)&lt;=0.01,ABS(J207-K207)&lt;=0.01,L207=1),"一致","检查"))</x:f>
      </x:c>
      <x:c r="N207" s="64" t="str">
        <x:f>IF(A207="","",IF(COUNTIF($A$5:$A$1204,A207)&gt;1,"重复",""))</x:f>
      </x:c>
    </x:row>
    <x:row r="208">
      <x:c r="A208" s="62"/>
      <x:c r="B208" s="62"/>
      <x:c r="C208" s="62"/>
      <x:c r="D208" s="62"/>
      <x:c r="E208" s="62"/>
      <x:c r="F208" s="62"/>
      <x:c r="G208" s="66"/>
      <x:c r="H208" s="68"/>
      <x:c r="I208" s="68"/>
      <x:c r="J208" s="68"/>
      <x:c r="K208" s="68"/>
      <x:c r="L208" s="70"/>
      <x:c r="M208" s="64" t="str">
        <x:f>IF(A208="","",IF(AND(E208&lt;&gt;"",F208&lt;&gt;"",ABS(H208-I208)&lt;=0.01,ABS(J208-K208)&lt;=0.01,L208=1),"一致","检查"))</x:f>
      </x:c>
      <x:c r="N208" s="64" t="str">
        <x:f>IF(A208="","",IF(COUNTIF($A$5:$A$1204,A208)&gt;1,"重复",""))</x:f>
      </x:c>
    </x:row>
    <x:row r="209">
      <x:c r="A209" s="62"/>
      <x:c r="B209" s="62"/>
      <x:c r="C209" s="62"/>
      <x:c r="D209" s="62"/>
      <x:c r="E209" s="62"/>
      <x:c r="F209" s="62"/>
      <x:c r="G209" s="66"/>
      <x:c r="H209" s="68"/>
      <x:c r="I209" s="68"/>
      <x:c r="J209" s="68"/>
      <x:c r="K209" s="68"/>
      <x:c r="L209" s="70"/>
      <x:c r="M209" s="64" t="str">
        <x:f>IF(A209="","",IF(AND(E209&lt;&gt;"",F209&lt;&gt;"",ABS(H209-I209)&lt;=0.01,ABS(J209-K209)&lt;=0.01,L209=1),"一致","检查"))</x:f>
      </x:c>
      <x:c r="N209" s="64" t="str">
        <x:f>IF(A209="","",IF(COUNTIF($A$5:$A$1204,A209)&gt;1,"重复",""))</x:f>
      </x:c>
    </x:row>
    <x:row r="210">
      <x:c r="A210" s="62"/>
      <x:c r="B210" s="62"/>
      <x:c r="C210" s="62"/>
      <x:c r="D210" s="62"/>
      <x:c r="E210" s="62"/>
      <x:c r="F210" s="62"/>
      <x:c r="G210" s="66"/>
      <x:c r="H210" s="68"/>
      <x:c r="I210" s="68"/>
      <x:c r="J210" s="68"/>
      <x:c r="K210" s="68"/>
      <x:c r="L210" s="70"/>
      <x:c r="M210" s="64" t="str">
        <x:f>IF(A210="","",IF(AND(E210&lt;&gt;"",F210&lt;&gt;"",ABS(H210-I210)&lt;=0.01,ABS(J210-K210)&lt;=0.01,L210=1),"一致","检查"))</x:f>
      </x:c>
      <x:c r="N210" s="64" t="str">
        <x:f>IF(A210="","",IF(COUNTIF($A$5:$A$1204,A210)&gt;1,"重复",""))</x:f>
      </x:c>
    </x:row>
    <x:row r="211">
      <x:c r="A211" s="62"/>
      <x:c r="B211" s="62"/>
      <x:c r="C211" s="62"/>
      <x:c r="D211" s="62"/>
      <x:c r="E211" s="62"/>
      <x:c r="F211" s="62"/>
      <x:c r="G211" s="66"/>
      <x:c r="H211" s="68"/>
      <x:c r="I211" s="68"/>
      <x:c r="J211" s="68"/>
      <x:c r="K211" s="68"/>
      <x:c r="L211" s="70"/>
      <x:c r="M211" s="64" t="str">
        <x:f>IF(A211="","",IF(AND(E211&lt;&gt;"",F211&lt;&gt;"",ABS(H211-I211)&lt;=0.01,ABS(J211-K211)&lt;=0.01,L211=1),"一致","检查"))</x:f>
      </x:c>
      <x:c r="N211" s="64" t="str">
        <x:f>IF(A211="","",IF(COUNTIF($A$5:$A$1204,A211)&gt;1,"重复",""))</x:f>
      </x:c>
    </x:row>
    <x:row r="212">
      <x:c r="A212" s="62"/>
      <x:c r="B212" s="62"/>
      <x:c r="C212" s="62"/>
      <x:c r="D212" s="62"/>
      <x:c r="E212" s="62"/>
      <x:c r="F212" s="62"/>
      <x:c r="G212" s="66"/>
      <x:c r="H212" s="68"/>
      <x:c r="I212" s="68"/>
      <x:c r="J212" s="68"/>
      <x:c r="K212" s="68"/>
      <x:c r="L212" s="70"/>
      <x:c r="M212" s="64" t="str">
        <x:f>IF(A212="","",IF(AND(E212&lt;&gt;"",F212&lt;&gt;"",ABS(H212-I212)&lt;=0.01,ABS(J212-K212)&lt;=0.01,L212=1),"一致","检查"))</x:f>
      </x:c>
      <x:c r="N212" s="64" t="str">
        <x:f>IF(A212="","",IF(COUNTIF($A$5:$A$1204,A212)&gt;1,"重复",""))</x:f>
      </x:c>
    </x:row>
    <x:row r="213">
      <x:c r="A213" s="62"/>
      <x:c r="B213" s="62"/>
      <x:c r="C213" s="62"/>
      <x:c r="D213" s="62"/>
      <x:c r="E213" s="62"/>
      <x:c r="F213" s="62"/>
      <x:c r="G213" s="66"/>
      <x:c r="H213" s="68"/>
      <x:c r="I213" s="68"/>
      <x:c r="J213" s="68"/>
      <x:c r="K213" s="68"/>
      <x:c r="L213" s="70"/>
      <x:c r="M213" s="64" t="str">
        <x:f>IF(A213="","",IF(AND(E213&lt;&gt;"",F213&lt;&gt;"",ABS(H213-I213)&lt;=0.01,ABS(J213-K213)&lt;=0.01,L213=1),"一致","检查"))</x:f>
      </x:c>
      <x:c r="N213" s="64" t="str">
        <x:f>IF(A213="","",IF(COUNTIF($A$5:$A$1204,A213)&gt;1,"重复",""))</x:f>
      </x:c>
    </x:row>
    <x:row r="214">
      <x:c r="A214" s="62"/>
      <x:c r="B214" s="62"/>
      <x:c r="C214" s="62"/>
      <x:c r="D214" s="62"/>
      <x:c r="E214" s="62"/>
      <x:c r="F214" s="62"/>
      <x:c r="G214" s="66"/>
      <x:c r="H214" s="68"/>
      <x:c r="I214" s="68"/>
      <x:c r="J214" s="68"/>
      <x:c r="K214" s="68"/>
      <x:c r="L214" s="70"/>
      <x:c r="M214" s="64" t="str">
        <x:f>IF(A214="","",IF(AND(E214&lt;&gt;"",F214&lt;&gt;"",ABS(H214-I214)&lt;=0.01,ABS(J214-K214)&lt;=0.01,L214=1),"一致","检查"))</x:f>
      </x:c>
      <x:c r="N214" s="64" t="str">
        <x:f>IF(A214="","",IF(COUNTIF($A$5:$A$1204,A214)&gt;1,"重复",""))</x:f>
      </x:c>
    </x:row>
    <x:row r="215">
      <x:c r="A215" s="62"/>
      <x:c r="B215" s="62"/>
      <x:c r="C215" s="62"/>
      <x:c r="D215" s="62"/>
      <x:c r="E215" s="62"/>
      <x:c r="F215" s="62"/>
      <x:c r="G215" s="66"/>
      <x:c r="H215" s="68"/>
      <x:c r="I215" s="68"/>
      <x:c r="J215" s="68"/>
      <x:c r="K215" s="68"/>
      <x:c r="L215" s="70"/>
      <x:c r="M215" s="64" t="str">
        <x:f>IF(A215="","",IF(AND(E215&lt;&gt;"",F215&lt;&gt;"",ABS(H215-I215)&lt;=0.01,ABS(J215-K215)&lt;=0.01,L215=1),"一致","检查"))</x:f>
      </x:c>
      <x:c r="N215" s="64" t="str">
        <x:f>IF(A215="","",IF(COUNTIF($A$5:$A$1204,A215)&gt;1,"重复",""))</x:f>
      </x:c>
    </x:row>
    <x:row r="216">
      <x:c r="A216" s="62"/>
      <x:c r="B216" s="62"/>
      <x:c r="C216" s="62"/>
      <x:c r="D216" s="62"/>
      <x:c r="E216" s="62"/>
      <x:c r="F216" s="62"/>
      <x:c r="G216" s="66"/>
      <x:c r="H216" s="68"/>
      <x:c r="I216" s="68"/>
      <x:c r="J216" s="68"/>
      <x:c r="K216" s="68"/>
      <x:c r="L216" s="70"/>
      <x:c r="M216" s="64" t="str">
        <x:f>IF(A216="","",IF(AND(E216&lt;&gt;"",F216&lt;&gt;"",ABS(H216-I216)&lt;=0.01,ABS(J216-K216)&lt;=0.01,L216=1),"一致","检查"))</x:f>
      </x:c>
      <x:c r="N216" s="64" t="str">
        <x:f>IF(A216="","",IF(COUNTIF($A$5:$A$1204,A216)&gt;1,"重复",""))</x:f>
      </x:c>
    </x:row>
    <x:row r="217">
      <x:c r="A217" s="62"/>
      <x:c r="B217" s="62"/>
      <x:c r="C217" s="62"/>
      <x:c r="D217" s="62"/>
      <x:c r="E217" s="62"/>
      <x:c r="F217" s="62"/>
      <x:c r="G217" s="66"/>
      <x:c r="H217" s="68"/>
      <x:c r="I217" s="68"/>
      <x:c r="J217" s="68"/>
      <x:c r="K217" s="68"/>
      <x:c r="L217" s="70"/>
      <x:c r="M217" s="64" t="str">
        <x:f>IF(A217="","",IF(AND(E217&lt;&gt;"",F217&lt;&gt;"",ABS(H217-I217)&lt;=0.01,ABS(J217-K217)&lt;=0.01,L217=1),"一致","检查"))</x:f>
      </x:c>
      <x:c r="N217" s="64" t="str">
        <x:f>IF(A217="","",IF(COUNTIF($A$5:$A$1204,A217)&gt;1,"重复",""))</x:f>
      </x:c>
    </x:row>
    <x:row r="218">
      <x:c r="A218" s="62"/>
      <x:c r="B218" s="62"/>
      <x:c r="C218" s="62"/>
      <x:c r="D218" s="62"/>
      <x:c r="E218" s="62"/>
      <x:c r="F218" s="62"/>
      <x:c r="G218" s="66"/>
      <x:c r="H218" s="68"/>
      <x:c r="I218" s="68"/>
      <x:c r="J218" s="68"/>
      <x:c r="K218" s="68"/>
      <x:c r="L218" s="70"/>
      <x:c r="M218" s="64" t="str">
        <x:f>IF(A218="","",IF(AND(E218&lt;&gt;"",F218&lt;&gt;"",ABS(H218-I218)&lt;=0.01,ABS(J218-K218)&lt;=0.01,L218=1),"一致","检查"))</x:f>
      </x:c>
      <x:c r="N218" s="64" t="str">
        <x:f>IF(A218="","",IF(COUNTIF($A$5:$A$1204,A218)&gt;1,"重复",""))</x:f>
      </x:c>
    </x:row>
    <x:row r="219">
      <x:c r="A219" s="62"/>
      <x:c r="B219" s="62"/>
      <x:c r="C219" s="62"/>
      <x:c r="D219" s="62"/>
      <x:c r="E219" s="62"/>
      <x:c r="F219" s="62"/>
      <x:c r="G219" s="66"/>
      <x:c r="H219" s="68"/>
      <x:c r="I219" s="68"/>
      <x:c r="J219" s="68"/>
      <x:c r="K219" s="68"/>
      <x:c r="L219" s="70"/>
      <x:c r="M219" s="64" t="str">
        <x:f>IF(A219="","",IF(AND(E219&lt;&gt;"",F219&lt;&gt;"",ABS(H219-I219)&lt;=0.01,ABS(J219-K219)&lt;=0.01,L219=1),"一致","检查"))</x:f>
      </x:c>
      <x:c r="N219" s="64" t="str">
        <x:f>IF(A219="","",IF(COUNTIF($A$5:$A$1204,A219)&gt;1,"重复",""))</x:f>
      </x:c>
    </x:row>
    <x:row r="220">
      <x:c r="A220" s="62"/>
      <x:c r="B220" s="62"/>
      <x:c r="C220" s="62"/>
      <x:c r="D220" s="62"/>
      <x:c r="E220" s="62"/>
      <x:c r="F220" s="62"/>
      <x:c r="G220" s="66"/>
      <x:c r="H220" s="68"/>
      <x:c r="I220" s="68"/>
      <x:c r="J220" s="68"/>
      <x:c r="K220" s="68"/>
      <x:c r="L220" s="70"/>
      <x:c r="M220" s="64" t="str">
        <x:f>IF(A220="","",IF(AND(E220&lt;&gt;"",F220&lt;&gt;"",ABS(H220-I220)&lt;=0.01,ABS(J220-K220)&lt;=0.01,L220=1),"一致","检查"))</x:f>
      </x:c>
      <x:c r="N220" s="64" t="str">
        <x:f>IF(A220="","",IF(COUNTIF($A$5:$A$1204,A220)&gt;1,"重复",""))</x:f>
      </x:c>
    </x:row>
    <x:row r="221">
      <x:c r="A221" s="62"/>
      <x:c r="B221" s="62"/>
      <x:c r="C221" s="62"/>
      <x:c r="D221" s="62"/>
      <x:c r="E221" s="62"/>
      <x:c r="F221" s="62"/>
      <x:c r="G221" s="66"/>
      <x:c r="H221" s="68"/>
      <x:c r="I221" s="68"/>
      <x:c r="J221" s="68"/>
      <x:c r="K221" s="68"/>
      <x:c r="L221" s="70"/>
      <x:c r="M221" s="64" t="str">
        <x:f>IF(A221="","",IF(AND(E221&lt;&gt;"",F221&lt;&gt;"",ABS(H221-I221)&lt;=0.01,ABS(J221-K221)&lt;=0.01,L221=1),"一致","检查"))</x:f>
      </x:c>
      <x:c r="N221" s="64" t="str">
        <x:f>IF(A221="","",IF(COUNTIF($A$5:$A$1204,A221)&gt;1,"重复",""))</x:f>
      </x:c>
    </x:row>
    <x:row r="222">
      <x:c r="A222" s="62"/>
      <x:c r="B222" s="62"/>
      <x:c r="C222" s="62"/>
      <x:c r="D222" s="62"/>
      <x:c r="E222" s="62"/>
      <x:c r="F222" s="62"/>
      <x:c r="G222" s="66"/>
      <x:c r="H222" s="68"/>
      <x:c r="I222" s="68"/>
      <x:c r="J222" s="68"/>
      <x:c r="K222" s="68"/>
      <x:c r="L222" s="70"/>
      <x:c r="M222" s="64" t="str">
        <x:f>IF(A222="","",IF(AND(E222&lt;&gt;"",F222&lt;&gt;"",ABS(H222-I222)&lt;=0.01,ABS(J222-K222)&lt;=0.01,L222=1),"一致","检查"))</x:f>
      </x:c>
      <x:c r="N222" s="64" t="str">
        <x:f>IF(A222="","",IF(COUNTIF($A$5:$A$1204,A222)&gt;1,"重复",""))</x:f>
      </x:c>
    </x:row>
    <x:row r="223">
      <x:c r="A223" s="62"/>
      <x:c r="B223" s="62"/>
      <x:c r="C223" s="62"/>
      <x:c r="D223" s="62"/>
      <x:c r="E223" s="62"/>
      <x:c r="F223" s="62"/>
      <x:c r="G223" s="66"/>
      <x:c r="H223" s="68"/>
      <x:c r="I223" s="68"/>
      <x:c r="J223" s="68"/>
      <x:c r="K223" s="68"/>
      <x:c r="L223" s="70"/>
      <x:c r="M223" s="64" t="str">
        <x:f>IF(A223="","",IF(AND(E223&lt;&gt;"",F223&lt;&gt;"",ABS(H223-I223)&lt;=0.01,ABS(J223-K223)&lt;=0.01,L223=1),"一致","检查"))</x:f>
      </x:c>
      <x:c r="N223" s="64" t="str">
        <x:f>IF(A223="","",IF(COUNTIF($A$5:$A$1204,A223)&gt;1,"重复",""))</x:f>
      </x:c>
    </x:row>
    <x:row r="224">
      <x:c r="A224" s="62"/>
      <x:c r="B224" s="62"/>
      <x:c r="C224" s="62"/>
      <x:c r="D224" s="62"/>
      <x:c r="E224" s="62"/>
      <x:c r="F224" s="62"/>
      <x:c r="G224" s="66"/>
      <x:c r="H224" s="68"/>
      <x:c r="I224" s="68"/>
      <x:c r="J224" s="68"/>
      <x:c r="K224" s="68"/>
      <x:c r="L224" s="70"/>
      <x:c r="M224" s="64" t="str">
        <x:f>IF(A224="","",IF(AND(E224&lt;&gt;"",F224&lt;&gt;"",ABS(H224-I224)&lt;=0.01,ABS(J224-K224)&lt;=0.01,L224=1),"一致","检查"))</x:f>
      </x:c>
      <x:c r="N224" s="64" t="str">
        <x:f>IF(A224="","",IF(COUNTIF($A$5:$A$1204,A224)&gt;1,"重复",""))</x:f>
      </x:c>
    </x:row>
    <x:row r="225">
      <x:c r="A225" s="62"/>
      <x:c r="B225" s="62"/>
      <x:c r="C225" s="62"/>
      <x:c r="D225" s="62"/>
      <x:c r="E225" s="62"/>
      <x:c r="F225" s="62"/>
      <x:c r="G225" s="66"/>
      <x:c r="H225" s="68"/>
      <x:c r="I225" s="68"/>
      <x:c r="J225" s="68"/>
      <x:c r="K225" s="68"/>
      <x:c r="L225" s="70"/>
      <x:c r="M225" s="64" t="str">
        <x:f>IF(A225="","",IF(AND(E225&lt;&gt;"",F225&lt;&gt;"",ABS(H225-I225)&lt;=0.01,ABS(J225-K225)&lt;=0.01,L225=1),"一致","检查"))</x:f>
      </x:c>
      <x:c r="N225" s="64" t="str">
        <x:f>IF(A225="","",IF(COUNTIF($A$5:$A$1204,A225)&gt;1,"重复",""))</x:f>
      </x:c>
    </x:row>
    <x:row r="226">
      <x:c r="A226" s="62"/>
      <x:c r="B226" s="62"/>
      <x:c r="C226" s="62"/>
      <x:c r="D226" s="62"/>
      <x:c r="E226" s="62"/>
      <x:c r="F226" s="62"/>
      <x:c r="G226" s="66"/>
      <x:c r="H226" s="68"/>
      <x:c r="I226" s="68"/>
      <x:c r="J226" s="68"/>
      <x:c r="K226" s="68"/>
      <x:c r="L226" s="70"/>
      <x:c r="M226" s="64" t="str">
        <x:f>IF(A226="","",IF(AND(E226&lt;&gt;"",F226&lt;&gt;"",ABS(H226-I226)&lt;=0.01,ABS(J226-K226)&lt;=0.01,L226=1),"一致","检查"))</x:f>
      </x:c>
      <x:c r="N226" s="64" t="str">
        <x:f>IF(A226="","",IF(COUNTIF($A$5:$A$1204,A226)&gt;1,"重复",""))</x:f>
      </x:c>
    </x:row>
    <x:row r="227">
      <x:c r="A227" s="62"/>
      <x:c r="B227" s="62"/>
      <x:c r="C227" s="62"/>
      <x:c r="D227" s="62"/>
      <x:c r="E227" s="62"/>
      <x:c r="F227" s="62"/>
      <x:c r="G227" s="66"/>
      <x:c r="H227" s="68"/>
      <x:c r="I227" s="68"/>
      <x:c r="J227" s="68"/>
      <x:c r="K227" s="68"/>
      <x:c r="L227" s="70"/>
      <x:c r="M227" s="64" t="str">
        <x:f>IF(A227="","",IF(AND(E227&lt;&gt;"",F227&lt;&gt;"",ABS(H227-I227)&lt;=0.01,ABS(J227-K227)&lt;=0.01,L227=1),"一致","检查"))</x:f>
      </x:c>
      <x:c r="N227" s="64" t="str">
        <x:f>IF(A227="","",IF(COUNTIF($A$5:$A$1204,A227)&gt;1,"重复",""))</x:f>
      </x:c>
    </x:row>
    <x:row r="228">
      <x:c r="A228" s="62"/>
      <x:c r="B228" s="62"/>
      <x:c r="C228" s="62"/>
      <x:c r="D228" s="62"/>
      <x:c r="E228" s="62"/>
      <x:c r="F228" s="62"/>
      <x:c r="G228" s="66"/>
      <x:c r="H228" s="68"/>
      <x:c r="I228" s="68"/>
      <x:c r="J228" s="68"/>
      <x:c r="K228" s="68"/>
      <x:c r="L228" s="70"/>
      <x:c r="M228" s="64" t="str">
        <x:f>IF(A228="","",IF(AND(E228&lt;&gt;"",F228&lt;&gt;"",ABS(H228-I228)&lt;=0.01,ABS(J228-K228)&lt;=0.01,L228=1),"一致","检查"))</x:f>
      </x:c>
      <x:c r="N228" s="64" t="str">
        <x:f>IF(A228="","",IF(COUNTIF($A$5:$A$1204,A228)&gt;1,"重复",""))</x:f>
      </x:c>
    </x:row>
    <x:row r="229">
      <x:c r="A229" s="62"/>
      <x:c r="B229" s="62"/>
      <x:c r="C229" s="62"/>
      <x:c r="D229" s="62"/>
      <x:c r="E229" s="62"/>
      <x:c r="F229" s="62"/>
      <x:c r="G229" s="66"/>
      <x:c r="H229" s="68"/>
      <x:c r="I229" s="68"/>
      <x:c r="J229" s="68"/>
      <x:c r="K229" s="68"/>
      <x:c r="L229" s="70"/>
      <x:c r="M229" s="64" t="str">
        <x:f>IF(A229="","",IF(AND(E229&lt;&gt;"",F229&lt;&gt;"",ABS(H229-I229)&lt;=0.01,ABS(J229-K229)&lt;=0.01,L229=1),"一致","检查"))</x:f>
      </x:c>
      <x:c r="N229" s="64" t="str">
        <x:f>IF(A229="","",IF(COUNTIF($A$5:$A$1204,A229)&gt;1,"重复",""))</x:f>
      </x:c>
    </x:row>
    <x:row r="230">
      <x:c r="A230" s="62"/>
      <x:c r="B230" s="62"/>
      <x:c r="C230" s="62"/>
      <x:c r="D230" s="62"/>
      <x:c r="E230" s="62"/>
      <x:c r="F230" s="62"/>
      <x:c r="G230" s="66"/>
      <x:c r="H230" s="68"/>
      <x:c r="I230" s="68"/>
      <x:c r="J230" s="68"/>
      <x:c r="K230" s="68"/>
      <x:c r="L230" s="70"/>
      <x:c r="M230" s="64" t="str">
        <x:f>IF(A230="","",IF(AND(E230&lt;&gt;"",F230&lt;&gt;"",ABS(H230-I230)&lt;=0.01,ABS(J230-K230)&lt;=0.01,L230=1),"一致","检查"))</x:f>
      </x:c>
      <x:c r="N230" s="64" t="str">
        <x:f>IF(A230="","",IF(COUNTIF($A$5:$A$1204,A230)&gt;1,"重复",""))</x:f>
      </x:c>
    </x:row>
    <x:row r="231">
      <x:c r="A231" s="62"/>
      <x:c r="B231" s="62"/>
      <x:c r="C231" s="62"/>
      <x:c r="D231" s="62"/>
      <x:c r="E231" s="62"/>
      <x:c r="F231" s="62"/>
      <x:c r="G231" s="66"/>
      <x:c r="H231" s="68"/>
      <x:c r="I231" s="68"/>
      <x:c r="J231" s="68"/>
      <x:c r="K231" s="68"/>
      <x:c r="L231" s="70"/>
      <x:c r="M231" s="64" t="str">
        <x:f>IF(A231="","",IF(AND(E231&lt;&gt;"",F231&lt;&gt;"",ABS(H231-I231)&lt;=0.01,ABS(J231-K231)&lt;=0.01,L231=1),"一致","检查"))</x:f>
      </x:c>
      <x:c r="N231" s="64" t="str">
        <x:f>IF(A231="","",IF(COUNTIF($A$5:$A$1204,A231)&gt;1,"重复",""))</x:f>
      </x:c>
    </x:row>
    <x:row r="232">
      <x:c r="A232" s="62"/>
      <x:c r="B232" s="62"/>
      <x:c r="C232" s="62"/>
      <x:c r="D232" s="62"/>
      <x:c r="E232" s="62"/>
      <x:c r="F232" s="62"/>
      <x:c r="G232" s="66"/>
      <x:c r="H232" s="68"/>
      <x:c r="I232" s="68"/>
      <x:c r="J232" s="68"/>
      <x:c r="K232" s="68"/>
      <x:c r="L232" s="70"/>
      <x:c r="M232" s="64" t="str">
        <x:f>IF(A232="","",IF(AND(E232&lt;&gt;"",F232&lt;&gt;"",ABS(H232-I232)&lt;=0.01,ABS(J232-K232)&lt;=0.01,L232=1),"一致","检查"))</x:f>
      </x:c>
      <x:c r="N232" s="64" t="str">
        <x:f>IF(A232="","",IF(COUNTIF($A$5:$A$1204,A232)&gt;1,"重复",""))</x:f>
      </x:c>
    </x:row>
    <x:row r="233">
      <x:c r="A233" s="62"/>
      <x:c r="B233" s="62"/>
      <x:c r="C233" s="62"/>
      <x:c r="D233" s="62"/>
      <x:c r="E233" s="62"/>
      <x:c r="F233" s="62"/>
      <x:c r="G233" s="66"/>
      <x:c r="H233" s="68"/>
      <x:c r="I233" s="68"/>
      <x:c r="J233" s="68"/>
      <x:c r="K233" s="68"/>
      <x:c r="L233" s="70"/>
      <x:c r="M233" s="64" t="str">
        <x:f>IF(A233="","",IF(AND(E233&lt;&gt;"",F233&lt;&gt;"",ABS(H233-I233)&lt;=0.01,ABS(J233-K233)&lt;=0.01,L233=1),"一致","检查"))</x:f>
      </x:c>
      <x:c r="N233" s="64" t="str">
        <x:f>IF(A233="","",IF(COUNTIF($A$5:$A$1204,A233)&gt;1,"重复",""))</x:f>
      </x:c>
    </x:row>
    <x:row r="234">
      <x:c r="A234" s="62"/>
      <x:c r="B234" s="62"/>
      <x:c r="C234" s="62"/>
      <x:c r="D234" s="62"/>
      <x:c r="E234" s="62"/>
      <x:c r="F234" s="62"/>
      <x:c r="G234" s="66"/>
      <x:c r="H234" s="68"/>
      <x:c r="I234" s="68"/>
      <x:c r="J234" s="68"/>
      <x:c r="K234" s="68"/>
      <x:c r="L234" s="70"/>
      <x:c r="M234" s="64" t="str">
        <x:f>IF(A234="","",IF(AND(E234&lt;&gt;"",F234&lt;&gt;"",ABS(H234-I234)&lt;=0.01,ABS(J234-K234)&lt;=0.01,L234=1),"一致","检查"))</x:f>
      </x:c>
      <x:c r="N234" s="64" t="str">
        <x:f>IF(A234="","",IF(COUNTIF($A$5:$A$1204,A234)&gt;1,"重复",""))</x:f>
      </x:c>
    </x:row>
    <x:row r="235">
      <x:c r="A235" s="62"/>
      <x:c r="B235" s="62"/>
      <x:c r="C235" s="62"/>
      <x:c r="D235" s="62"/>
      <x:c r="E235" s="62"/>
      <x:c r="F235" s="62"/>
      <x:c r="G235" s="66"/>
      <x:c r="H235" s="68"/>
      <x:c r="I235" s="68"/>
      <x:c r="J235" s="68"/>
      <x:c r="K235" s="68"/>
      <x:c r="L235" s="70"/>
      <x:c r="M235" s="64" t="str">
        <x:f>IF(A235="","",IF(AND(E235&lt;&gt;"",F235&lt;&gt;"",ABS(H235-I235)&lt;=0.01,ABS(J235-K235)&lt;=0.01,L235=1),"一致","检查"))</x:f>
      </x:c>
      <x:c r="N235" s="64" t="str">
        <x:f>IF(A235="","",IF(COUNTIF($A$5:$A$1204,A235)&gt;1,"重复",""))</x:f>
      </x:c>
    </x:row>
    <x:row r="236">
      <x:c r="A236" s="62"/>
      <x:c r="B236" s="62"/>
      <x:c r="C236" s="62"/>
      <x:c r="D236" s="62"/>
      <x:c r="E236" s="62"/>
      <x:c r="F236" s="62"/>
      <x:c r="G236" s="66"/>
      <x:c r="H236" s="68"/>
      <x:c r="I236" s="68"/>
      <x:c r="J236" s="68"/>
      <x:c r="K236" s="68"/>
      <x:c r="L236" s="70"/>
      <x:c r="M236" s="64" t="str">
        <x:f>IF(A236="","",IF(AND(E236&lt;&gt;"",F236&lt;&gt;"",ABS(H236-I236)&lt;=0.01,ABS(J236-K236)&lt;=0.01,L236=1),"一致","检查"))</x:f>
      </x:c>
      <x:c r="N236" s="64" t="str">
        <x:f>IF(A236="","",IF(COUNTIF($A$5:$A$1204,A236)&gt;1,"重复",""))</x:f>
      </x:c>
    </x:row>
    <x:row r="237">
      <x:c r="A237" s="62"/>
      <x:c r="B237" s="62"/>
      <x:c r="C237" s="62"/>
      <x:c r="D237" s="62"/>
      <x:c r="E237" s="62"/>
      <x:c r="F237" s="62"/>
      <x:c r="G237" s="66"/>
      <x:c r="H237" s="68"/>
      <x:c r="I237" s="68"/>
      <x:c r="J237" s="68"/>
      <x:c r="K237" s="68"/>
      <x:c r="L237" s="70"/>
      <x:c r="M237" s="64" t="str">
        <x:f>IF(A237="","",IF(AND(E237&lt;&gt;"",F237&lt;&gt;"",ABS(H237-I237)&lt;=0.01,ABS(J237-K237)&lt;=0.01,L237=1),"一致","检查"))</x:f>
      </x:c>
      <x:c r="N237" s="64" t="str">
        <x:f>IF(A237="","",IF(COUNTIF($A$5:$A$1204,A237)&gt;1,"重复",""))</x:f>
      </x:c>
    </x:row>
    <x:row r="238">
      <x:c r="A238" s="62"/>
      <x:c r="B238" s="62"/>
      <x:c r="C238" s="62"/>
      <x:c r="D238" s="62"/>
      <x:c r="E238" s="62"/>
      <x:c r="F238" s="62"/>
      <x:c r="G238" s="66"/>
      <x:c r="H238" s="68"/>
      <x:c r="I238" s="68"/>
      <x:c r="J238" s="68"/>
      <x:c r="K238" s="68"/>
      <x:c r="L238" s="70"/>
      <x:c r="M238" s="64" t="str">
        <x:f>IF(A238="","",IF(AND(E238&lt;&gt;"",F238&lt;&gt;"",ABS(H238-I238)&lt;=0.01,ABS(J238-K238)&lt;=0.01,L238=1),"一致","检查"))</x:f>
      </x:c>
      <x:c r="N238" s="64" t="str">
        <x:f>IF(A238="","",IF(COUNTIF($A$5:$A$1204,A238)&gt;1,"重复",""))</x:f>
      </x:c>
    </x:row>
    <x:row r="239">
      <x:c r="A239" s="62"/>
      <x:c r="B239" s="62"/>
      <x:c r="C239" s="62"/>
      <x:c r="D239" s="62"/>
      <x:c r="E239" s="62"/>
      <x:c r="F239" s="62"/>
      <x:c r="G239" s="66"/>
      <x:c r="H239" s="68"/>
      <x:c r="I239" s="68"/>
      <x:c r="J239" s="68"/>
      <x:c r="K239" s="68"/>
      <x:c r="L239" s="70"/>
      <x:c r="M239" s="64" t="str">
        <x:f>IF(A239="","",IF(AND(E239&lt;&gt;"",F239&lt;&gt;"",ABS(H239-I239)&lt;=0.01,ABS(J239-K239)&lt;=0.01,L239=1),"一致","检查"))</x:f>
      </x:c>
      <x:c r="N239" s="64" t="str">
        <x:f>IF(A239="","",IF(COUNTIF($A$5:$A$1204,A239)&gt;1,"重复",""))</x:f>
      </x:c>
    </x:row>
    <x:row r="240">
      <x:c r="A240" s="62"/>
      <x:c r="B240" s="62"/>
      <x:c r="C240" s="62"/>
      <x:c r="D240" s="62"/>
      <x:c r="E240" s="62"/>
      <x:c r="F240" s="62"/>
      <x:c r="G240" s="66"/>
      <x:c r="H240" s="68"/>
      <x:c r="I240" s="68"/>
      <x:c r="J240" s="68"/>
      <x:c r="K240" s="68"/>
      <x:c r="L240" s="70"/>
      <x:c r="M240" s="64" t="str">
        <x:f>IF(A240="","",IF(AND(E240&lt;&gt;"",F240&lt;&gt;"",ABS(H240-I240)&lt;=0.01,ABS(J240-K240)&lt;=0.01,L240=1),"一致","检查"))</x:f>
      </x:c>
      <x:c r="N240" s="64" t="str">
        <x:f>IF(A240="","",IF(COUNTIF($A$5:$A$1204,A240)&gt;1,"重复",""))</x:f>
      </x:c>
    </x:row>
    <x:row r="241">
      <x:c r="A241" s="62"/>
      <x:c r="B241" s="62"/>
      <x:c r="C241" s="62"/>
      <x:c r="D241" s="62"/>
      <x:c r="E241" s="62"/>
      <x:c r="F241" s="62"/>
      <x:c r="G241" s="66"/>
      <x:c r="H241" s="68"/>
      <x:c r="I241" s="68"/>
      <x:c r="J241" s="68"/>
      <x:c r="K241" s="68"/>
      <x:c r="L241" s="70"/>
      <x:c r="M241" s="64" t="str">
        <x:f>IF(A241="","",IF(AND(E241&lt;&gt;"",F241&lt;&gt;"",ABS(H241-I241)&lt;=0.01,ABS(J241-K241)&lt;=0.01,L241=1),"一致","检查"))</x:f>
      </x:c>
      <x:c r="N241" s="64" t="str">
        <x:f>IF(A241="","",IF(COUNTIF($A$5:$A$1204,A241)&gt;1,"重复",""))</x:f>
      </x:c>
    </x:row>
    <x:row r="242">
      <x:c r="A242" s="62"/>
      <x:c r="B242" s="62"/>
      <x:c r="C242" s="62"/>
      <x:c r="D242" s="62"/>
      <x:c r="E242" s="62"/>
      <x:c r="F242" s="62"/>
      <x:c r="G242" s="66"/>
      <x:c r="H242" s="68"/>
      <x:c r="I242" s="68"/>
      <x:c r="J242" s="68"/>
      <x:c r="K242" s="68"/>
      <x:c r="L242" s="70"/>
      <x:c r="M242" s="64" t="str">
        <x:f>IF(A242="","",IF(AND(E242&lt;&gt;"",F242&lt;&gt;"",ABS(H242-I242)&lt;=0.01,ABS(J242-K242)&lt;=0.01,L242=1),"一致","检查"))</x:f>
      </x:c>
      <x:c r="N242" s="64" t="str">
        <x:f>IF(A242="","",IF(COUNTIF($A$5:$A$1204,A242)&gt;1,"重复",""))</x:f>
      </x:c>
    </x:row>
    <x:row r="243">
      <x:c r="A243" s="62"/>
      <x:c r="B243" s="62"/>
      <x:c r="C243" s="62"/>
      <x:c r="D243" s="62"/>
      <x:c r="E243" s="62"/>
      <x:c r="F243" s="62"/>
      <x:c r="G243" s="66"/>
      <x:c r="H243" s="68"/>
      <x:c r="I243" s="68"/>
      <x:c r="J243" s="68"/>
      <x:c r="K243" s="68"/>
      <x:c r="L243" s="70"/>
      <x:c r="M243" s="64" t="str">
        <x:f>IF(A243="","",IF(AND(E243&lt;&gt;"",F243&lt;&gt;"",ABS(H243-I243)&lt;=0.01,ABS(J243-K243)&lt;=0.01,L243=1),"一致","检查"))</x:f>
      </x:c>
      <x:c r="N243" s="64" t="str">
        <x:f>IF(A243="","",IF(COUNTIF($A$5:$A$1204,A243)&gt;1,"重复",""))</x:f>
      </x:c>
    </x:row>
    <x:row r="244">
      <x:c r="A244" s="62"/>
      <x:c r="B244" s="62"/>
      <x:c r="C244" s="62"/>
      <x:c r="D244" s="62"/>
      <x:c r="E244" s="62"/>
      <x:c r="F244" s="62"/>
      <x:c r="G244" s="66"/>
      <x:c r="H244" s="68"/>
      <x:c r="I244" s="68"/>
      <x:c r="J244" s="68"/>
      <x:c r="K244" s="68"/>
      <x:c r="L244" s="70"/>
      <x:c r="M244" s="64" t="str">
        <x:f>IF(A244="","",IF(AND(E244&lt;&gt;"",F244&lt;&gt;"",ABS(H244-I244)&lt;=0.01,ABS(J244-K244)&lt;=0.01,L244=1),"一致","检查"))</x:f>
      </x:c>
      <x:c r="N244" s="64" t="str">
        <x:f>IF(A244="","",IF(COUNTIF($A$5:$A$1204,A244)&gt;1,"重复",""))</x:f>
      </x:c>
    </x:row>
    <x:row r="245">
      <x:c r="A245" s="62"/>
      <x:c r="B245" s="62"/>
      <x:c r="C245" s="62"/>
      <x:c r="D245" s="62"/>
      <x:c r="E245" s="62"/>
      <x:c r="F245" s="62"/>
      <x:c r="G245" s="66"/>
      <x:c r="H245" s="68"/>
      <x:c r="I245" s="68"/>
      <x:c r="J245" s="68"/>
      <x:c r="K245" s="68"/>
      <x:c r="L245" s="70"/>
      <x:c r="M245" s="64" t="str">
        <x:f>IF(A245="","",IF(AND(E245&lt;&gt;"",F245&lt;&gt;"",ABS(H245-I245)&lt;=0.01,ABS(J245-K245)&lt;=0.01,L245=1),"一致","检查"))</x:f>
      </x:c>
      <x:c r="N245" s="64" t="str">
        <x:f>IF(A245="","",IF(COUNTIF($A$5:$A$1204,A245)&gt;1,"重复",""))</x:f>
      </x:c>
    </x:row>
    <x:row r="246">
      <x:c r="A246" s="62"/>
      <x:c r="B246" s="62"/>
      <x:c r="C246" s="62"/>
      <x:c r="D246" s="62"/>
      <x:c r="E246" s="62"/>
      <x:c r="F246" s="62"/>
      <x:c r="G246" s="66"/>
      <x:c r="H246" s="68"/>
      <x:c r="I246" s="68"/>
      <x:c r="J246" s="68"/>
      <x:c r="K246" s="68"/>
      <x:c r="L246" s="70"/>
      <x:c r="M246" s="64" t="str">
        <x:f>IF(A246="","",IF(AND(E246&lt;&gt;"",F246&lt;&gt;"",ABS(H246-I246)&lt;=0.01,ABS(J246-K246)&lt;=0.01,L246=1),"一致","检查"))</x:f>
      </x:c>
      <x:c r="N246" s="64" t="str">
        <x:f>IF(A246="","",IF(COUNTIF($A$5:$A$1204,A246)&gt;1,"重复",""))</x:f>
      </x:c>
    </x:row>
    <x:row r="247">
      <x:c r="A247" s="62"/>
      <x:c r="B247" s="62"/>
      <x:c r="C247" s="62"/>
      <x:c r="D247" s="62"/>
      <x:c r="E247" s="62"/>
      <x:c r="F247" s="62"/>
      <x:c r="G247" s="66"/>
      <x:c r="H247" s="68"/>
      <x:c r="I247" s="68"/>
      <x:c r="J247" s="68"/>
      <x:c r="K247" s="68"/>
      <x:c r="L247" s="70"/>
      <x:c r="M247" s="64" t="str">
        <x:f>IF(A247="","",IF(AND(E247&lt;&gt;"",F247&lt;&gt;"",ABS(H247-I247)&lt;=0.01,ABS(J247-K247)&lt;=0.01,L247=1),"一致","检查"))</x:f>
      </x:c>
      <x:c r="N247" s="64" t="str">
        <x:f>IF(A247="","",IF(COUNTIF($A$5:$A$1204,A247)&gt;1,"重复",""))</x:f>
      </x:c>
    </x:row>
    <x:row r="248">
      <x:c r="A248" s="62"/>
      <x:c r="B248" s="62"/>
      <x:c r="C248" s="62"/>
      <x:c r="D248" s="62"/>
      <x:c r="E248" s="62"/>
      <x:c r="F248" s="62"/>
      <x:c r="G248" s="66"/>
      <x:c r="H248" s="68"/>
      <x:c r="I248" s="68"/>
      <x:c r="J248" s="68"/>
      <x:c r="K248" s="68"/>
      <x:c r="L248" s="70"/>
      <x:c r="M248" s="64" t="str">
        <x:f>IF(A248="","",IF(AND(E248&lt;&gt;"",F248&lt;&gt;"",ABS(H248-I248)&lt;=0.01,ABS(J248-K248)&lt;=0.01,L248=1),"一致","检查"))</x:f>
      </x:c>
      <x:c r="N248" s="64" t="str">
        <x:f>IF(A248="","",IF(COUNTIF($A$5:$A$1204,A248)&gt;1,"重复",""))</x:f>
      </x:c>
    </x:row>
    <x:row r="249">
      <x:c r="A249" s="62"/>
      <x:c r="B249" s="62"/>
      <x:c r="C249" s="62"/>
      <x:c r="D249" s="62"/>
      <x:c r="E249" s="62"/>
      <x:c r="F249" s="62"/>
      <x:c r="G249" s="66"/>
      <x:c r="H249" s="68"/>
      <x:c r="I249" s="68"/>
      <x:c r="J249" s="68"/>
      <x:c r="K249" s="68"/>
      <x:c r="L249" s="70"/>
      <x:c r="M249" s="64" t="str">
        <x:f>IF(A249="","",IF(AND(E249&lt;&gt;"",F249&lt;&gt;"",ABS(H249-I249)&lt;=0.01,ABS(J249-K249)&lt;=0.01,L249=1),"一致","检查"))</x:f>
      </x:c>
      <x:c r="N249" s="64" t="str">
        <x:f>IF(A249="","",IF(COUNTIF($A$5:$A$1204,A249)&gt;1,"重复",""))</x:f>
      </x:c>
    </x:row>
    <x:row r="250">
      <x:c r="A250" s="62"/>
      <x:c r="B250" s="62"/>
      <x:c r="C250" s="62"/>
      <x:c r="D250" s="62"/>
      <x:c r="E250" s="62"/>
      <x:c r="F250" s="62"/>
      <x:c r="G250" s="66"/>
      <x:c r="H250" s="68"/>
      <x:c r="I250" s="68"/>
      <x:c r="J250" s="68"/>
      <x:c r="K250" s="68"/>
      <x:c r="L250" s="70"/>
      <x:c r="M250" s="64" t="str">
        <x:f>IF(A250="","",IF(AND(E250&lt;&gt;"",F250&lt;&gt;"",ABS(H250-I250)&lt;=0.01,ABS(J250-K250)&lt;=0.01,L250=1),"一致","检查"))</x:f>
      </x:c>
      <x:c r="N250" s="64" t="str">
        <x:f>IF(A250="","",IF(COUNTIF($A$5:$A$1204,A250)&gt;1,"重复",""))</x:f>
      </x:c>
    </x:row>
    <x:row r="251">
      <x:c r="A251" s="62"/>
      <x:c r="B251" s="62"/>
      <x:c r="C251" s="62"/>
      <x:c r="D251" s="62"/>
      <x:c r="E251" s="62"/>
      <x:c r="F251" s="62"/>
      <x:c r="G251" s="66"/>
      <x:c r="H251" s="68"/>
      <x:c r="I251" s="68"/>
      <x:c r="J251" s="68"/>
      <x:c r="K251" s="68"/>
      <x:c r="L251" s="70"/>
      <x:c r="M251" s="64" t="str">
        <x:f>IF(A251="","",IF(AND(E251&lt;&gt;"",F251&lt;&gt;"",ABS(H251-I251)&lt;=0.01,ABS(J251-K251)&lt;=0.01,L251=1),"一致","检查"))</x:f>
      </x:c>
      <x:c r="N251" s="64" t="str">
        <x:f>IF(A251="","",IF(COUNTIF($A$5:$A$1204,A251)&gt;1,"重复",""))</x:f>
      </x:c>
    </x:row>
    <x:row r="252">
      <x:c r="A252" s="62"/>
      <x:c r="B252" s="62"/>
      <x:c r="C252" s="62"/>
      <x:c r="D252" s="62"/>
      <x:c r="E252" s="62"/>
      <x:c r="F252" s="62"/>
      <x:c r="G252" s="66"/>
      <x:c r="H252" s="68"/>
      <x:c r="I252" s="68"/>
      <x:c r="J252" s="68"/>
      <x:c r="K252" s="68"/>
      <x:c r="L252" s="70"/>
      <x:c r="M252" s="64" t="str">
        <x:f>IF(A252="","",IF(AND(E252&lt;&gt;"",F252&lt;&gt;"",ABS(H252-I252)&lt;=0.01,ABS(J252-K252)&lt;=0.01,L252=1),"一致","检查"))</x:f>
      </x:c>
      <x:c r="N252" s="64" t="str">
        <x:f>IF(A252="","",IF(COUNTIF($A$5:$A$1204,A252)&gt;1,"重复",""))</x:f>
      </x:c>
    </x:row>
    <x:row r="253">
      <x:c r="A253" s="62"/>
      <x:c r="B253" s="62"/>
      <x:c r="C253" s="62"/>
      <x:c r="D253" s="62"/>
      <x:c r="E253" s="62"/>
      <x:c r="F253" s="62"/>
      <x:c r="G253" s="66"/>
      <x:c r="H253" s="68"/>
      <x:c r="I253" s="68"/>
      <x:c r="J253" s="68"/>
      <x:c r="K253" s="68"/>
      <x:c r="L253" s="70"/>
      <x:c r="M253" s="64" t="str">
        <x:f>IF(A253="","",IF(AND(E253&lt;&gt;"",F253&lt;&gt;"",ABS(H253-I253)&lt;=0.01,ABS(J253-K253)&lt;=0.01,L253=1),"一致","检查"))</x:f>
      </x:c>
      <x:c r="N253" s="64" t="str">
        <x:f>IF(A253="","",IF(COUNTIF($A$5:$A$1204,A253)&gt;1,"重复",""))</x:f>
      </x:c>
    </x:row>
    <x:row r="254">
      <x:c r="A254" s="62"/>
      <x:c r="B254" s="62"/>
      <x:c r="C254" s="62"/>
      <x:c r="D254" s="62"/>
      <x:c r="E254" s="62"/>
      <x:c r="F254" s="62"/>
      <x:c r="G254" s="66"/>
      <x:c r="H254" s="68"/>
      <x:c r="I254" s="68"/>
      <x:c r="J254" s="68"/>
      <x:c r="K254" s="68"/>
      <x:c r="L254" s="70"/>
      <x:c r="M254" s="64" t="str">
        <x:f>IF(A254="","",IF(AND(E254&lt;&gt;"",F254&lt;&gt;"",ABS(H254-I254)&lt;=0.01,ABS(J254-K254)&lt;=0.01,L254=1),"一致","检查"))</x:f>
      </x:c>
      <x:c r="N254" s="64" t="str">
        <x:f>IF(A254="","",IF(COUNTIF($A$5:$A$1204,A254)&gt;1,"重复",""))</x:f>
      </x:c>
    </x:row>
    <x:row r="255">
      <x:c r="A255" s="62"/>
      <x:c r="B255" s="62"/>
      <x:c r="C255" s="62"/>
      <x:c r="D255" s="62"/>
      <x:c r="E255" s="62"/>
      <x:c r="F255" s="62"/>
      <x:c r="G255" s="66"/>
      <x:c r="H255" s="68"/>
      <x:c r="I255" s="68"/>
      <x:c r="J255" s="68"/>
      <x:c r="K255" s="68"/>
      <x:c r="L255" s="70"/>
      <x:c r="M255" s="64" t="str">
        <x:f>IF(A255="","",IF(AND(E255&lt;&gt;"",F255&lt;&gt;"",ABS(H255-I255)&lt;=0.01,ABS(J255-K255)&lt;=0.01,L255=1),"一致","检查"))</x:f>
      </x:c>
      <x:c r="N255" s="64" t="str">
        <x:f>IF(A255="","",IF(COUNTIF($A$5:$A$1204,A255)&gt;1,"重复",""))</x:f>
      </x:c>
    </x:row>
    <x:row r="256">
      <x:c r="A256" s="62"/>
      <x:c r="B256" s="62"/>
      <x:c r="C256" s="62"/>
      <x:c r="D256" s="62"/>
      <x:c r="E256" s="62"/>
      <x:c r="F256" s="62"/>
      <x:c r="G256" s="66"/>
      <x:c r="H256" s="68"/>
      <x:c r="I256" s="68"/>
      <x:c r="J256" s="68"/>
      <x:c r="K256" s="68"/>
      <x:c r="L256" s="70"/>
      <x:c r="M256" s="64" t="str">
        <x:f>IF(A256="","",IF(AND(E256&lt;&gt;"",F256&lt;&gt;"",ABS(H256-I256)&lt;=0.01,ABS(J256-K256)&lt;=0.01,L256=1),"一致","检查"))</x:f>
      </x:c>
      <x:c r="N256" s="64" t="str">
        <x:f>IF(A256="","",IF(COUNTIF($A$5:$A$1204,A256)&gt;1,"重复",""))</x:f>
      </x:c>
    </x:row>
    <x:row r="257">
      <x:c r="A257" s="62"/>
      <x:c r="B257" s="62"/>
      <x:c r="C257" s="62"/>
      <x:c r="D257" s="62"/>
      <x:c r="E257" s="62"/>
      <x:c r="F257" s="62"/>
      <x:c r="G257" s="66"/>
      <x:c r="H257" s="68"/>
      <x:c r="I257" s="68"/>
      <x:c r="J257" s="68"/>
      <x:c r="K257" s="68"/>
      <x:c r="L257" s="70"/>
      <x:c r="M257" s="64" t="str">
        <x:f>IF(A257="","",IF(AND(E257&lt;&gt;"",F257&lt;&gt;"",ABS(H257-I257)&lt;=0.01,ABS(J257-K257)&lt;=0.01,L257=1),"一致","检查"))</x:f>
      </x:c>
      <x:c r="N257" s="64" t="str">
        <x:f>IF(A257="","",IF(COUNTIF($A$5:$A$1204,A257)&gt;1,"重复",""))</x:f>
      </x:c>
    </x:row>
    <x:row r="258">
      <x:c r="A258" s="62"/>
      <x:c r="B258" s="62"/>
      <x:c r="C258" s="62"/>
      <x:c r="D258" s="62"/>
      <x:c r="E258" s="62"/>
      <x:c r="F258" s="62"/>
      <x:c r="G258" s="66"/>
      <x:c r="H258" s="68"/>
      <x:c r="I258" s="68"/>
      <x:c r="J258" s="68"/>
      <x:c r="K258" s="68"/>
      <x:c r="L258" s="70"/>
      <x:c r="M258" s="64" t="str">
        <x:f>IF(A258="","",IF(AND(E258&lt;&gt;"",F258&lt;&gt;"",ABS(H258-I258)&lt;=0.01,ABS(J258-K258)&lt;=0.01,L258=1),"一致","检查"))</x:f>
      </x:c>
      <x:c r="N258" s="64" t="str">
        <x:f>IF(A258="","",IF(COUNTIF($A$5:$A$1204,A258)&gt;1,"重复",""))</x:f>
      </x:c>
    </x:row>
    <x:row r="259">
      <x:c r="A259" s="62"/>
      <x:c r="B259" s="62"/>
      <x:c r="C259" s="62"/>
      <x:c r="D259" s="62"/>
      <x:c r="E259" s="62"/>
      <x:c r="F259" s="62"/>
      <x:c r="G259" s="66"/>
      <x:c r="H259" s="68"/>
      <x:c r="I259" s="68"/>
      <x:c r="J259" s="68"/>
      <x:c r="K259" s="68"/>
      <x:c r="L259" s="70"/>
      <x:c r="M259" s="64" t="str">
        <x:f>IF(A259="","",IF(AND(E259&lt;&gt;"",F259&lt;&gt;"",ABS(H259-I259)&lt;=0.01,ABS(J259-K259)&lt;=0.01,L259=1),"一致","检查"))</x:f>
      </x:c>
      <x:c r="N259" s="64" t="str">
        <x:f>IF(A259="","",IF(COUNTIF($A$5:$A$1204,A259)&gt;1,"重复",""))</x:f>
      </x:c>
    </x:row>
    <x:row r="260">
      <x:c r="A260" s="62"/>
      <x:c r="B260" s="62"/>
      <x:c r="C260" s="62"/>
      <x:c r="D260" s="62"/>
      <x:c r="E260" s="62"/>
      <x:c r="F260" s="62"/>
      <x:c r="G260" s="66"/>
      <x:c r="H260" s="68"/>
      <x:c r="I260" s="68"/>
      <x:c r="J260" s="68"/>
      <x:c r="K260" s="68"/>
      <x:c r="L260" s="70"/>
      <x:c r="M260" s="64" t="str">
        <x:f>IF(A260="","",IF(AND(E260&lt;&gt;"",F260&lt;&gt;"",ABS(H260-I260)&lt;=0.01,ABS(J260-K260)&lt;=0.01,L260=1),"一致","检查"))</x:f>
      </x:c>
      <x:c r="N260" s="64" t="str">
        <x:f>IF(A260="","",IF(COUNTIF($A$5:$A$1204,A260)&gt;1,"重复",""))</x:f>
      </x:c>
    </x:row>
    <x:row r="261">
      <x:c r="A261" s="62"/>
      <x:c r="B261" s="62"/>
      <x:c r="C261" s="62"/>
      <x:c r="D261" s="62"/>
      <x:c r="E261" s="62"/>
      <x:c r="F261" s="62"/>
      <x:c r="G261" s="66"/>
      <x:c r="H261" s="68"/>
      <x:c r="I261" s="68"/>
      <x:c r="J261" s="68"/>
      <x:c r="K261" s="68"/>
      <x:c r="L261" s="70"/>
      <x:c r="M261" s="64" t="str">
        <x:f>IF(A261="","",IF(AND(E261&lt;&gt;"",F261&lt;&gt;"",ABS(H261-I261)&lt;=0.01,ABS(J261-K261)&lt;=0.01,L261=1),"一致","检查"))</x:f>
      </x:c>
      <x:c r="N261" s="64" t="str">
        <x:f>IF(A261="","",IF(COUNTIF($A$5:$A$1204,A261)&gt;1,"重复",""))</x:f>
      </x:c>
    </x:row>
    <x:row r="262">
      <x:c r="A262" s="62"/>
      <x:c r="B262" s="62"/>
      <x:c r="C262" s="62"/>
      <x:c r="D262" s="62"/>
      <x:c r="E262" s="62"/>
      <x:c r="F262" s="62"/>
      <x:c r="G262" s="66"/>
      <x:c r="H262" s="68"/>
      <x:c r="I262" s="68"/>
      <x:c r="J262" s="68"/>
      <x:c r="K262" s="68"/>
      <x:c r="L262" s="70"/>
      <x:c r="M262" s="64" t="str">
        <x:f>IF(A262="","",IF(AND(E262&lt;&gt;"",F262&lt;&gt;"",ABS(H262-I262)&lt;=0.01,ABS(J262-K262)&lt;=0.01,L262=1),"一致","检查"))</x:f>
      </x:c>
      <x:c r="N262" s="64" t="str">
        <x:f>IF(A262="","",IF(COUNTIF($A$5:$A$1204,A262)&gt;1,"重复",""))</x:f>
      </x:c>
    </x:row>
    <x:row r="263">
      <x:c r="A263" s="62"/>
      <x:c r="B263" s="62"/>
      <x:c r="C263" s="62"/>
      <x:c r="D263" s="62"/>
      <x:c r="E263" s="62"/>
      <x:c r="F263" s="62"/>
      <x:c r="G263" s="66"/>
      <x:c r="H263" s="68"/>
      <x:c r="I263" s="68"/>
      <x:c r="J263" s="68"/>
      <x:c r="K263" s="68"/>
      <x:c r="L263" s="70"/>
      <x:c r="M263" s="64" t="str">
        <x:f>IF(A263="","",IF(AND(E263&lt;&gt;"",F263&lt;&gt;"",ABS(H263-I263)&lt;=0.01,ABS(J263-K263)&lt;=0.01,L263=1),"一致","检查"))</x:f>
      </x:c>
      <x:c r="N263" s="64" t="str">
        <x:f>IF(A263="","",IF(COUNTIF($A$5:$A$1204,A263)&gt;1,"重复",""))</x:f>
      </x:c>
    </x:row>
    <x:row r="264">
      <x:c r="A264" s="62"/>
      <x:c r="B264" s="62"/>
      <x:c r="C264" s="62"/>
      <x:c r="D264" s="62"/>
      <x:c r="E264" s="62"/>
      <x:c r="F264" s="62"/>
      <x:c r="G264" s="66"/>
      <x:c r="H264" s="68"/>
      <x:c r="I264" s="68"/>
      <x:c r="J264" s="68"/>
      <x:c r="K264" s="68"/>
      <x:c r="L264" s="70"/>
      <x:c r="M264" s="64" t="str">
        <x:f>IF(A264="","",IF(AND(E264&lt;&gt;"",F264&lt;&gt;"",ABS(H264-I264)&lt;=0.01,ABS(J264-K264)&lt;=0.01,L264=1),"一致","检查"))</x:f>
      </x:c>
      <x:c r="N264" s="64" t="str">
        <x:f>IF(A264="","",IF(COUNTIF($A$5:$A$1204,A264)&gt;1,"重复",""))</x:f>
      </x:c>
    </x:row>
    <x:row r="265">
      <x:c r="A265" s="62"/>
      <x:c r="B265" s="62"/>
      <x:c r="C265" s="62"/>
      <x:c r="D265" s="62"/>
      <x:c r="E265" s="62"/>
      <x:c r="F265" s="62"/>
      <x:c r="G265" s="66"/>
      <x:c r="H265" s="68"/>
      <x:c r="I265" s="68"/>
      <x:c r="J265" s="68"/>
      <x:c r="K265" s="68"/>
      <x:c r="L265" s="70"/>
      <x:c r="M265" s="64" t="str">
        <x:f>IF(A265="","",IF(AND(E265&lt;&gt;"",F265&lt;&gt;"",ABS(H265-I265)&lt;=0.01,ABS(J265-K265)&lt;=0.01,L265=1),"一致","检查"))</x:f>
      </x:c>
      <x:c r="N265" s="64" t="str">
        <x:f>IF(A265="","",IF(COUNTIF($A$5:$A$1204,A265)&gt;1,"重复",""))</x:f>
      </x:c>
    </x:row>
    <x:row r="266">
      <x:c r="A266" s="62"/>
      <x:c r="B266" s="62"/>
      <x:c r="C266" s="62"/>
      <x:c r="D266" s="62"/>
      <x:c r="E266" s="62"/>
      <x:c r="F266" s="62"/>
      <x:c r="G266" s="66"/>
      <x:c r="H266" s="68"/>
      <x:c r="I266" s="68"/>
      <x:c r="J266" s="68"/>
      <x:c r="K266" s="68"/>
      <x:c r="L266" s="70"/>
      <x:c r="M266" s="64" t="str">
        <x:f>IF(A266="","",IF(AND(E266&lt;&gt;"",F266&lt;&gt;"",ABS(H266-I266)&lt;=0.01,ABS(J266-K266)&lt;=0.01,L266=1),"一致","检查"))</x:f>
      </x:c>
      <x:c r="N266" s="64" t="str">
        <x:f>IF(A266="","",IF(COUNTIF($A$5:$A$1204,A266)&gt;1,"重复",""))</x:f>
      </x:c>
    </x:row>
    <x:row r="267">
      <x:c r="A267" s="62"/>
      <x:c r="B267" s="62"/>
      <x:c r="C267" s="62"/>
      <x:c r="D267" s="62"/>
      <x:c r="E267" s="62"/>
      <x:c r="F267" s="62"/>
      <x:c r="G267" s="66"/>
      <x:c r="H267" s="68"/>
      <x:c r="I267" s="68"/>
      <x:c r="J267" s="68"/>
      <x:c r="K267" s="68"/>
      <x:c r="L267" s="70"/>
      <x:c r="M267" s="64" t="str">
        <x:f>IF(A267="","",IF(AND(E267&lt;&gt;"",F267&lt;&gt;"",ABS(H267-I267)&lt;=0.01,ABS(J267-K267)&lt;=0.01,L267=1),"一致","检查"))</x:f>
      </x:c>
      <x:c r="N267" s="64" t="str">
        <x:f>IF(A267="","",IF(COUNTIF($A$5:$A$1204,A267)&gt;1,"重复",""))</x:f>
      </x:c>
    </x:row>
    <x:row r="268">
      <x:c r="A268" s="62"/>
      <x:c r="B268" s="62"/>
      <x:c r="C268" s="62"/>
      <x:c r="D268" s="62"/>
      <x:c r="E268" s="62"/>
      <x:c r="F268" s="62"/>
      <x:c r="G268" s="66"/>
      <x:c r="H268" s="68"/>
      <x:c r="I268" s="68"/>
      <x:c r="J268" s="68"/>
      <x:c r="K268" s="68"/>
      <x:c r="L268" s="70"/>
      <x:c r="M268" s="64" t="str">
        <x:f>IF(A268="","",IF(AND(E268&lt;&gt;"",F268&lt;&gt;"",ABS(H268-I268)&lt;=0.01,ABS(J268-K268)&lt;=0.01,L268=1),"一致","检查"))</x:f>
      </x:c>
      <x:c r="N268" s="64" t="str">
        <x:f>IF(A268="","",IF(COUNTIF($A$5:$A$1204,A268)&gt;1,"重复",""))</x:f>
      </x:c>
    </x:row>
    <x:row r="269">
      <x:c r="A269" s="62"/>
      <x:c r="B269" s="62"/>
      <x:c r="C269" s="62"/>
      <x:c r="D269" s="62"/>
      <x:c r="E269" s="62"/>
      <x:c r="F269" s="62"/>
      <x:c r="G269" s="66"/>
      <x:c r="H269" s="68"/>
      <x:c r="I269" s="68"/>
      <x:c r="J269" s="68"/>
      <x:c r="K269" s="68"/>
      <x:c r="L269" s="70"/>
      <x:c r="M269" s="64" t="str">
        <x:f>IF(A269="","",IF(AND(E269&lt;&gt;"",F269&lt;&gt;"",ABS(H269-I269)&lt;=0.01,ABS(J269-K269)&lt;=0.01,L269=1),"一致","检查"))</x:f>
      </x:c>
      <x:c r="N269" s="64" t="str">
        <x:f>IF(A269="","",IF(COUNTIF($A$5:$A$1204,A269)&gt;1,"重复",""))</x:f>
      </x:c>
    </x:row>
    <x:row r="270">
      <x:c r="A270" s="62"/>
      <x:c r="B270" s="62"/>
      <x:c r="C270" s="62"/>
      <x:c r="D270" s="62"/>
      <x:c r="E270" s="62"/>
      <x:c r="F270" s="62"/>
      <x:c r="G270" s="66"/>
      <x:c r="H270" s="68"/>
      <x:c r="I270" s="68"/>
      <x:c r="J270" s="68"/>
      <x:c r="K270" s="68"/>
      <x:c r="L270" s="70"/>
      <x:c r="M270" s="64" t="str">
        <x:f>IF(A270="","",IF(AND(E270&lt;&gt;"",F270&lt;&gt;"",ABS(H270-I270)&lt;=0.01,ABS(J270-K270)&lt;=0.01,L270=1),"一致","检查"))</x:f>
      </x:c>
      <x:c r="N270" s="64" t="str">
        <x:f>IF(A270="","",IF(COUNTIF($A$5:$A$1204,A270)&gt;1,"重复",""))</x:f>
      </x:c>
    </x:row>
    <x:row r="271">
      <x:c r="A271" s="62"/>
      <x:c r="B271" s="62"/>
      <x:c r="C271" s="62"/>
      <x:c r="D271" s="62"/>
      <x:c r="E271" s="62"/>
      <x:c r="F271" s="62"/>
      <x:c r="G271" s="66"/>
      <x:c r="H271" s="68"/>
      <x:c r="I271" s="68"/>
      <x:c r="J271" s="68"/>
      <x:c r="K271" s="68"/>
      <x:c r="L271" s="70"/>
      <x:c r="M271" s="64" t="str">
        <x:f>IF(A271="","",IF(AND(E271&lt;&gt;"",F271&lt;&gt;"",ABS(H271-I271)&lt;=0.01,ABS(J271-K271)&lt;=0.01,L271=1),"一致","检查"))</x:f>
      </x:c>
      <x:c r="N271" s="64" t="str">
        <x:f>IF(A271="","",IF(COUNTIF($A$5:$A$1204,A271)&gt;1,"重复",""))</x:f>
      </x:c>
    </x:row>
    <x:row r="272">
      <x:c r="A272" s="62"/>
      <x:c r="B272" s="62"/>
      <x:c r="C272" s="62"/>
      <x:c r="D272" s="62"/>
      <x:c r="E272" s="62"/>
      <x:c r="F272" s="62"/>
      <x:c r="G272" s="66"/>
      <x:c r="H272" s="68"/>
      <x:c r="I272" s="68"/>
      <x:c r="J272" s="68"/>
      <x:c r="K272" s="68"/>
      <x:c r="L272" s="70"/>
      <x:c r="M272" s="64" t="str">
        <x:f>IF(A272="","",IF(AND(E272&lt;&gt;"",F272&lt;&gt;"",ABS(H272-I272)&lt;=0.01,ABS(J272-K272)&lt;=0.01,L272=1),"一致","检查"))</x:f>
      </x:c>
      <x:c r="N272" s="64" t="str">
        <x:f>IF(A272="","",IF(COUNTIF($A$5:$A$1204,A272)&gt;1,"重复",""))</x:f>
      </x:c>
    </x:row>
    <x:row r="273">
      <x:c r="A273" s="62"/>
      <x:c r="B273" s="62"/>
      <x:c r="C273" s="62"/>
      <x:c r="D273" s="62"/>
      <x:c r="E273" s="62"/>
      <x:c r="F273" s="62"/>
      <x:c r="G273" s="66"/>
      <x:c r="H273" s="68"/>
      <x:c r="I273" s="68"/>
      <x:c r="J273" s="68"/>
      <x:c r="K273" s="68"/>
      <x:c r="L273" s="70"/>
      <x:c r="M273" s="64" t="str">
        <x:f>IF(A273="","",IF(AND(E273&lt;&gt;"",F273&lt;&gt;"",ABS(H273-I273)&lt;=0.01,ABS(J273-K273)&lt;=0.01,L273=1),"一致","检查"))</x:f>
      </x:c>
      <x:c r="N273" s="64" t="str">
        <x:f>IF(A273="","",IF(COUNTIF($A$5:$A$1204,A273)&gt;1,"重复",""))</x:f>
      </x:c>
    </x:row>
    <x:row r="274">
      <x:c r="A274" s="62"/>
      <x:c r="B274" s="62"/>
      <x:c r="C274" s="62"/>
      <x:c r="D274" s="62"/>
      <x:c r="E274" s="62"/>
      <x:c r="F274" s="62"/>
      <x:c r="G274" s="66"/>
      <x:c r="H274" s="68"/>
      <x:c r="I274" s="68"/>
      <x:c r="J274" s="68"/>
      <x:c r="K274" s="68"/>
      <x:c r="L274" s="70"/>
      <x:c r="M274" s="64" t="str">
        <x:f>IF(A274="","",IF(AND(E274&lt;&gt;"",F274&lt;&gt;"",ABS(H274-I274)&lt;=0.01,ABS(J274-K274)&lt;=0.01,L274=1),"一致","检查"))</x:f>
      </x:c>
      <x:c r="N274" s="64" t="str">
        <x:f>IF(A274="","",IF(COUNTIF($A$5:$A$1204,A274)&gt;1,"重复",""))</x:f>
      </x:c>
    </x:row>
    <x:row r="275">
      <x:c r="A275" s="62"/>
      <x:c r="B275" s="62"/>
      <x:c r="C275" s="62"/>
      <x:c r="D275" s="62"/>
      <x:c r="E275" s="62"/>
      <x:c r="F275" s="62"/>
      <x:c r="G275" s="66"/>
      <x:c r="H275" s="68"/>
      <x:c r="I275" s="68"/>
      <x:c r="J275" s="68"/>
      <x:c r="K275" s="68"/>
      <x:c r="L275" s="70"/>
      <x:c r="M275" s="64" t="str">
        <x:f>IF(A275="","",IF(AND(E275&lt;&gt;"",F275&lt;&gt;"",ABS(H275-I275)&lt;=0.01,ABS(J275-K275)&lt;=0.01,L275=1),"一致","检查"))</x:f>
      </x:c>
      <x:c r="N275" s="64" t="str">
        <x:f>IF(A275="","",IF(COUNTIF($A$5:$A$1204,A275)&gt;1,"重复",""))</x:f>
      </x:c>
    </x:row>
    <x:row r="276">
      <x:c r="A276" s="62"/>
      <x:c r="B276" s="62"/>
      <x:c r="C276" s="62"/>
      <x:c r="D276" s="62"/>
      <x:c r="E276" s="62"/>
      <x:c r="F276" s="62"/>
      <x:c r="G276" s="66"/>
      <x:c r="H276" s="68"/>
      <x:c r="I276" s="68"/>
      <x:c r="J276" s="68"/>
      <x:c r="K276" s="68"/>
      <x:c r="L276" s="70"/>
      <x:c r="M276" s="64" t="str">
        <x:f>IF(A276="","",IF(AND(E276&lt;&gt;"",F276&lt;&gt;"",ABS(H276-I276)&lt;=0.01,ABS(J276-K276)&lt;=0.01,L276=1),"一致","检查"))</x:f>
      </x:c>
      <x:c r="N276" s="64" t="str">
        <x:f>IF(A276="","",IF(COUNTIF($A$5:$A$1204,A276)&gt;1,"重复",""))</x:f>
      </x:c>
    </x:row>
    <x:row r="277">
      <x:c r="A277" s="62"/>
      <x:c r="B277" s="62"/>
      <x:c r="C277" s="62"/>
      <x:c r="D277" s="62"/>
      <x:c r="E277" s="62"/>
      <x:c r="F277" s="62"/>
      <x:c r="G277" s="66"/>
      <x:c r="H277" s="68"/>
      <x:c r="I277" s="68"/>
      <x:c r="J277" s="68"/>
      <x:c r="K277" s="68"/>
      <x:c r="L277" s="70"/>
      <x:c r="M277" s="64" t="str">
        <x:f>IF(A277="","",IF(AND(E277&lt;&gt;"",F277&lt;&gt;"",ABS(H277-I277)&lt;=0.01,ABS(J277-K277)&lt;=0.01,L277=1),"一致","检查"))</x:f>
      </x:c>
      <x:c r="N277" s="64" t="str">
        <x:f>IF(A277="","",IF(COUNTIF($A$5:$A$1204,A277)&gt;1,"重复",""))</x:f>
      </x:c>
    </x:row>
    <x:row r="278">
      <x:c r="A278" s="62"/>
      <x:c r="B278" s="62"/>
      <x:c r="C278" s="62"/>
      <x:c r="D278" s="62"/>
      <x:c r="E278" s="62"/>
      <x:c r="F278" s="62"/>
      <x:c r="G278" s="66"/>
      <x:c r="H278" s="68"/>
      <x:c r="I278" s="68"/>
      <x:c r="J278" s="68"/>
      <x:c r="K278" s="68"/>
      <x:c r="L278" s="70"/>
      <x:c r="M278" s="64" t="str">
        <x:f>IF(A278="","",IF(AND(E278&lt;&gt;"",F278&lt;&gt;"",ABS(H278-I278)&lt;=0.01,ABS(J278-K278)&lt;=0.01,L278=1),"一致","检查"))</x:f>
      </x:c>
      <x:c r="N278" s="64" t="str">
        <x:f>IF(A278="","",IF(COUNTIF($A$5:$A$1204,A278)&gt;1,"重复",""))</x:f>
      </x:c>
    </x:row>
    <x:row r="279">
      <x:c r="A279" s="62"/>
      <x:c r="B279" s="62"/>
      <x:c r="C279" s="62"/>
      <x:c r="D279" s="62"/>
      <x:c r="E279" s="62"/>
      <x:c r="F279" s="62"/>
      <x:c r="G279" s="66"/>
      <x:c r="H279" s="68"/>
      <x:c r="I279" s="68"/>
      <x:c r="J279" s="68"/>
      <x:c r="K279" s="68"/>
      <x:c r="L279" s="70"/>
      <x:c r="M279" s="64" t="str">
        <x:f>IF(A279="","",IF(AND(E279&lt;&gt;"",F279&lt;&gt;"",ABS(H279-I279)&lt;=0.01,ABS(J279-K279)&lt;=0.01,L279=1),"一致","检查"))</x:f>
      </x:c>
      <x:c r="N279" s="64" t="str">
        <x:f>IF(A279="","",IF(COUNTIF($A$5:$A$1204,A279)&gt;1,"重复",""))</x:f>
      </x:c>
    </x:row>
    <x:row r="280">
      <x:c r="A280" s="62"/>
      <x:c r="B280" s="62"/>
      <x:c r="C280" s="62"/>
      <x:c r="D280" s="62"/>
      <x:c r="E280" s="62"/>
      <x:c r="F280" s="62"/>
      <x:c r="G280" s="66"/>
      <x:c r="H280" s="68"/>
      <x:c r="I280" s="68"/>
      <x:c r="J280" s="68"/>
      <x:c r="K280" s="68"/>
      <x:c r="L280" s="70"/>
      <x:c r="M280" s="64" t="str">
        <x:f>IF(A280="","",IF(AND(E280&lt;&gt;"",F280&lt;&gt;"",ABS(H280-I280)&lt;=0.01,ABS(J280-K280)&lt;=0.01,L280=1),"一致","检查"))</x:f>
      </x:c>
      <x:c r="N280" s="64" t="str">
        <x:f>IF(A280="","",IF(COUNTIF($A$5:$A$1204,A280)&gt;1,"重复",""))</x:f>
      </x:c>
    </x:row>
    <x:row r="281">
      <x:c r="A281" s="62"/>
      <x:c r="B281" s="62"/>
      <x:c r="C281" s="62"/>
      <x:c r="D281" s="62"/>
      <x:c r="E281" s="62"/>
      <x:c r="F281" s="62"/>
      <x:c r="G281" s="66"/>
      <x:c r="H281" s="68"/>
      <x:c r="I281" s="68"/>
      <x:c r="J281" s="68"/>
      <x:c r="K281" s="68"/>
      <x:c r="L281" s="70"/>
      <x:c r="M281" s="64" t="str">
        <x:f>IF(A281="","",IF(AND(E281&lt;&gt;"",F281&lt;&gt;"",ABS(H281-I281)&lt;=0.01,ABS(J281-K281)&lt;=0.01,L281=1),"一致","检查"))</x:f>
      </x:c>
      <x:c r="N281" s="64" t="str">
        <x:f>IF(A281="","",IF(COUNTIF($A$5:$A$1204,A281)&gt;1,"重复",""))</x:f>
      </x:c>
    </x:row>
    <x:row r="282">
      <x:c r="A282" s="62"/>
      <x:c r="B282" s="62"/>
      <x:c r="C282" s="62"/>
      <x:c r="D282" s="62"/>
      <x:c r="E282" s="62"/>
      <x:c r="F282" s="62"/>
      <x:c r="G282" s="66"/>
      <x:c r="H282" s="68"/>
      <x:c r="I282" s="68"/>
      <x:c r="J282" s="68"/>
      <x:c r="K282" s="68"/>
      <x:c r="L282" s="70"/>
      <x:c r="M282" s="64" t="str">
        <x:f>IF(A282="","",IF(AND(E282&lt;&gt;"",F282&lt;&gt;"",ABS(H282-I282)&lt;=0.01,ABS(J282-K282)&lt;=0.01,L282=1),"一致","检查"))</x:f>
      </x:c>
      <x:c r="N282" s="64" t="str">
        <x:f>IF(A282="","",IF(COUNTIF($A$5:$A$1204,A282)&gt;1,"重复",""))</x:f>
      </x:c>
    </x:row>
    <x:row r="283">
      <x:c r="A283" s="62"/>
      <x:c r="B283" s="62"/>
      <x:c r="C283" s="62"/>
      <x:c r="D283" s="62"/>
      <x:c r="E283" s="62"/>
      <x:c r="F283" s="62"/>
      <x:c r="G283" s="66"/>
      <x:c r="H283" s="68"/>
      <x:c r="I283" s="68"/>
      <x:c r="J283" s="68"/>
      <x:c r="K283" s="68"/>
      <x:c r="L283" s="70"/>
      <x:c r="M283" s="64" t="str">
        <x:f>IF(A283="","",IF(AND(E283&lt;&gt;"",F283&lt;&gt;"",ABS(H283-I283)&lt;=0.01,ABS(J283-K283)&lt;=0.01,L283=1),"一致","检查"))</x:f>
      </x:c>
      <x:c r="N283" s="64" t="str">
        <x:f>IF(A283="","",IF(COUNTIF($A$5:$A$1204,A283)&gt;1,"重复",""))</x:f>
      </x:c>
    </x:row>
    <x:row r="284">
      <x:c r="A284" s="62"/>
      <x:c r="B284" s="62"/>
      <x:c r="C284" s="62"/>
      <x:c r="D284" s="62"/>
      <x:c r="E284" s="62"/>
      <x:c r="F284" s="62"/>
      <x:c r="G284" s="66"/>
      <x:c r="H284" s="68"/>
      <x:c r="I284" s="68"/>
      <x:c r="J284" s="68"/>
      <x:c r="K284" s="68"/>
      <x:c r="L284" s="70"/>
      <x:c r="M284" s="64" t="str">
        <x:f>IF(A284="","",IF(AND(E284&lt;&gt;"",F284&lt;&gt;"",ABS(H284-I284)&lt;=0.01,ABS(J284-K284)&lt;=0.01,L284=1),"一致","检查"))</x:f>
      </x:c>
      <x:c r="N284" s="64" t="str">
        <x:f>IF(A284="","",IF(COUNTIF($A$5:$A$1204,A284)&gt;1,"重复",""))</x:f>
      </x:c>
    </x:row>
    <x:row r="285">
      <x:c r="A285" s="62"/>
      <x:c r="B285" s="62"/>
      <x:c r="C285" s="62"/>
      <x:c r="D285" s="62"/>
      <x:c r="E285" s="62"/>
      <x:c r="F285" s="62"/>
      <x:c r="G285" s="66"/>
      <x:c r="H285" s="68"/>
      <x:c r="I285" s="68"/>
      <x:c r="J285" s="68"/>
      <x:c r="K285" s="68"/>
      <x:c r="L285" s="70"/>
      <x:c r="M285" s="64" t="str">
        <x:f>IF(A285="","",IF(AND(E285&lt;&gt;"",F285&lt;&gt;"",ABS(H285-I285)&lt;=0.01,ABS(J285-K285)&lt;=0.01,L285=1),"一致","检查"))</x:f>
      </x:c>
      <x:c r="N285" s="64" t="str">
        <x:f>IF(A285="","",IF(COUNTIF($A$5:$A$1204,A285)&gt;1,"重复",""))</x:f>
      </x:c>
    </x:row>
    <x:row r="286">
      <x:c r="A286" s="62"/>
      <x:c r="B286" s="62"/>
      <x:c r="C286" s="62"/>
      <x:c r="D286" s="62"/>
      <x:c r="E286" s="62"/>
      <x:c r="F286" s="62"/>
      <x:c r="G286" s="66"/>
      <x:c r="H286" s="68"/>
      <x:c r="I286" s="68"/>
      <x:c r="J286" s="68"/>
      <x:c r="K286" s="68"/>
      <x:c r="L286" s="70"/>
      <x:c r="M286" s="64" t="str">
        <x:f>IF(A286="","",IF(AND(E286&lt;&gt;"",F286&lt;&gt;"",ABS(H286-I286)&lt;=0.01,ABS(J286-K286)&lt;=0.01,L286=1),"一致","检查"))</x:f>
      </x:c>
      <x:c r="N286" s="64" t="str">
        <x:f>IF(A286="","",IF(COUNTIF($A$5:$A$1204,A286)&gt;1,"重复",""))</x:f>
      </x:c>
    </x:row>
    <x:row r="287">
      <x:c r="A287" s="62"/>
      <x:c r="B287" s="62"/>
      <x:c r="C287" s="62"/>
      <x:c r="D287" s="62"/>
      <x:c r="E287" s="62"/>
      <x:c r="F287" s="62"/>
      <x:c r="G287" s="66"/>
      <x:c r="H287" s="68"/>
      <x:c r="I287" s="68"/>
      <x:c r="J287" s="68"/>
      <x:c r="K287" s="68"/>
      <x:c r="L287" s="70"/>
      <x:c r="M287" s="64" t="str">
        <x:f>IF(A287="","",IF(AND(E287&lt;&gt;"",F287&lt;&gt;"",ABS(H287-I287)&lt;=0.01,ABS(J287-K287)&lt;=0.01,L287=1),"一致","检查"))</x:f>
      </x:c>
      <x:c r="N287" s="64" t="str">
        <x:f>IF(A287="","",IF(COUNTIF($A$5:$A$1204,A287)&gt;1,"重复",""))</x:f>
      </x:c>
    </x:row>
    <x:row r="288">
      <x:c r="A288" s="62"/>
      <x:c r="B288" s="62"/>
      <x:c r="C288" s="62"/>
      <x:c r="D288" s="62"/>
      <x:c r="E288" s="62"/>
      <x:c r="F288" s="62"/>
      <x:c r="G288" s="66"/>
      <x:c r="H288" s="68"/>
      <x:c r="I288" s="68"/>
      <x:c r="J288" s="68"/>
      <x:c r="K288" s="68"/>
      <x:c r="L288" s="70"/>
      <x:c r="M288" s="64" t="str">
        <x:f>IF(A288="","",IF(AND(E288&lt;&gt;"",F288&lt;&gt;"",ABS(H288-I288)&lt;=0.01,ABS(J288-K288)&lt;=0.01,L288=1),"一致","检查"))</x:f>
      </x:c>
      <x:c r="N288" s="64" t="str">
        <x:f>IF(A288="","",IF(COUNTIF($A$5:$A$1204,A288)&gt;1,"重复",""))</x:f>
      </x:c>
    </x:row>
    <x:row r="289">
      <x:c r="A289" s="62"/>
      <x:c r="B289" s="62"/>
      <x:c r="C289" s="62"/>
      <x:c r="D289" s="62"/>
      <x:c r="E289" s="62"/>
      <x:c r="F289" s="62"/>
      <x:c r="G289" s="66"/>
      <x:c r="H289" s="68"/>
      <x:c r="I289" s="68"/>
      <x:c r="J289" s="68"/>
      <x:c r="K289" s="68"/>
      <x:c r="L289" s="70"/>
      <x:c r="M289" s="64" t="str">
        <x:f>IF(A289="","",IF(AND(E289&lt;&gt;"",F289&lt;&gt;"",ABS(H289-I289)&lt;=0.01,ABS(J289-K289)&lt;=0.01,L289=1),"一致","检查"))</x:f>
      </x:c>
      <x:c r="N289" s="64" t="str">
        <x:f>IF(A289="","",IF(COUNTIF($A$5:$A$1204,A289)&gt;1,"重复",""))</x:f>
      </x:c>
    </x:row>
    <x:row r="290">
      <x:c r="A290" s="62"/>
      <x:c r="B290" s="62"/>
      <x:c r="C290" s="62"/>
      <x:c r="D290" s="62"/>
      <x:c r="E290" s="62"/>
      <x:c r="F290" s="62"/>
      <x:c r="G290" s="66"/>
      <x:c r="H290" s="68"/>
      <x:c r="I290" s="68"/>
      <x:c r="J290" s="68"/>
      <x:c r="K290" s="68"/>
      <x:c r="L290" s="70"/>
      <x:c r="M290" s="64" t="str">
        <x:f>IF(A290="","",IF(AND(E290&lt;&gt;"",F290&lt;&gt;"",ABS(H290-I290)&lt;=0.01,ABS(J290-K290)&lt;=0.01,L290=1),"一致","检查"))</x:f>
      </x:c>
      <x:c r="N290" s="64" t="str">
        <x:f>IF(A290="","",IF(COUNTIF($A$5:$A$1204,A290)&gt;1,"重复",""))</x:f>
      </x:c>
    </x:row>
    <x:row r="291">
      <x:c r="A291" s="62"/>
      <x:c r="B291" s="62"/>
      <x:c r="C291" s="62"/>
      <x:c r="D291" s="62"/>
      <x:c r="E291" s="62"/>
      <x:c r="F291" s="62"/>
      <x:c r="G291" s="66"/>
      <x:c r="H291" s="68"/>
      <x:c r="I291" s="68"/>
      <x:c r="J291" s="68"/>
      <x:c r="K291" s="68"/>
      <x:c r="L291" s="70"/>
      <x:c r="M291" s="64" t="str">
        <x:f>IF(A291="","",IF(AND(E291&lt;&gt;"",F291&lt;&gt;"",ABS(H291-I291)&lt;=0.01,ABS(J291-K291)&lt;=0.01,L291=1),"一致","检查"))</x:f>
      </x:c>
      <x:c r="N291" s="64" t="str">
        <x:f>IF(A291="","",IF(COUNTIF($A$5:$A$1204,A291)&gt;1,"重复",""))</x:f>
      </x:c>
    </x:row>
    <x:row r="292">
      <x:c r="A292" s="62"/>
      <x:c r="B292" s="62"/>
      <x:c r="C292" s="62"/>
      <x:c r="D292" s="62"/>
      <x:c r="E292" s="62"/>
      <x:c r="F292" s="62"/>
      <x:c r="G292" s="66"/>
      <x:c r="H292" s="68"/>
      <x:c r="I292" s="68"/>
      <x:c r="J292" s="68"/>
      <x:c r="K292" s="68"/>
      <x:c r="L292" s="70"/>
      <x:c r="M292" s="64" t="str">
        <x:f>IF(A292="","",IF(AND(E292&lt;&gt;"",F292&lt;&gt;"",ABS(H292-I292)&lt;=0.01,ABS(J292-K292)&lt;=0.01,L292=1),"一致","检查"))</x:f>
      </x:c>
      <x:c r="N292" s="64" t="str">
        <x:f>IF(A292="","",IF(COUNTIF($A$5:$A$1204,A292)&gt;1,"重复",""))</x:f>
      </x:c>
    </x:row>
    <x:row r="293">
      <x:c r="A293" s="62"/>
      <x:c r="B293" s="62"/>
      <x:c r="C293" s="62"/>
      <x:c r="D293" s="62"/>
      <x:c r="E293" s="62"/>
      <x:c r="F293" s="62"/>
      <x:c r="G293" s="66"/>
      <x:c r="H293" s="68"/>
      <x:c r="I293" s="68"/>
      <x:c r="J293" s="68"/>
      <x:c r="K293" s="68"/>
      <x:c r="L293" s="70"/>
      <x:c r="M293" s="64" t="str">
        <x:f>IF(A293="","",IF(AND(E293&lt;&gt;"",F293&lt;&gt;"",ABS(H293-I293)&lt;=0.01,ABS(J293-K293)&lt;=0.01,L293=1),"一致","检查"))</x:f>
      </x:c>
      <x:c r="N293" s="64" t="str">
        <x:f>IF(A293="","",IF(COUNTIF($A$5:$A$1204,A293)&gt;1,"重复",""))</x:f>
      </x:c>
    </x:row>
    <x:row r="294">
      <x:c r="A294" s="62"/>
      <x:c r="B294" s="62"/>
      <x:c r="C294" s="62"/>
      <x:c r="D294" s="62"/>
      <x:c r="E294" s="62"/>
      <x:c r="F294" s="62"/>
      <x:c r="G294" s="66"/>
      <x:c r="H294" s="68"/>
      <x:c r="I294" s="68"/>
      <x:c r="J294" s="68"/>
      <x:c r="K294" s="68"/>
      <x:c r="L294" s="70"/>
      <x:c r="M294" s="64" t="str">
        <x:f>IF(A294="","",IF(AND(E294&lt;&gt;"",F294&lt;&gt;"",ABS(H294-I294)&lt;=0.01,ABS(J294-K294)&lt;=0.01,L294=1),"一致","检查"))</x:f>
      </x:c>
      <x:c r="N294" s="64" t="str">
        <x:f>IF(A294="","",IF(COUNTIF($A$5:$A$1204,A294)&gt;1,"重复",""))</x:f>
      </x:c>
    </x:row>
    <x:row r="295">
      <x:c r="A295" s="62"/>
      <x:c r="B295" s="62"/>
      <x:c r="C295" s="62"/>
      <x:c r="D295" s="62"/>
      <x:c r="E295" s="62"/>
      <x:c r="F295" s="62"/>
      <x:c r="G295" s="66"/>
      <x:c r="H295" s="68"/>
      <x:c r="I295" s="68"/>
      <x:c r="J295" s="68"/>
      <x:c r="K295" s="68"/>
      <x:c r="L295" s="70"/>
      <x:c r="M295" s="64" t="str">
        <x:f>IF(A295="","",IF(AND(E295&lt;&gt;"",F295&lt;&gt;"",ABS(H295-I295)&lt;=0.01,ABS(J295-K295)&lt;=0.01,L295=1),"一致","检查"))</x:f>
      </x:c>
      <x:c r="N295" s="64" t="str">
        <x:f>IF(A295="","",IF(COUNTIF($A$5:$A$1204,A295)&gt;1,"重复",""))</x:f>
      </x:c>
    </x:row>
    <x:row r="296">
      <x:c r="A296" s="62"/>
      <x:c r="B296" s="62"/>
      <x:c r="C296" s="62"/>
      <x:c r="D296" s="62"/>
      <x:c r="E296" s="62"/>
      <x:c r="F296" s="62"/>
      <x:c r="G296" s="66"/>
      <x:c r="H296" s="68"/>
      <x:c r="I296" s="68"/>
      <x:c r="J296" s="68"/>
      <x:c r="K296" s="68"/>
      <x:c r="L296" s="70"/>
      <x:c r="M296" s="64" t="str">
        <x:f>IF(A296="","",IF(AND(E296&lt;&gt;"",F296&lt;&gt;"",ABS(H296-I296)&lt;=0.01,ABS(J296-K296)&lt;=0.01,L296=1),"一致","检查"))</x:f>
      </x:c>
      <x:c r="N296" s="64" t="str">
        <x:f>IF(A296="","",IF(COUNTIF($A$5:$A$1204,A296)&gt;1,"重复",""))</x:f>
      </x:c>
    </x:row>
    <x:row r="297">
      <x:c r="A297" s="62"/>
      <x:c r="B297" s="62"/>
      <x:c r="C297" s="62"/>
      <x:c r="D297" s="62"/>
      <x:c r="E297" s="62"/>
      <x:c r="F297" s="62"/>
      <x:c r="G297" s="66"/>
      <x:c r="H297" s="68"/>
      <x:c r="I297" s="68"/>
      <x:c r="J297" s="68"/>
      <x:c r="K297" s="68"/>
      <x:c r="L297" s="70"/>
      <x:c r="M297" s="64" t="str">
        <x:f>IF(A297="","",IF(AND(E297&lt;&gt;"",F297&lt;&gt;"",ABS(H297-I297)&lt;=0.01,ABS(J297-K297)&lt;=0.01,L297=1),"一致","检查"))</x:f>
      </x:c>
      <x:c r="N297" s="64" t="str">
        <x:f>IF(A297="","",IF(COUNTIF($A$5:$A$1204,A297)&gt;1,"重复",""))</x:f>
      </x:c>
    </x:row>
    <x:row r="298">
      <x:c r="A298" s="62"/>
      <x:c r="B298" s="62"/>
      <x:c r="C298" s="62"/>
      <x:c r="D298" s="62"/>
      <x:c r="E298" s="62"/>
      <x:c r="F298" s="62"/>
      <x:c r="G298" s="66"/>
      <x:c r="H298" s="68"/>
      <x:c r="I298" s="68"/>
      <x:c r="J298" s="68"/>
      <x:c r="K298" s="68"/>
      <x:c r="L298" s="70"/>
      <x:c r="M298" s="64" t="str">
        <x:f>IF(A298="","",IF(AND(E298&lt;&gt;"",F298&lt;&gt;"",ABS(H298-I298)&lt;=0.01,ABS(J298-K298)&lt;=0.01,L298=1),"一致","检查"))</x:f>
      </x:c>
      <x:c r="N298" s="64" t="str">
        <x:f>IF(A298="","",IF(COUNTIF($A$5:$A$1204,A298)&gt;1,"重复",""))</x:f>
      </x:c>
    </x:row>
    <x:row r="299">
      <x:c r="A299" s="62"/>
      <x:c r="B299" s="62"/>
      <x:c r="C299" s="62"/>
      <x:c r="D299" s="62"/>
      <x:c r="E299" s="62"/>
      <x:c r="F299" s="62"/>
      <x:c r="G299" s="66"/>
      <x:c r="H299" s="68"/>
      <x:c r="I299" s="68"/>
      <x:c r="J299" s="68"/>
      <x:c r="K299" s="68"/>
      <x:c r="L299" s="70"/>
      <x:c r="M299" s="64" t="str">
        <x:f>IF(A299="","",IF(AND(E299&lt;&gt;"",F299&lt;&gt;"",ABS(H299-I299)&lt;=0.01,ABS(J299-K299)&lt;=0.01,L299=1),"一致","检查"))</x:f>
      </x:c>
      <x:c r="N299" s="64" t="str">
        <x:f>IF(A299="","",IF(COUNTIF($A$5:$A$1204,A299)&gt;1,"重复",""))</x:f>
      </x:c>
    </x:row>
    <x:row r="300">
      <x:c r="A300" s="62"/>
      <x:c r="B300" s="62"/>
      <x:c r="C300" s="62"/>
      <x:c r="D300" s="62"/>
      <x:c r="E300" s="62"/>
      <x:c r="F300" s="62"/>
      <x:c r="G300" s="66"/>
      <x:c r="H300" s="68"/>
      <x:c r="I300" s="68"/>
      <x:c r="J300" s="68"/>
      <x:c r="K300" s="68"/>
      <x:c r="L300" s="70"/>
      <x:c r="M300" s="64" t="str">
        <x:f>IF(A300="","",IF(AND(E300&lt;&gt;"",F300&lt;&gt;"",ABS(H300-I300)&lt;=0.01,ABS(J300-K300)&lt;=0.01,L300=1),"一致","检查"))</x:f>
      </x:c>
      <x:c r="N300" s="64" t="str">
        <x:f>IF(A300="","",IF(COUNTIF($A$5:$A$1204,A300)&gt;1,"重复",""))</x:f>
      </x:c>
    </x:row>
    <x:row r="301">
      <x:c r="A301" s="62"/>
      <x:c r="B301" s="62"/>
      <x:c r="C301" s="62"/>
      <x:c r="D301" s="62"/>
      <x:c r="E301" s="62"/>
      <x:c r="F301" s="62"/>
      <x:c r="G301" s="66"/>
      <x:c r="H301" s="68"/>
      <x:c r="I301" s="68"/>
      <x:c r="J301" s="68"/>
      <x:c r="K301" s="68"/>
      <x:c r="L301" s="70"/>
      <x:c r="M301" s="64" t="str">
        <x:f>IF(A301="","",IF(AND(E301&lt;&gt;"",F301&lt;&gt;"",ABS(H301-I301)&lt;=0.01,ABS(J301-K301)&lt;=0.01,L301=1),"一致","检查"))</x:f>
      </x:c>
      <x:c r="N301" s="64" t="str">
        <x:f>IF(A301="","",IF(COUNTIF($A$5:$A$1204,A301)&gt;1,"重复",""))</x:f>
      </x:c>
    </x:row>
    <x:row r="302">
      <x:c r="A302" s="62"/>
      <x:c r="B302" s="62"/>
      <x:c r="C302" s="62"/>
      <x:c r="D302" s="62"/>
      <x:c r="E302" s="62"/>
      <x:c r="F302" s="62"/>
      <x:c r="G302" s="66"/>
      <x:c r="H302" s="68"/>
      <x:c r="I302" s="68"/>
      <x:c r="J302" s="68"/>
      <x:c r="K302" s="68"/>
      <x:c r="L302" s="70"/>
      <x:c r="M302" s="64" t="str">
        <x:f>IF(A302="","",IF(AND(E302&lt;&gt;"",F302&lt;&gt;"",ABS(H302-I302)&lt;=0.01,ABS(J302-K302)&lt;=0.01,L302=1),"一致","检查"))</x:f>
      </x:c>
      <x:c r="N302" s="64" t="str">
        <x:f>IF(A302="","",IF(COUNTIF($A$5:$A$1204,A302)&gt;1,"重复",""))</x:f>
      </x:c>
    </x:row>
    <x:row r="303">
      <x:c r="A303" s="62"/>
      <x:c r="B303" s="62"/>
      <x:c r="C303" s="62"/>
      <x:c r="D303" s="62"/>
      <x:c r="E303" s="62"/>
      <x:c r="F303" s="62"/>
      <x:c r="G303" s="66"/>
      <x:c r="H303" s="68"/>
      <x:c r="I303" s="68"/>
      <x:c r="J303" s="68"/>
      <x:c r="K303" s="68"/>
      <x:c r="L303" s="70"/>
      <x:c r="M303" s="64" t="str">
        <x:f>IF(A303="","",IF(AND(E303&lt;&gt;"",F303&lt;&gt;"",ABS(H303-I303)&lt;=0.01,ABS(J303-K303)&lt;=0.01,L303=1),"一致","检查"))</x:f>
      </x:c>
      <x:c r="N303" s="64" t="str">
        <x:f>IF(A303="","",IF(COUNTIF($A$5:$A$1204,A303)&gt;1,"重复",""))</x:f>
      </x:c>
    </x:row>
    <x:row r="304">
      <x:c r="A304" s="62"/>
      <x:c r="B304" s="62"/>
      <x:c r="C304" s="62"/>
      <x:c r="D304" s="62"/>
      <x:c r="E304" s="62"/>
      <x:c r="F304" s="62"/>
      <x:c r="G304" s="66"/>
      <x:c r="H304" s="68"/>
      <x:c r="I304" s="68"/>
      <x:c r="J304" s="68"/>
      <x:c r="K304" s="68"/>
      <x:c r="L304" s="70"/>
      <x:c r="M304" s="64" t="str">
        <x:f>IF(A304="","",IF(AND(E304&lt;&gt;"",F304&lt;&gt;"",ABS(H304-I304)&lt;=0.01,ABS(J304-K304)&lt;=0.01,L304=1),"一致","检查"))</x:f>
      </x:c>
      <x:c r="N304" s="64" t="str">
        <x:f>IF(A304="","",IF(COUNTIF($A$5:$A$1204,A304)&gt;1,"重复",""))</x:f>
      </x:c>
    </x:row>
    <x:row r="305">
      <x:c r="A305" s="62"/>
      <x:c r="B305" s="62"/>
      <x:c r="C305" s="62"/>
      <x:c r="D305" s="62"/>
      <x:c r="E305" s="62"/>
      <x:c r="F305" s="62"/>
      <x:c r="G305" s="66"/>
      <x:c r="H305" s="68"/>
      <x:c r="I305" s="68"/>
      <x:c r="J305" s="68"/>
      <x:c r="K305" s="68"/>
      <x:c r="L305" s="70"/>
      <x:c r="M305" s="64" t="str">
        <x:f>IF(A305="","",IF(AND(E305&lt;&gt;"",F305&lt;&gt;"",ABS(H305-I305)&lt;=0.01,ABS(J305-K305)&lt;=0.01,L305=1),"一致","检查"))</x:f>
      </x:c>
      <x:c r="N305" s="64" t="str">
        <x:f>IF(A305="","",IF(COUNTIF($A$5:$A$1204,A305)&gt;1,"重复",""))</x:f>
      </x:c>
    </x:row>
    <x:row r="306">
      <x:c r="A306" s="62"/>
      <x:c r="B306" s="62"/>
      <x:c r="C306" s="62"/>
      <x:c r="D306" s="62"/>
      <x:c r="E306" s="62"/>
      <x:c r="F306" s="62"/>
      <x:c r="G306" s="66"/>
      <x:c r="H306" s="68"/>
      <x:c r="I306" s="68"/>
      <x:c r="J306" s="68"/>
      <x:c r="K306" s="68"/>
      <x:c r="L306" s="70"/>
      <x:c r="M306" s="64" t="str">
        <x:f>IF(A306="","",IF(AND(E306&lt;&gt;"",F306&lt;&gt;"",ABS(H306-I306)&lt;=0.01,ABS(J306-K306)&lt;=0.01,L306=1),"一致","检查"))</x:f>
      </x:c>
      <x:c r="N306" s="64" t="str">
        <x:f>IF(A306="","",IF(COUNTIF($A$5:$A$1204,A306)&gt;1,"重复",""))</x:f>
      </x:c>
    </x:row>
    <x:row r="307">
      <x:c r="A307" s="62"/>
      <x:c r="B307" s="62"/>
      <x:c r="C307" s="62"/>
      <x:c r="D307" s="62"/>
      <x:c r="E307" s="62"/>
      <x:c r="F307" s="62"/>
      <x:c r="G307" s="66"/>
      <x:c r="H307" s="68"/>
      <x:c r="I307" s="68"/>
      <x:c r="J307" s="68"/>
      <x:c r="K307" s="68"/>
      <x:c r="L307" s="70"/>
      <x:c r="M307" s="64" t="str">
        <x:f>IF(A307="","",IF(AND(E307&lt;&gt;"",F307&lt;&gt;"",ABS(H307-I307)&lt;=0.01,ABS(J307-K307)&lt;=0.01,L307=1),"一致","检查"))</x:f>
      </x:c>
      <x:c r="N307" s="64" t="str">
        <x:f>IF(A307="","",IF(COUNTIF($A$5:$A$1204,A307)&gt;1,"重复",""))</x:f>
      </x:c>
    </x:row>
    <x:row r="308">
      <x:c r="A308" s="62"/>
      <x:c r="B308" s="62"/>
      <x:c r="C308" s="62"/>
      <x:c r="D308" s="62"/>
      <x:c r="E308" s="62"/>
      <x:c r="F308" s="62"/>
      <x:c r="G308" s="66"/>
      <x:c r="H308" s="68"/>
      <x:c r="I308" s="68"/>
      <x:c r="J308" s="68"/>
      <x:c r="K308" s="68"/>
      <x:c r="L308" s="70"/>
      <x:c r="M308" s="64" t="str">
        <x:f>IF(A308="","",IF(AND(E308&lt;&gt;"",F308&lt;&gt;"",ABS(H308-I308)&lt;=0.01,ABS(J308-K308)&lt;=0.01,L308=1),"一致","检查"))</x:f>
      </x:c>
      <x:c r="N308" s="64" t="str">
        <x:f>IF(A308="","",IF(COUNTIF($A$5:$A$1204,A308)&gt;1,"重复",""))</x:f>
      </x:c>
    </x:row>
    <x:row r="309">
      <x:c r="A309" s="62"/>
      <x:c r="B309" s="62"/>
      <x:c r="C309" s="62"/>
      <x:c r="D309" s="62"/>
      <x:c r="E309" s="62"/>
      <x:c r="F309" s="62"/>
      <x:c r="G309" s="66"/>
      <x:c r="H309" s="68"/>
      <x:c r="I309" s="68"/>
      <x:c r="J309" s="68"/>
      <x:c r="K309" s="68"/>
      <x:c r="L309" s="70"/>
      <x:c r="M309" s="64" t="str">
        <x:f>IF(A309="","",IF(AND(E309&lt;&gt;"",F309&lt;&gt;"",ABS(H309-I309)&lt;=0.01,ABS(J309-K309)&lt;=0.01,L309=1),"一致","检查"))</x:f>
      </x:c>
      <x:c r="N309" s="64" t="str">
        <x:f>IF(A309="","",IF(COUNTIF($A$5:$A$1204,A309)&gt;1,"重复",""))</x:f>
      </x:c>
    </x:row>
    <x:row r="310">
      <x:c r="A310" s="62"/>
      <x:c r="B310" s="62"/>
      <x:c r="C310" s="62"/>
      <x:c r="D310" s="62"/>
      <x:c r="E310" s="62"/>
      <x:c r="F310" s="62"/>
      <x:c r="G310" s="66"/>
      <x:c r="H310" s="68"/>
      <x:c r="I310" s="68"/>
      <x:c r="J310" s="68"/>
      <x:c r="K310" s="68"/>
      <x:c r="L310" s="70"/>
      <x:c r="M310" s="64" t="str">
        <x:f>IF(A310="","",IF(AND(E310&lt;&gt;"",F310&lt;&gt;"",ABS(H310-I310)&lt;=0.01,ABS(J310-K310)&lt;=0.01,L310=1),"一致","检查"))</x:f>
      </x:c>
      <x:c r="N310" s="64" t="str">
        <x:f>IF(A310="","",IF(COUNTIF($A$5:$A$1204,A310)&gt;1,"重复",""))</x:f>
      </x:c>
    </x:row>
    <x:row r="311">
      <x:c r="A311" s="62"/>
      <x:c r="B311" s="62"/>
      <x:c r="C311" s="62"/>
      <x:c r="D311" s="62"/>
      <x:c r="E311" s="62"/>
      <x:c r="F311" s="62"/>
      <x:c r="G311" s="66"/>
      <x:c r="H311" s="68"/>
      <x:c r="I311" s="68"/>
      <x:c r="J311" s="68"/>
      <x:c r="K311" s="68"/>
      <x:c r="L311" s="70"/>
      <x:c r="M311" s="64" t="str">
        <x:f>IF(A311="","",IF(AND(E311&lt;&gt;"",F311&lt;&gt;"",ABS(H311-I311)&lt;=0.01,ABS(J311-K311)&lt;=0.01,L311=1),"一致","检查"))</x:f>
      </x:c>
      <x:c r="N311" s="64" t="str">
        <x:f>IF(A311="","",IF(COUNTIF($A$5:$A$1204,A311)&gt;1,"重复",""))</x:f>
      </x:c>
    </x:row>
    <x:row r="312">
      <x:c r="A312" s="62"/>
      <x:c r="B312" s="62"/>
      <x:c r="C312" s="62"/>
      <x:c r="D312" s="62"/>
      <x:c r="E312" s="62"/>
      <x:c r="F312" s="62"/>
      <x:c r="G312" s="66"/>
      <x:c r="H312" s="68"/>
      <x:c r="I312" s="68"/>
      <x:c r="J312" s="68"/>
      <x:c r="K312" s="68"/>
      <x:c r="L312" s="70"/>
      <x:c r="M312" s="64" t="str">
        <x:f>IF(A312="","",IF(AND(E312&lt;&gt;"",F312&lt;&gt;"",ABS(H312-I312)&lt;=0.01,ABS(J312-K312)&lt;=0.01,L312=1),"一致","检查"))</x:f>
      </x:c>
      <x:c r="N312" s="64" t="str">
        <x:f>IF(A312="","",IF(COUNTIF($A$5:$A$1204,A312)&gt;1,"重复",""))</x:f>
      </x:c>
    </x:row>
    <x:row r="313">
      <x:c r="A313" s="62"/>
      <x:c r="B313" s="62"/>
      <x:c r="C313" s="62"/>
      <x:c r="D313" s="62"/>
      <x:c r="E313" s="62"/>
      <x:c r="F313" s="62"/>
      <x:c r="G313" s="66"/>
      <x:c r="H313" s="68"/>
      <x:c r="I313" s="68"/>
      <x:c r="J313" s="68"/>
      <x:c r="K313" s="68"/>
      <x:c r="L313" s="70"/>
      <x:c r="M313" s="64" t="str">
        <x:f>IF(A313="","",IF(AND(E313&lt;&gt;"",F313&lt;&gt;"",ABS(H313-I313)&lt;=0.01,ABS(J313-K313)&lt;=0.01,L313=1),"一致","检查"))</x:f>
      </x:c>
      <x:c r="N313" s="64" t="str">
        <x:f>IF(A313="","",IF(COUNTIF($A$5:$A$1204,A313)&gt;1,"重复",""))</x:f>
      </x:c>
    </x:row>
    <x:row r="314">
      <x:c r="A314" s="62"/>
      <x:c r="B314" s="62"/>
      <x:c r="C314" s="62"/>
      <x:c r="D314" s="62"/>
      <x:c r="E314" s="62"/>
      <x:c r="F314" s="62"/>
      <x:c r="G314" s="66"/>
      <x:c r="H314" s="68"/>
      <x:c r="I314" s="68"/>
      <x:c r="J314" s="68"/>
      <x:c r="K314" s="68"/>
      <x:c r="L314" s="70"/>
      <x:c r="M314" s="64" t="str">
        <x:f>IF(A314="","",IF(AND(E314&lt;&gt;"",F314&lt;&gt;"",ABS(H314-I314)&lt;=0.01,ABS(J314-K314)&lt;=0.01,L314=1),"一致","检查"))</x:f>
      </x:c>
      <x:c r="N314" s="64" t="str">
        <x:f>IF(A314="","",IF(COUNTIF($A$5:$A$1204,A314)&gt;1,"重复",""))</x:f>
      </x:c>
    </x:row>
    <x:row r="315">
      <x:c r="A315" s="62"/>
      <x:c r="B315" s="62"/>
      <x:c r="C315" s="62"/>
      <x:c r="D315" s="62"/>
      <x:c r="E315" s="62"/>
      <x:c r="F315" s="62"/>
      <x:c r="G315" s="66"/>
      <x:c r="H315" s="68"/>
      <x:c r="I315" s="68"/>
      <x:c r="J315" s="68"/>
      <x:c r="K315" s="68"/>
      <x:c r="L315" s="70"/>
      <x:c r="M315" s="64" t="str">
        <x:f>IF(A315="","",IF(AND(E315&lt;&gt;"",F315&lt;&gt;"",ABS(H315-I315)&lt;=0.01,ABS(J315-K315)&lt;=0.01,L315=1),"一致","检查"))</x:f>
      </x:c>
      <x:c r="N315" s="64" t="str">
        <x:f>IF(A315="","",IF(COUNTIF($A$5:$A$1204,A315)&gt;1,"重复",""))</x:f>
      </x:c>
    </x:row>
    <x:row r="316">
      <x:c r="A316" s="62"/>
      <x:c r="B316" s="62"/>
      <x:c r="C316" s="62"/>
      <x:c r="D316" s="62"/>
      <x:c r="E316" s="62"/>
      <x:c r="F316" s="62"/>
      <x:c r="G316" s="66"/>
      <x:c r="H316" s="68"/>
      <x:c r="I316" s="68"/>
      <x:c r="J316" s="68"/>
      <x:c r="K316" s="68"/>
      <x:c r="L316" s="70"/>
      <x:c r="M316" s="64" t="str">
        <x:f>IF(A316="","",IF(AND(E316&lt;&gt;"",F316&lt;&gt;"",ABS(H316-I316)&lt;=0.01,ABS(J316-K316)&lt;=0.01,L316=1),"一致","检查"))</x:f>
      </x:c>
      <x:c r="N316" s="64" t="str">
        <x:f>IF(A316="","",IF(COUNTIF($A$5:$A$1204,A316)&gt;1,"重复",""))</x:f>
      </x:c>
    </x:row>
    <x:row r="317">
      <x:c r="A317" s="62"/>
      <x:c r="B317" s="62"/>
      <x:c r="C317" s="62"/>
      <x:c r="D317" s="62"/>
      <x:c r="E317" s="62"/>
      <x:c r="F317" s="62"/>
      <x:c r="G317" s="66"/>
      <x:c r="H317" s="68"/>
      <x:c r="I317" s="68"/>
      <x:c r="J317" s="68"/>
      <x:c r="K317" s="68"/>
      <x:c r="L317" s="70"/>
      <x:c r="M317" s="64" t="str">
        <x:f>IF(A317="","",IF(AND(E317&lt;&gt;"",F317&lt;&gt;"",ABS(H317-I317)&lt;=0.01,ABS(J317-K317)&lt;=0.01,L317=1),"一致","检查"))</x:f>
      </x:c>
      <x:c r="N317" s="64" t="str">
        <x:f>IF(A317="","",IF(COUNTIF($A$5:$A$1204,A317)&gt;1,"重复",""))</x:f>
      </x:c>
    </x:row>
    <x:row r="318">
      <x:c r="A318" s="62"/>
      <x:c r="B318" s="62"/>
      <x:c r="C318" s="62"/>
      <x:c r="D318" s="62"/>
      <x:c r="E318" s="62"/>
      <x:c r="F318" s="62"/>
      <x:c r="G318" s="66"/>
      <x:c r="H318" s="68"/>
      <x:c r="I318" s="68"/>
      <x:c r="J318" s="68"/>
      <x:c r="K318" s="68"/>
      <x:c r="L318" s="70"/>
      <x:c r="M318" s="64" t="str">
        <x:f>IF(A318="","",IF(AND(E318&lt;&gt;"",F318&lt;&gt;"",ABS(H318-I318)&lt;=0.01,ABS(J318-K318)&lt;=0.01,L318=1),"一致","检查"))</x:f>
      </x:c>
      <x:c r="N318" s="64" t="str">
        <x:f>IF(A318="","",IF(COUNTIF($A$5:$A$1204,A318)&gt;1,"重复",""))</x:f>
      </x:c>
    </x:row>
    <x:row r="319">
      <x:c r="A319" s="62"/>
      <x:c r="B319" s="62"/>
      <x:c r="C319" s="62"/>
      <x:c r="D319" s="62"/>
      <x:c r="E319" s="62"/>
      <x:c r="F319" s="62"/>
      <x:c r="G319" s="66"/>
      <x:c r="H319" s="68"/>
      <x:c r="I319" s="68"/>
      <x:c r="J319" s="68"/>
      <x:c r="K319" s="68"/>
      <x:c r="L319" s="70"/>
      <x:c r="M319" s="64" t="str">
        <x:f>IF(A319="","",IF(AND(E319&lt;&gt;"",F319&lt;&gt;"",ABS(H319-I319)&lt;=0.01,ABS(J319-K319)&lt;=0.01,L319=1),"一致","检查"))</x:f>
      </x:c>
      <x:c r="N319" s="64" t="str">
        <x:f>IF(A319="","",IF(COUNTIF($A$5:$A$1204,A319)&gt;1,"重复",""))</x:f>
      </x:c>
    </x:row>
    <x:row r="320">
      <x:c r="A320" s="62"/>
      <x:c r="B320" s="62"/>
      <x:c r="C320" s="62"/>
      <x:c r="D320" s="62"/>
      <x:c r="E320" s="62"/>
      <x:c r="F320" s="62"/>
      <x:c r="G320" s="66"/>
      <x:c r="H320" s="68"/>
      <x:c r="I320" s="68"/>
      <x:c r="J320" s="68"/>
      <x:c r="K320" s="68"/>
      <x:c r="L320" s="70"/>
      <x:c r="M320" s="64" t="str">
        <x:f>IF(A320="","",IF(AND(E320&lt;&gt;"",F320&lt;&gt;"",ABS(H320-I320)&lt;=0.01,ABS(J320-K320)&lt;=0.01,L320=1),"一致","检查"))</x:f>
      </x:c>
      <x:c r="N320" s="64" t="str">
        <x:f>IF(A320="","",IF(COUNTIF($A$5:$A$1204,A320)&gt;1,"重复",""))</x:f>
      </x:c>
    </x:row>
    <x:row r="321">
      <x:c r="A321" s="62"/>
      <x:c r="B321" s="62"/>
      <x:c r="C321" s="62"/>
      <x:c r="D321" s="62"/>
      <x:c r="E321" s="62"/>
      <x:c r="F321" s="62"/>
      <x:c r="G321" s="66"/>
      <x:c r="H321" s="68"/>
      <x:c r="I321" s="68"/>
      <x:c r="J321" s="68"/>
      <x:c r="K321" s="68"/>
      <x:c r="L321" s="70"/>
      <x:c r="M321" s="64" t="str">
        <x:f>IF(A321="","",IF(AND(E321&lt;&gt;"",F321&lt;&gt;"",ABS(H321-I321)&lt;=0.01,ABS(J321-K321)&lt;=0.01,L321=1),"一致","检查"))</x:f>
      </x:c>
      <x:c r="N321" s="64" t="str">
        <x:f>IF(A321="","",IF(COUNTIF($A$5:$A$1204,A321)&gt;1,"重复",""))</x:f>
      </x:c>
    </x:row>
    <x:row r="322">
      <x:c r="A322" s="62"/>
      <x:c r="B322" s="62"/>
      <x:c r="C322" s="62"/>
      <x:c r="D322" s="62"/>
      <x:c r="E322" s="62"/>
      <x:c r="F322" s="62"/>
      <x:c r="G322" s="66"/>
      <x:c r="H322" s="68"/>
      <x:c r="I322" s="68"/>
      <x:c r="J322" s="68"/>
      <x:c r="K322" s="68"/>
      <x:c r="L322" s="70"/>
      <x:c r="M322" s="64" t="str">
        <x:f>IF(A322="","",IF(AND(E322&lt;&gt;"",F322&lt;&gt;"",ABS(H322-I322)&lt;=0.01,ABS(J322-K322)&lt;=0.01,L322=1),"一致","检查"))</x:f>
      </x:c>
      <x:c r="N322" s="64" t="str">
        <x:f>IF(A322="","",IF(COUNTIF($A$5:$A$1204,A322)&gt;1,"重复",""))</x:f>
      </x:c>
    </x:row>
    <x:row r="323">
      <x:c r="A323" s="62"/>
      <x:c r="B323" s="62"/>
      <x:c r="C323" s="62"/>
      <x:c r="D323" s="62"/>
      <x:c r="E323" s="62"/>
      <x:c r="F323" s="62"/>
      <x:c r="G323" s="66"/>
      <x:c r="H323" s="68"/>
      <x:c r="I323" s="68"/>
      <x:c r="J323" s="68"/>
      <x:c r="K323" s="68"/>
      <x:c r="L323" s="70"/>
      <x:c r="M323" s="64" t="str">
        <x:f>IF(A323="","",IF(AND(E323&lt;&gt;"",F323&lt;&gt;"",ABS(H323-I323)&lt;=0.01,ABS(J323-K323)&lt;=0.01,L323=1),"一致","检查"))</x:f>
      </x:c>
      <x:c r="N323" s="64" t="str">
        <x:f>IF(A323="","",IF(COUNTIF($A$5:$A$1204,A323)&gt;1,"重复",""))</x:f>
      </x:c>
    </x:row>
    <x:row r="324">
      <x:c r="A324" s="62"/>
      <x:c r="B324" s="62"/>
      <x:c r="C324" s="62"/>
      <x:c r="D324" s="62"/>
      <x:c r="E324" s="62"/>
      <x:c r="F324" s="62"/>
      <x:c r="G324" s="66"/>
      <x:c r="H324" s="68"/>
      <x:c r="I324" s="68"/>
      <x:c r="J324" s="68"/>
      <x:c r="K324" s="68"/>
      <x:c r="L324" s="70"/>
      <x:c r="M324" s="64" t="str">
        <x:f>IF(A324="","",IF(AND(E324&lt;&gt;"",F324&lt;&gt;"",ABS(H324-I324)&lt;=0.01,ABS(J324-K324)&lt;=0.01,L324=1),"一致","检查"))</x:f>
      </x:c>
      <x:c r="N324" s="64" t="str">
        <x:f>IF(A324="","",IF(COUNTIF($A$5:$A$1204,A324)&gt;1,"重复",""))</x:f>
      </x:c>
    </x:row>
    <x:row r="325">
      <x:c r="A325" s="62"/>
      <x:c r="B325" s="62"/>
      <x:c r="C325" s="62"/>
      <x:c r="D325" s="62"/>
      <x:c r="E325" s="62"/>
      <x:c r="F325" s="62"/>
      <x:c r="G325" s="66"/>
      <x:c r="H325" s="68"/>
      <x:c r="I325" s="68"/>
      <x:c r="J325" s="68"/>
      <x:c r="K325" s="68"/>
      <x:c r="L325" s="70"/>
      <x:c r="M325" s="64" t="str">
        <x:f>IF(A325="","",IF(AND(E325&lt;&gt;"",F325&lt;&gt;"",ABS(H325-I325)&lt;=0.01,ABS(J325-K325)&lt;=0.01,L325=1),"一致","检查"))</x:f>
      </x:c>
      <x:c r="N325" s="64" t="str">
        <x:f>IF(A325="","",IF(COUNTIF($A$5:$A$1204,A325)&gt;1,"重复",""))</x:f>
      </x:c>
    </x:row>
    <x:row r="326">
      <x:c r="A326" s="62"/>
      <x:c r="B326" s="62"/>
      <x:c r="C326" s="62"/>
      <x:c r="D326" s="62"/>
      <x:c r="E326" s="62"/>
      <x:c r="F326" s="62"/>
      <x:c r="G326" s="66"/>
      <x:c r="H326" s="68"/>
      <x:c r="I326" s="68"/>
      <x:c r="J326" s="68"/>
      <x:c r="K326" s="68"/>
      <x:c r="L326" s="70"/>
      <x:c r="M326" s="64" t="str">
        <x:f>IF(A326="","",IF(AND(E326&lt;&gt;"",F326&lt;&gt;"",ABS(H326-I326)&lt;=0.01,ABS(J326-K326)&lt;=0.01,L326=1),"一致","检查"))</x:f>
      </x:c>
      <x:c r="N326" s="64" t="str">
        <x:f>IF(A326="","",IF(COUNTIF($A$5:$A$1204,A326)&gt;1,"重复",""))</x:f>
      </x:c>
    </x:row>
    <x:row r="327">
      <x:c r="A327" s="62"/>
      <x:c r="B327" s="62"/>
      <x:c r="C327" s="62"/>
      <x:c r="D327" s="62"/>
      <x:c r="E327" s="62"/>
      <x:c r="F327" s="62"/>
      <x:c r="G327" s="66"/>
      <x:c r="H327" s="68"/>
      <x:c r="I327" s="68"/>
      <x:c r="J327" s="68"/>
      <x:c r="K327" s="68"/>
      <x:c r="L327" s="70"/>
      <x:c r="M327" s="64" t="str">
        <x:f>IF(A327="","",IF(AND(E327&lt;&gt;"",F327&lt;&gt;"",ABS(H327-I327)&lt;=0.01,ABS(J327-K327)&lt;=0.01,L327=1),"一致","检查"))</x:f>
      </x:c>
      <x:c r="N327" s="64" t="str">
        <x:f>IF(A327="","",IF(COUNTIF($A$5:$A$1204,A327)&gt;1,"重复",""))</x:f>
      </x:c>
    </x:row>
    <x:row r="328">
      <x:c r="A328" s="62"/>
      <x:c r="B328" s="62"/>
      <x:c r="C328" s="62"/>
      <x:c r="D328" s="62"/>
      <x:c r="E328" s="62"/>
      <x:c r="F328" s="62"/>
      <x:c r="G328" s="66"/>
      <x:c r="H328" s="68"/>
      <x:c r="I328" s="68"/>
      <x:c r="J328" s="68"/>
      <x:c r="K328" s="68"/>
      <x:c r="L328" s="70"/>
      <x:c r="M328" s="64" t="str">
        <x:f>IF(A328="","",IF(AND(E328&lt;&gt;"",F328&lt;&gt;"",ABS(H328-I328)&lt;=0.01,ABS(J328-K328)&lt;=0.01,L328=1),"一致","检查"))</x:f>
      </x:c>
      <x:c r="N328" s="64" t="str">
        <x:f>IF(A328="","",IF(COUNTIF($A$5:$A$1204,A328)&gt;1,"重复",""))</x:f>
      </x:c>
    </x:row>
    <x:row r="329">
      <x:c r="A329" s="62"/>
      <x:c r="B329" s="62"/>
      <x:c r="C329" s="62"/>
      <x:c r="D329" s="62"/>
      <x:c r="E329" s="62"/>
      <x:c r="F329" s="62"/>
      <x:c r="G329" s="66"/>
      <x:c r="H329" s="68"/>
      <x:c r="I329" s="68"/>
      <x:c r="J329" s="68"/>
      <x:c r="K329" s="68"/>
      <x:c r="L329" s="70"/>
      <x:c r="M329" s="64" t="str">
        <x:f>IF(A329="","",IF(AND(E329&lt;&gt;"",F329&lt;&gt;"",ABS(H329-I329)&lt;=0.01,ABS(J329-K329)&lt;=0.01,L329=1),"一致","检查"))</x:f>
      </x:c>
      <x:c r="N329" s="64" t="str">
        <x:f>IF(A329="","",IF(COUNTIF($A$5:$A$1204,A329)&gt;1,"重复",""))</x:f>
      </x:c>
    </x:row>
    <x:row r="330">
      <x:c r="A330" s="62"/>
      <x:c r="B330" s="62"/>
      <x:c r="C330" s="62"/>
      <x:c r="D330" s="62"/>
      <x:c r="E330" s="62"/>
      <x:c r="F330" s="62"/>
      <x:c r="G330" s="66"/>
      <x:c r="H330" s="68"/>
      <x:c r="I330" s="68"/>
      <x:c r="J330" s="68"/>
      <x:c r="K330" s="68"/>
      <x:c r="L330" s="70"/>
      <x:c r="M330" s="64" t="str">
        <x:f>IF(A330="","",IF(AND(E330&lt;&gt;"",F330&lt;&gt;"",ABS(H330-I330)&lt;=0.01,ABS(J330-K330)&lt;=0.01,L330=1),"一致","检查"))</x:f>
      </x:c>
      <x:c r="N330" s="64" t="str">
        <x:f>IF(A330="","",IF(COUNTIF($A$5:$A$1204,A330)&gt;1,"重复",""))</x:f>
      </x:c>
    </x:row>
    <x:row r="331">
      <x:c r="A331" s="62"/>
      <x:c r="B331" s="62"/>
      <x:c r="C331" s="62"/>
      <x:c r="D331" s="62"/>
      <x:c r="E331" s="62"/>
      <x:c r="F331" s="62"/>
      <x:c r="G331" s="66"/>
      <x:c r="H331" s="68"/>
      <x:c r="I331" s="68"/>
      <x:c r="J331" s="68"/>
      <x:c r="K331" s="68"/>
      <x:c r="L331" s="70"/>
      <x:c r="M331" s="64" t="str">
        <x:f>IF(A331="","",IF(AND(E331&lt;&gt;"",F331&lt;&gt;"",ABS(H331-I331)&lt;=0.01,ABS(J331-K331)&lt;=0.01,L331=1),"一致","检查"))</x:f>
      </x:c>
      <x:c r="N331" s="64" t="str">
        <x:f>IF(A331="","",IF(COUNTIF($A$5:$A$1204,A331)&gt;1,"重复",""))</x:f>
      </x:c>
    </x:row>
    <x:row r="332">
      <x:c r="A332" s="62"/>
      <x:c r="B332" s="62"/>
      <x:c r="C332" s="62"/>
      <x:c r="D332" s="62"/>
      <x:c r="E332" s="62"/>
      <x:c r="F332" s="62"/>
      <x:c r="G332" s="66"/>
      <x:c r="H332" s="68"/>
      <x:c r="I332" s="68"/>
      <x:c r="J332" s="68"/>
      <x:c r="K332" s="68"/>
      <x:c r="L332" s="70"/>
      <x:c r="M332" s="64" t="str">
        <x:f>IF(A332="","",IF(AND(E332&lt;&gt;"",F332&lt;&gt;"",ABS(H332-I332)&lt;=0.01,ABS(J332-K332)&lt;=0.01,L332=1),"一致","检查"))</x:f>
      </x:c>
      <x:c r="N332" s="64" t="str">
        <x:f>IF(A332="","",IF(COUNTIF($A$5:$A$1204,A332)&gt;1,"重复",""))</x:f>
      </x:c>
    </x:row>
    <x:row r="333">
      <x:c r="A333" s="62"/>
      <x:c r="B333" s="62"/>
      <x:c r="C333" s="62"/>
      <x:c r="D333" s="62"/>
      <x:c r="E333" s="62"/>
      <x:c r="F333" s="62"/>
      <x:c r="G333" s="66"/>
      <x:c r="H333" s="68"/>
      <x:c r="I333" s="68"/>
      <x:c r="J333" s="68"/>
      <x:c r="K333" s="68"/>
      <x:c r="L333" s="70"/>
      <x:c r="M333" s="64" t="str">
        <x:f>IF(A333="","",IF(AND(E333&lt;&gt;"",F333&lt;&gt;"",ABS(H333-I333)&lt;=0.01,ABS(J333-K333)&lt;=0.01,L333=1),"一致","检查"))</x:f>
      </x:c>
      <x:c r="N333" s="64" t="str">
        <x:f>IF(A333="","",IF(COUNTIF($A$5:$A$1204,A333)&gt;1,"重复",""))</x:f>
      </x:c>
    </x:row>
    <x:row r="334">
      <x:c r="A334" s="62"/>
      <x:c r="B334" s="62"/>
      <x:c r="C334" s="62"/>
      <x:c r="D334" s="62"/>
      <x:c r="E334" s="62"/>
      <x:c r="F334" s="62"/>
      <x:c r="G334" s="66"/>
      <x:c r="H334" s="68"/>
      <x:c r="I334" s="68"/>
      <x:c r="J334" s="68"/>
      <x:c r="K334" s="68"/>
      <x:c r="L334" s="70"/>
      <x:c r="M334" s="64" t="str">
        <x:f>IF(A334="","",IF(AND(E334&lt;&gt;"",F334&lt;&gt;"",ABS(H334-I334)&lt;=0.01,ABS(J334-K334)&lt;=0.01,L334=1),"一致","检查"))</x:f>
      </x:c>
      <x:c r="N334" s="64" t="str">
        <x:f>IF(A334="","",IF(COUNTIF($A$5:$A$1204,A334)&gt;1,"重复",""))</x:f>
      </x:c>
    </x:row>
    <x:row r="335">
      <x:c r="A335" s="62"/>
      <x:c r="B335" s="62"/>
      <x:c r="C335" s="62"/>
      <x:c r="D335" s="62"/>
      <x:c r="E335" s="62"/>
      <x:c r="F335" s="62"/>
      <x:c r="G335" s="66"/>
      <x:c r="H335" s="68"/>
      <x:c r="I335" s="68"/>
      <x:c r="J335" s="68"/>
      <x:c r="K335" s="68"/>
      <x:c r="L335" s="70"/>
      <x:c r="M335" s="64" t="str">
        <x:f>IF(A335="","",IF(AND(E335&lt;&gt;"",F335&lt;&gt;"",ABS(H335-I335)&lt;=0.01,ABS(J335-K335)&lt;=0.01,L335=1),"一致","检查"))</x:f>
      </x:c>
      <x:c r="N335" s="64" t="str">
        <x:f>IF(A335="","",IF(COUNTIF($A$5:$A$1204,A335)&gt;1,"重复",""))</x:f>
      </x:c>
    </x:row>
    <x:row r="336">
      <x:c r="A336" s="62"/>
      <x:c r="B336" s="62"/>
      <x:c r="C336" s="62"/>
      <x:c r="D336" s="62"/>
      <x:c r="E336" s="62"/>
      <x:c r="F336" s="62"/>
      <x:c r="G336" s="66"/>
      <x:c r="H336" s="68"/>
      <x:c r="I336" s="68"/>
      <x:c r="J336" s="68"/>
      <x:c r="K336" s="68"/>
      <x:c r="L336" s="70"/>
      <x:c r="M336" s="64" t="str">
        <x:f>IF(A336="","",IF(AND(E336&lt;&gt;"",F336&lt;&gt;"",ABS(H336-I336)&lt;=0.01,ABS(J336-K336)&lt;=0.01,L336=1),"一致","检查"))</x:f>
      </x:c>
      <x:c r="N336" s="64" t="str">
        <x:f>IF(A336="","",IF(COUNTIF($A$5:$A$1204,A336)&gt;1,"重复",""))</x:f>
      </x:c>
    </x:row>
    <x:row r="337">
      <x:c r="A337" s="62"/>
      <x:c r="B337" s="62"/>
      <x:c r="C337" s="62"/>
      <x:c r="D337" s="62"/>
      <x:c r="E337" s="62"/>
      <x:c r="F337" s="62"/>
      <x:c r="G337" s="66"/>
      <x:c r="H337" s="68"/>
      <x:c r="I337" s="68"/>
      <x:c r="J337" s="68"/>
      <x:c r="K337" s="68"/>
      <x:c r="L337" s="70"/>
      <x:c r="M337" s="64" t="str">
        <x:f>IF(A337="","",IF(AND(E337&lt;&gt;"",F337&lt;&gt;"",ABS(H337-I337)&lt;=0.01,ABS(J337-K337)&lt;=0.01,L337=1),"一致","检查"))</x:f>
      </x:c>
      <x:c r="N337" s="64" t="str">
        <x:f>IF(A337="","",IF(COUNTIF($A$5:$A$1204,A337)&gt;1,"重复",""))</x:f>
      </x:c>
    </x:row>
    <x:row r="338">
      <x:c r="A338" s="62"/>
      <x:c r="B338" s="62"/>
      <x:c r="C338" s="62"/>
      <x:c r="D338" s="62"/>
      <x:c r="E338" s="62"/>
      <x:c r="F338" s="62"/>
      <x:c r="G338" s="66"/>
      <x:c r="H338" s="68"/>
      <x:c r="I338" s="68"/>
      <x:c r="J338" s="68"/>
      <x:c r="K338" s="68"/>
      <x:c r="L338" s="70"/>
      <x:c r="M338" s="64" t="str">
        <x:f>IF(A338="","",IF(AND(E338&lt;&gt;"",F338&lt;&gt;"",ABS(H338-I338)&lt;=0.01,ABS(J338-K338)&lt;=0.01,L338=1),"一致","检查"))</x:f>
      </x:c>
      <x:c r="N338" s="64" t="str">
        <x:f>IF(A338="","",IF(COUNTIF($A$5:$A$1204,A338)&gt;1,"重复",""))</x:f>
      </x:c>
    </x:row>
    <x:row r="339">
      <x:c r="A339" s="62"/>
      <x:c r="B339" s="62"/>
      <x:c r="C339" s="62"/>
      <x:c r="D339" s="62"/>
      <x:c r="E339" s="62"/>
      <x:c r="F339" s="62"/>
      <x:c r="G339" s="66"/>
      <x:c r="H339" s="68"/>
      <x:c r="I339" s="68"/>
      <x:c r="J339" s="68"/>
      <x:c r="K339" s="68"/>
      <x:c r="L339" s="70"/>
      <x:c r="M339" s="64" t="str">
        <x:f>IF(A339="","",IF(AND(E339&lt;&gt;"",F339&lt;&gt;"",ABS(H339-I339)&lt;=0.01,ABS(J339-K339)&lt;=0.01,L339=1),"一致","检查"))</x:f>
      </x:c>
      <x:c r="N339" s="64" t="str">
        <x:f>IF(A339="","",IF(COUNTIF($A$5:$A$1204,A339)&gt;1,"重复",""))</x:f>
      </x:c>
    </x:row>
    <x:row r="340">
      <x:c r="A340" s="62"/>
      <x:c r="B340" s="62"/>
      <x:c r="C340" s="62"/>
      <x:c r="D340" s="62"/>
      <x:c r="E340" s="62"/>
      <x:c r="F340" s="62"/>
      <x:c r="G340" s="66"/>
      <x:c r="H340" s="68"/>
      <x:c r="I340" s="68"/>
      <x:c r="J340" s="68"/>
      <x:c r="K340" s="68"/>
      <x:c r="L340" s="70"/>
      <x:c r="M340" s="64" t="str">
        <x:f>IF(A340="","",IF(AND(E340&lt;&gt;"",F340&lt;&gt;"",ABS(H340-I340)&lt;=0.01,ABS(J340-K340)&lt;=0.01,L340=1),"一致","检查"))</x:f>
      </x:c>
      <x:c r="N340" s="64" t="str">
        <x:f>IF(A340="","",IF(COUNTIF($A$5:$A$1204,A340)&gt;1,"重复",""))</x:f>
      </x:c>
    </x:row>
    <x:row r="341">
      <x:c r="A341" s="62"/>
      <x:c r="B341" s="62"/>
      <x:c r="C341" s="62"/>
      <x:c r="D341" s="62"/>
      <x:c r="E341" s="62"/>
      <x:c r="F341" s="62"/>
      <x:c r="G341" s="66"/>
      <x:c r="H341" s="68"/>
      <x:c r="I341" s="68"/>
      <x:c r="J341" s="68"/>
      <x:c r="K341" s="68"/>
      <x:c r="L341" s="70"/>
      <x:c r="M341" s="64" t="str">
        <x:f>IF(A341="","",IF(AND(E341&lt;&gt;"",F341&lt;&gt;"",ABS(H341-I341)&lt;=0.01,ABS(J341-K341)&lt;=0.01,L341=1),"一致","检查"))</x:f>
      </x:c>
      <x:c r="N341" s="64" t="str">
        <x:f>IF(A341="","",IF(COUNTIF($A$5:$A$1204,A341)&gt;1,"重复",""))</x:f>
      </x:c>
    </x:row>
    <x:row r="342">
      <x:c r="A342" s="62"/>
      <x:c r="B342" s="62"/>
      <x:c r="C342" s="62"/>
      <x:c r="D342" s="62"/>
      <x:c r="E342" s="62"/>
      <x:c r="F342" s="62"/>
      <x:c r="G342" s="66"/>
      <x:c r="H342" s="68"/>
      <x:c r="I342" s="68"/>
      <x:c r="J342" s="68"/>
      <x:c r="K342" s="68"/>
      <x:c r="L342" s="70"/>
      <x:c r="M342" s="64" t="str">
        <x:f>IF(A342="","",IF(AND(E342&lt;&gt;"",F342&lt;&gt;"",ABS(H342-I342)&lt;=0.01,ABS(J342-K342)&lt;=0.01,L342=1),"一致","检查"))</x:f>
      </x:c>
      <x:c r="N342" s="64" t="str">
        <x:f>IF(A342="","",IF(COUNTIF($A$5:$A$1204,A342)&gt;1,"重复",""))</x:f>
      </x:c>
    </x:row>
    <x:row r="343">
      <x:c r="A343" s="62"/>
      <x:c r="B343" s="62"/>
      <x:c r="C343" s="62"/>
      <x:c r="D343" s="62"/>
      <x:c r="E343" s="62"/>
      <x:c r="F343" s="62"/>
      <x:c r="G343" s="66"/>
      <x:c r="H343" s="68"/>
      <x:c r="I343" s="68"/>
      <x:c r="J343" s="68"/>
      <x:c r="K343" s="68"/>
      <x:c r="L343" s="70"/>
      <x:c r="M343" s="64" t="str">
        <x:f>IF(A343="","",IF(AND(E343&lt;&gt;"",F343&lt;&gt;"",ABS(H343-I343)&lt;=0.01,ABS(J343-K343)&lt;=0.01,L343=1),"一致","检查"))</x:f>
      </x:c>
      <x:c r="N343" s="64" t="str">
        <x:f>IF(A343="","",IF(COUNTIF($A$5:$A$1204,A343)&gt;1,"重复",""))</x:f>
      </x:c>
    </x:row>
    <x:row r="344">
      <x:c r="A344" s="62"/>
      <x:c r="B344" s="62"/>
      <x:c r="C344" s="62"/>
      <x:c r="D344" s="62"/>
      <x:c r="E344" s="62"/>
      <x:c r="F344" s="62"/>
      <x:c r="G344" s="66"/>
      <x:c r="H344" s="68"/>
      <x:c r="I344" s="68"/>
      <x:c r="J344" s="68"/>
      <x:c r="K344" s="68"/>
      <x:c r="L344" s="70"/>
      <x:c r="M344" s="64" t="str">
        <x:f>IF(A344="","",IF(AND(E344&lt;&gt;"",F344&lt;&gt;"",ABS(H344-I344)&lt;=0.01,ABS(J344-K344)&lt;=0.01,L344=1),"一致","检查"))</x:f>
      </x:c>
      <x:c r="N344" s="64" t="str">
        <x:f>IF(A344="","",IF(COUNTIF($A$5:$A$1204,A344)&gt;1,"重复",""))</x:f>
      </x:c>
    </x:row>
    <x:row r="345">
      <x:c r="A345" s="62"/>
      <x:c r="B345" s="62"/>
      <x:c r="C345" s="62"/>
      <x:c r="D345" s="62"/>
      <x:c r="E345" s="62"/>
      <x:c r="F345" s="62"/>
      <x:c r="G345" s="66"/>
      <x:c r="H345" s="68"/>
      <x:c r="I345" s="68"/>
      <x:c r="J345" s="68"/>
      <x:c r="K345" s="68"/>
      <x:c r="L345" s="70"/>
      <x:c r="M345" s="64" t="str">
        <x:f>IF(A345="","",IF(AND(E345&lt;&gt;"",F345&lt;&gt;"",ABS(H345-I345)&lt;=0.01,ABS(J345-K345)&lt;=0.01,L345=1),"一致","检查"))</x:f>
      </x:c>
      <x:c r="N345" s="64" t="str">
        <x:f>IF(A345="","",IF(COUNTIF($A$5:$A$1204,A345)&gt;1,"重复",""))</x:f>
      </x:c>
    </x:row>
    <x:row r="346">
      <x:c r="A346" s="62"/>
      <x:c r="B346" s="62"/>
      <x:c r="C346" s="62"/>
      <x:c r="D346" s="62"/>
      <x:c r="E346" s="62"/>
      <x:c r="F346" s="62"/>
      <x:c r="G346" s="66"/>
      <x:c r="H346" s="68"/>
      <x:c r="I346" s="68"/>
      <x:c r="J346" s="68"/>
      <x:c r="K346" s="68"/>
      <x:c r="L346" s="70"/>
      <x:c r="M346" s="64" t="str">
        <x:f>IF(A346="","",IF(AND(E346&lt;&gt;"",F346&lt;&gt;"",ABS(H346-I346)&lt;=0.01,ABS(J346-K346)&lt;=0.01,L346=1),"一致","检查"))</x:f>
      </x:c>
      <x:c r="N346" s="64" t="str">
        <x:f>IF(A346="","",IF(COUNTIF($A$5:$A$1204,A346)&gt;1,"重复",""))</x:f>
      </x:c>
    </x:row>
    <x:row r="347">
      <x:c r="A347" s="62"/>
      <x:c r="B347" s="62"/>
      <x:c r="C347" s="62"/>
      <x:c r="D347" s="62"/>
      <x:c r="E347" s="62"/>
      <x:c r="F347" s="62"/>
      <x:c r="G347" s="66"/>
      <x:c r="H347" s="68"/>
      <x:c r="I347" s="68"/>
      <x:c r="J347" s="68"/>
      <x:c r="K347" s="68"/>
      <x:c r="L347" s="70"/>
      <x:c r="M347" s="64" t="str">
        <x:f>IF(A347="","",IF(AND(E347&lt;&gt;"",F347&lt;&gt;"",ABS(H347-I347)&lt;=0.01,ABS(J347-K347)&lt;=0.01,L347=1),"一致","检查"))</x:f>
      </x:c>
      <x:c r="N347" s="64" t="str">
        <x:f>IF(A347="","",IF(COUNTIF($A$5:$A$1204,A347)&gt;1,"重复",""))</x:f>
      </x:c>
    </x:row>
    <x:row r="348">
      <x:c r="A348" s="62"/>
      <x:c r="B348" s="62"/>
      <x:c r="C348" s="62"/>
      <x:c r="D348" s="62"/>
      <x:c r="E348" s="62"/>
      <x:c r="F348" s="62"/>
      <x:c r="G348" s="66"/>
      <x:c r="H348" s="68"/>
      <x:c r="I348" s="68"/>
      <x:c r="J348" s="68"/>
      <x:c r="K348" s="68"/>
      <x:c r="L348" s="70"/>
      <x:c r="M348" s="64" t="str">
        <x:f>IF(A348="","",IF(AND(E348&lt;&gt;"",F348&lt;&gt;"",ABS(H348-I348)&lt;=0.01,ABS(J348-K348)&lt;=0.01,L348=1),"一致","检查"))</x:f>
      </x:c>
      <x:c r="N348" s="64" t="str">
        <x:f>IF(A348="","",IF(COUNTIF($A$5:$A$1204,A348)&gt;1,"重复",""))</x:f>
      </x:c>
    </x:row>
    <x:row r="349">
      <x:c r="A349" s="62"/>
      <x:c r="B349" s="62"/>
      <x:c r="C349" s="62"/>
      <x:c r="D349" s="62"/>
      <x:c r="E349" s="62"/>
      <x:c r="F349" s="62"/>
      <x:c r="G349" s="66"/>
      <x:c r="H349" s="68"/>
      <x:c r="I349" s="68"/>
      <x:c r="J349" s="68"/>
      <x:c r="K349" s="68"/>
      <x:c r="L349" s="70"/>
      <x:c r="M349" s="64" t="str">
        <x:f>IF(A349="","",IF(AND(E349&lt;&gt;"",F349&lt;&gt;"",ABS(H349-I349)&lt;=0.01,ABS(J349-K349)&lt;=0.01,L349=1),"一致","检查"))</x:f>
      </x:c>
      <x:c r="N349" s="64" t="str">
        <x:f>IF(A349="","",IF(COUNTIF($A$5:$A$1204,A349)&gt;1,"重复",""))</x:f>
      </x:c>
    </x:row>
    <x:row r="350">
      <x:c r="A350" s="62"/>
      <x:c r="B350" s="62"/>
      <x:c r="C350" s="62"/>
      <x:c r="D350" s="62"/>
      <x:c r="E350" s="62"/>
      <x:c r="F350" s="62"/>
      <x:c r="G350" s="66"/>
      <x:c r="H350" s="68"/>
      <x:c r="I350" s="68"/>
      <x:c r="J350" s="68"/>
      <x:c r="K350" s="68"/>
      <x:c r="L350" s="70"/>
      <x:c r="M350" s="64" t="str">
        <x:f>IF(A350="","",IF(AND(E350&lt;&gt;"",F350&lt;&gt;"",ABS(H350-I350)&lt;=0.01,ABS(J350-K350)&lt;=0.01,L350=1),"一致","检查"))</x:f>
      </x:c>
      <x:c r="N350" s="64" t="str">
        <x:f>IF(A350="","",IF(COUNTIF($A$5:$A$1204,A350)&gt;1,"重复",""))</x:f>
      </x:c>
    </x:row>
    <x:row r="351">
      <x:c r="A351" s="62"/>
      <x:c r="B351" s="62"/>
      <x:c r="C351" s="62"/>
      <x:c r="D351" s="62"/>
      <x:c r="E351" s="62"/>
      <x:c r="F351" s="62"/>
      <x:c r="G351" s="66"/>
      <x:c r="H351" s="68"/>
      <x:c r="I351" s="68"/>
      <x:c r="J351" s="68"/>
      <x:c r="K351" s="68"/>
      <x:c r="L351" s="70"/>
      <x:c r="M351" s="64" t="str">
        <x:f>IF(A351="","",IF(AND(E351&lt;&gt;"",F351&lt;&gt;"",ABS(H351-I351)&lt;=0.01,ABS(J351-K351)&lt;=0.01,L351=1),"一致","检查"))</x:f>
      </x:c>
      <x:c r="N351" s="64" t="str">
        <x:f>IF(A351="","",IF(COUNTIF($A$5:$A$1204,A351)&gt;1,"重复",""))</x:f>
      </x:c>
    </x:row>
    <x:row r="352">
      <x:c r="A352" s="62"/>
      <x:c r="B352" s="62"/>
      <x:c r="C352" s="62"/>
      <x:c r="D352" s="62"/>
      <x:c r="E352" s="62"/>
      <x:c r="F352" s="62"/>
      <x:c r="G352" s="66"/>
      <x:c r="H352" s="68"/>
      <x:c r="I352" s="68"/>
      <x:c r="J352" s="68"/>
      <x:c r="K352" s="68"/>
      <x:c r="L352" s="70"/>
      <x:c r="M352" s="64" t="str">
        <x:f>IF(A352="","",IF(AND(E352&lt;&gt;"",F352&lt;&gt;"",ABS(H352-I352)&lt;=0.01,ABS(J352-K352)&lt;=0.01,L352=1),"一致","检查"))</x:f>
      </x:c>
      <x:c r="N352" s="64" t="str">
        <x:f>IF(A352="","",IF(COUNTIF($A$5:$A$1204,A352)&gt;1,"重复",""))</x:f>
      </x:c>
    </x:row>
    <x:row r="353">
      <x:c r="A353" s="62"/>
      <x:c r="B353" s="62"/>
      <x:c r="C353" s="62"/>
      <x:c r="D353" s="62"/>
      <x:c r="E353" s="62"/>
      <x:c r="F353" s="62"/>
      <x:c r="G353" s="66"/>
      <x:c r="H353" s="68"/>
      <x:c r="I353" s="68"/>
      <x:c r="J353" s="68"/>
      <x:c r="K353" s="68"/>
      <x:c r="L353" s="70"/>
      <x:c r="M353" s="64" t="str">
        <x:f>IF(A353="","",IF(AND(E353&lt;&gt;"",F353&lt;&gt;"",ABS(H353-I353)&lt;=0.01,ABS(J353-K353)&lt;=0.01,L353=1),"一致","检查"))</x:f>
      </x:c>
      <x:c r="N353" s="64" t="str">
        <x:f>IF(A353="","",IF(COUNTIF($A$5:$A$1204,A353)&gt;1,"重复",""))</x:f>
      </x:c>
    </x:row>
    <x:row r="354">
      <x:c r="A354" s="62"/>
      <x:c r="B354" s="62"/>
      <x:c r="C354" s="62"/>
      <x:c r="D354" s="62"/>
      <x:c r="E354" s="62"/>
      <x:c r="F354" s="62"/>
      <x:c r="G354" s="66"/>
      <x:c r="H354" s="68"/>
      <x:c r="I354" s="68"/>
      <x:c r="J354" s="68"/>
      <x:c r="K354" s="68"/>
      <x:c r="L354" s="70"/>
      <x:c r="M354" s="64" t="str">
        <x:f>IF(A354="","",IF(AND(E354&lt;&gt;"",F354&lt;&gt;"",ABS(H354-I354)&lt;=0.01,ABS(J354-K354)&lt;=0.01,L354=1),"一致","检查"))</x:f>
      </x:c>
      <x:c r="N354" s="64" t="str">
        <x:f>IF(A354="","",IF(COUNTIF($A$5:$A$1204,A354)&gt;1,"重复",""))</x:f>
      </x:c>
    </x:row>
    <x:row r="355">
      <x:c r="A355" s="62"/>
      <x:c r="B355" s="62"/>
      <x:c r="C355" s="62"/>
      <x:c r="D355" s="62"/>
      <x:c r="E355" s="62"/>
      <x:c r="F355" s="62"/>
      <x:c r="G355" s="66"/>
      <x:c r="H355" s="68"/>
      <x:c r="I355" s="68"/>
      <x:c r="J355" s="68"/>
      <x:c r="K355" s="68"/>
      <x:c r="L355" s="70"/>
      <x:c r="M355" s="64" t="str">
        <x:f>IF(A355="","",IF(AND(E355&lt;&gt;"",F355&lt;&gt;"",ABS(H355-I355)&lt;=0.01,ABS(J355-K355)&lt;=0.01,L355=1),"一致","检查"))</x:f>
      </x:c>
      <x:c r="N355" s="64" t="str">
        <x:f>IF(A355="","",IF(COUNTIF($A$5:$A$1204,A355)&gt;1,"重复",""))</x:f>
      </x:c>
    </x:row>
    <x:row r="356">
      <x:c r="A356" s="62"/>
      <x:c r="B356" s="62"/>
      <x:c r="C356" s="62"/>
      <x:c r="D356" s="62"/>
      <x:c r="E356" s="62"/>
      <x:c r="F356" s="62"/>
      <x:c r="G356" s="66"/>
      <x:c r="H356" s="68"/>
      <x:c r="I356" s="68"/>
      <x:c r="J356" s="68"/>
      <x:c r="K356" s="68"/>
      <x:c r="L356" s="70"/>
      <x:c r="M356" s="64" t="str">
        <x:f>IF(A356="","",IF(AND(E356&lt;&gt;"",F356&lt;&gt;"",ABS(H356-I356)&lt;=0.01,ABS(J356-K356)&lt;=0.01,L356=1),"一致","检查"))</x:f>
      </x:c>
      <x:c r="N356" s="64" t="str">
        <x:f>IF(A356="","",IF(COUNTIF($A$5:$A$1204,A356)&gt;1,"重复",""))</x:f>
      </x:c>
    </x:row>
    <x:row r="357">
      <x:c r="A357" s="62"/>
      <x:c r="B357" s="62"/>
      <x:c r="C357" s="62"/>
      <x:c r="D357" s="62"/>
      <x:c r="E357" s="62"/>
      <x:c r="F357" s="62"/>
      <x:c r="G357" s="66"/>
      <x:c r="H357" s="68"/>
      <x:c r="I357" s="68"/>
      <x:c r="J357" s="68"/>
      <x:c r="K357" s="68"/>
      <x:c r="L357" s="70"/>
      <x:c r="M357" s="64" t="str">
        <x:f>IF(A357="","",IF(AND(E357&lt;&gt;"",F357&lt;&gt;"",ABS(H357-I357)&lt;=0.01,ABS(J357-K357)&lt;=0.01,L357=1),"一致","检查"))</x:f>
      </x:c>
      <x:c r="N357" s="64" t="str">
        <x:f>IF(A357="","",IF(COUNTIF($A$5:$A$1204,A357)&gt;1,"重复",""))</x:f>
      </x:c>
    </x:row>
    <x:row r="358">
      <x:c r="A358" s="62"/>
      <x:c r="B358" s="62"/>
      <x:c r="C358" s="62"/>
      <x:c r="D358" s="62"/>
      <x:c r="E358" s="62"/>
      <x:c r="F358" s="62"/>
      <x:c r="G358" s="66"/>
      <x:c r="H358" s="68"/>
      <x:c r="I358" s="68"/>
      <x:c r="J358" s="68"/>
      <x:c r="K358" s="68"/>
      <x:c r="L358" s="70"/>
      <x:c r="M358" s="64" t="str">
        <x:f>IF(A358="","",IF(AND(E358&lt;&gt;"",F358&lt;&gt;"",ABS(H358-I358)&lt;=0.01,ABS(J358-K358)&lt;=0.01,L358=1),"一致","检查"))</x:f>
      </x:c>
      <x:c r="N358" s="64" t="str">
        <x:f>IF(A358="","",IF(COUNTIF($A$5:$A$1204,A358)&gt;1,"重复",""))</x:f>
      </x:c>
    </x:row>
    <x:row r="359">
      <x:c r="A359" s="62"/>
      <x:c r="B359" s="62"/>
      <x:c r="C359" s="62"/>
      <x:c r="D359" s="62"/>
      <x:c r="E359" s="62"/>
      <x:c r="F359" s="62"/>
      <x:c r="G359" s="66"/>
      <x:c r="H359" s="68"/>
      <x:c r="I359" s="68"/>
      <x:c r="J359" s="68"/>
      <x:c r="K359" s="68"/>
      <x:c r="L359" s="70"/>
      <x:c r="M359" s="64" t="str">
        <x:f>IF(A359="","",IF(AND(E359&lt;&gt;"",F359&lt;&gt;"",ABS(H359-I359)&lt;=0.01,ABS(J359-K359)&lt;=0.01,L359=1),"一致","检查"))</x:f>
      </x:c>
      <x:c r="N359" s="64" t="str">
        <x:f>IF(A359="","",IF(COUNTIF($A$5:$A$1204,A359)&gt;1,"重复",""))</x:f>
      </x:c>
    </x:row>
    <x:row r="360">
      <x:c r="A360" s="62"/>
      <x:c r="B360" s="62"/>
      <x:c r="C360" s="62"/>
      <x:c r="D360" s="62"/>
      <x:c r="E360" s="62"/>
      <x:c r="F360" s="62"/>
      <x:c r="G360" s="66"/>
      <x:c r="H360" s="68"/>
      <x:c r="I360" s="68"/>
      <x:c r="J360" s="68"/>
      <x:c r="K360" s="68"/>
      <x:c r="L360" s="70"/>
      <x:c r="M360" s="64" t="str">
        <x:f>IF(A360="","",IF(AND(E360&lt;&gt;"",F360&lt;&gt;"",ABS(H360-I360)&lt;=0.01,ABS(J360-K360)&lt;=0.01,L360=1),"一致","检查"))</x:f>
      </x:c>
      <x:c r="N360" s="64" t="str">
        <x:f>IF(A360="","",IF(COUNTIF($A$5:$A$1204,A360)&gt;1,"重复",""))</x:f>
      </x:c>
    </x:row>
    <x:row r="361">
      <x:c r="A361" s="62"/>
      <x:c r="B361" s="62"/>
      <x:c r="C361" s="62"/>
      <x:c r="D361" s="62"/>
      <x:c r="E361" s="62"/>
      <x:c r="F361" s="62"/>
      <x:c r="G361" s="66"/>
      <x:c r="H361" s="68"/>
      <x:c r="I361" s="68"/>
      <x:c r="J361" s="68"/>
      <x:c r="K361" s="68"/>
      <x:c r="L361" s="70"/>
      <x:c r="M361" s="64" t="str">
        <x:f>IF(A361="","",IF(AND(E361&lt;&gt;"",F361&lt;&gt;"",ABS(H361-I361)&lt;=0.01,ABS(J361-K361)&lt;=0.01,L361=1),"一致","检查"))</x:f>
      </x:c>
      <x:c r="N361" s="64" t="str">
        <x:f>IF(A361="","",IF(COUNTIF($A$5:$A$1204,A361)&gt;1,"重复",""))</x:f>
      </x:c>
    </x:row>
    <x:row r="362">
      <x:c r="A362" s="62"/>
      <x:c r="B362" s="62"/>
      <x:c r="C362" s="62"/>
      <x:c r="D362" s="62"/>
      <x:c r="E362" s="62"/>
      <x:c r="F362" s="62"/>
      <x:c r="G362" s="66"/>
      <x:c r="H362" s="68"/>
      <x:c r="I362" s="68"/>
      <x:c r="J362" s="68"/>
      <x:c r="K362" s="68"/>
      <x:c r="L362" s="70"/>
      <x:c r="M362" s="64" t="str">
        <x:f>IF(A362="","",IF(AND(E362&lt;&gt;"",F362&lt;&gt;"",ABS(H362-I362)&lt;=0.01,ABS(J362-K362)&lt;=0.01,L362=1),"一致","检查"))</x:f>
      </x:c>
      <x:c r="N362" s="64" t="str">
        <x:f>IF(A362="","",IF(COUNTIF($A$5:$A$1204,A362)&gt;1,"重复",""))</x:f>
      </x:c>
    </x:row>
    <x:row r="363">
      <x:c r="A363" s="62"/>
      <x:c r="B363" s="62"/>
      <x:c r="C363" s="62"/>
      <x:c r="D363" s="62"/>
      <x:c r="E363" s="62"/>
      <x:c r="F363" s="62"/>
      <x:c r="G363" s="66"/>
      <x:c r="H363" s="68"/>
      <x:c r="I363" s="68"/>
      <x:c r="J363" s="68"/>
      <x:c r="K363" s="68"/>
      <x:c r="L363" s="70"/>
      <x:c r="M363" s="64" t="str">
        <x:f>IF(A363="","",IF(AND(E363&lt;&gt;"",F363&lt;&gt;"",ABS(H363-I363)&lt;=0.01,ABS(J363-K363)&lt;=0.01,L363=1),"一致","检查"))</x:f>
      </x:c>
      <x:c r="N363" s="64" t="str">
        <x:f>IF(A363="","",IF(COUNTIF($A$5:$A$1204,A363)&gt;1,"重复",""))</x:f>
      </x:c>
    </x:row>
    <x:row r="364">
      <x:c r="A364" s="62"/>
      <x:c r="B364" s="62"/>
      <x:c r="C364" s="62"/>
      <x:c r="D364" s="62"/>
      <x:c r="E364" s="62"/>
      <x:c r="F364" s="62"/>
      <x:c r="G364" s="66"/>
      <x:c r="H364" s="68"/>
      <x:c r="I364" s="68"/>
      <x:c r="J364" s="68"/>
      <x:c r="K364" s="68"/>
      <x:c r="L364" s="70"/>
      <x:c r="M364" s="64" t="str">
        <x:f>IF(A364="","",IF(AND(E364&lt;&gt;"",F364&lt;&gt;"",ABS(H364-I364)&lt;=0.01,ABS(J364-K364)&lt;=0.01,L364=1),"一致","检查"))</x:f>
      </x:c>
      <x:c r="N364" s="64" t="str">
        <x:f>IF(A364="","",IF(COUNTIF($A$5:$A$1204,A364)&gt;1,"重复",""))</x:f>
      </x:c>
    </x:row>
    <x:row r="365">
      <x:c r="A365" s="62"/>
      <x:c r="B365" s="62"/>
      <x:c r="C365" s="62"/>
      <x:c r="D365" s="62"/>
      <x:c r="E365" s="62"/>
      <x:c r="F365" s="62"/>
      <x:c r="G365" s="66"/>
      <x:c r="H365" s="68"/>
      <x:c r="I365" s="68"/>
      <x:c r="J365" s="68"/>
      <x:c r="K365" s="68"/>
      <x:c r="L365" s="70"/>
      <x:c r="M365" s="64" t="str">
        <x:f>IF(A365="","",IF(AND(E365&lt;&gt;"",F365&lt;&gt;"",ABS(H365-I365)&lt;=0.01,ABS(J365-K365)&lt;=0.01,L365=1),"一致","检查"))</x:f>
      </x:c>
      <x:c r="N365" s="64" t="str">
        <x:f>IF(A365="","",IF(COUNTIF($A$5:$A$1204,A365)&gt;1,"重复",""))</x:f>
      </x:c>
    </x:row>
    <x:row r="366">
      <x:c r="A366" s="62"/>
      <x:c r="B366" s="62"/>
      <x:c r="C366" s="62"/>
      <x:c r="D366" s="62"/>
      <x:c r="E366" s="62"/>
      <x:c r="F366" s="62"/>
      <x:c r="G366" s="66"/>
      <x:c r="H366" s="68"/>
      <x:c r="I366" s="68"/>
      <x:c r="J366" s="68"/>
      <x:c r="K366" s="68"/>
      <x:c r="L366" s="70"/>
      <x:c r="M366" s="64" t="str">
        <x:f>IF(A366="","",IF(AND(E366&lt;&gt;"",F366&lt;&gt;"",ABS(H366-I366)&lt;=0.01,ABS(J366-K366)&lt;=0.01,L366=1),"一致","检查"))</x:f>
      </x:c>
      <x:c r="N366" s="64" t="str">
        <x:f>IF(A366="","",IF(COUNTIF($A$5:$A$1204,A366)&gt;1,"重复",""))</x:f>
      </x:c>
    </x:row>
    <x:row r="367">
      <x:c r="A367" s="62"/>
      <x:c r="B367" s="62"/>
      <x:c r="C367" s="62"/>
      <x:c r="D367" s="62"/>
      <x:c r="E367" s="62"/>
      <x:c r="F367" s="62"/>
      <x:c r="G367" s="66"/>
      <x:c r="H367" s="68"/>
      <x:c r="I367" s="68"/>
      <x:c r="J367" s="68"/>
      <x:c r="K367" s="68"/>
      <x:c r="L367" s="70"/>
      <x:c r="M367" s="64" t="str">
        <x:f>IF(A367="","",IF(AND(E367&lt;&gt;"",F367&lt;&gt;"",ABS(H367-I367)&lt;=0.01,ABS(J367-K367)&lt;=0.01,L367=1),"一致","检查"))</x:f>
      </x:c>
      <x:c r="N367" s="64" t="str">
        <x:f>IF(A367="","",IF(COUNTIF($A$5:$A$1204,A367)&gt;1,"重复",""))</x:f>
      </x:c>
    </x:row>
    <x:row r="368">
      <x:c r="A368" s="62"/>
      <x:c r="B368" s="62"/>
      <x:c r="C368" s="62"/>
      <x:c r="D368" s="62"/>
      <x:c r="E368" s="62"/>
      <x:c r="F368" s="62"/>
      <x:c r="G368" s="66"/>
      <x:c r="H368" s="68"/>
      <x:c r="I368" s="68"/>
      <x:c r="J368" s="68"/>
      <x:c r="K368" s="68"/>
      <x:c r="L368" s="70"/>
      <x:c r="M368" s="64" t="str">
        <x:f>IF(A368="","",IF(AND(E368&lt;&gt;"",F368&lt;&gt;"",ABS(H368-I368)&lt;=0.01,ABS(J368-K368)&lt;=0.01,L368=1),"一致","检查"))</x:f>
      </x:c>
      <x:c r="N368" s="64" t="str">
        <x:f>IF(A368="","",IF(COUNTIF($A$5:$A$1204,A368)&gt;1,"重复",""))</x:f>
      </x:c>
    </x:row>
    <x:row r="369">
      <x:c r="A369" s="62"/>
      <x:c r="B369" s="62"/>
      <x:c r="C369" s="62"/>
      <x:c r="D369" s="62"/>
      <x:c r="E369" s="62"/>
      <x:c r="F369" s="62"/>
      <x:c r="G369" s="66"/>
      <x:c r="H369" s="68"/>
      <x:c r="I369" s="68"/>
      <x:c r="J369" s="68"/>
      <x:c r="K369" s="68"/>
      <x:c r="L369" s="70"/>
      <x:c r="M369" s="64" t="str">
        <x:f>IF(A369="","",IF(AND(E369&lt;&gt;"",F369&lt;&gt;"",ABS(H369-I369)&lt;=0.01,ABS(J369-K369)&lt;=0.01,L369=1),"一致","检查"))</x:f>
      </x:c>
      <x:c r="N369" s="64" t="str">
        <x:f>IF(A369="","",IF(COUNTIF($A$5:$A$1204,A369)&gt;1,"重复",""))</x:f>
      </x:c>
    </x:row>
    <x:row r="370">
      <x:c r="A370" s="62"/>
      <x:c r="B370" s="62"/>
      <x:c r="C370" s="62"/>
      <x:c r="D370" s="62"/>
      <x:c r="E370" s="62"/>
      <x:c r="F370" s="62"/>
      <x:c r="G370" s="66"/>
      <x:c r="H370" s="68"/>
      <x:c r="I370" s="68"/>
      <x:c r="J370" s="68"/>
      <x:c r="K370" s="68"/>
      <x:c r="L370" s="70"/>
      <x:c r="M370" s="64" t="str">
        <x:f>IF(A370="","",IF(AND(E370&lt;&gt;"",F370&lt;&gt;"",ABS(H370-I370)&lt;=0.01,ABS(J370-K370)&lt;=0.01,L370=1),"一致","检查"))</x:f>
      </x:c>
      <x:c r="N370" s="64" t="str">
        <x:f>IF(A370="","",IF(COUNTIF($A$5:$A$1204,A370)&gt;1,"重复",""))</x:f>
      </x:c>
    </x:row>
    <x:row r="371">
      <x:c r="A371" s="62"/>
      <x:c r="B371" s="62"/>
      <x:c r="C371" s="62"/>
      <x:c r="D371" s="62"/>
      <x:c r="E371" s="62"/>
      <x:c r="F371" s="62"/>
      <x:c r="G371" s="66"/>
      <x:c r="H371" s="68"/>
      <x:c r="I371" s="68"/>
      <x:c r="J371" s="68"/>
      <x:c r="K371" s="68"/>
      <x:c r="L371" s="70"/>
      <x:c r="M371" s="64" t="str">
        <x:f>IF(A371="","",IF(AND(E371&lt;&gt;"",F371&lt;&gt;"",ABS(H371-I371)&lt;=0.01,ABS(J371-K371)&lt;=0.01,L371=1),"一致","检查"))</x:f>
      </x:c>
      <x:c r="N371" s="64" t="str">
        <x:f>IF(A371="","",IF(COUNTIF($A$5:$A$1204,A371)&gt;1,"重复",""))</x:f>
      </x:c>
    </x:row>
    <x:row r="372">
      <x:c r="A372" s="62"/>
      <x:c r="B372" s="62"/>
      <x:c r="C372" s="62"/>
      <x:c r="D372" s="62"/>
      <x:c r="E372" s="62"/>
      <x:c r="F372" s="62"/>
      <x:c r="G372" s="66"/>
      <x:c r="H372" s="68"/>
      <x:c r="I372" s="68"/>
      <x:c r="J372" s="68"/>
      <x:c r="K372" s="68"/>
      <x:c r="L372" s="70"/>
      <x:c r="M372" s="64" t="str">
        <x:f>IF(A372="","",IF(AND(E372&lt;&gt;"",F372&lt;&gt;"",ABS(H372-I372)&lt;=0.01,ABS(J372-K372)&lt;=0.01,L372=1),"一致","检查"))</x:f>
      </x:c>
      <x:c r="N372" s="64" t="str">
        <x:f>IF(A372="","",IF(COUNTIF($A$5:$A$1204,A372)&gt;1,"重复",""))</x:f>
      </x:c>
    </x:row>
    <x:row r="373">
      <x:c r="A373" s="62"/>
      <x:c r="B373" s="62"/>
      <x:c r="C373" s="62"/>
      <x:c r="D373" s="62"/>
      <x:c r="E373" s="62"/>
      <x:c r="F373" s="62"/>
      <x:c r="G373" s="66"/>
      <x:c r="H373" s="68"/>
      <x:c r="I373" s="68"/>
      <x:c r="J373" s="68"/>
      <x:c r="K373" s="68"/>
      <x:c r="L373" s="70"/>
      <x:c r="M373" s="64" t="str">
        <x:f>IF(A373="","",IF(AND(E373&lt;&gt;"",F373&lt;&gt;"",ABS(H373-I373)&lt;=0.01,ABS(J373-K373)&lt;=0.01,L373=1),"一致","检查"))</x:f>
      </x:c>
      <x:c r="N373" s="64" t="str">
        <x:f>IF(A373="","",IF(COUNTIF($A$5:$A$1204,A373)&gt;1,"重复",""))</x:f>
      </x:c>
    </x:row>
    <x:row r="374">
      <x:c r="A374" s="62"/>
      <x:c r="B374" s="62"/>
      <x:c r="C374" s="62"/>
      <x:c r="D374" s="62"/>
      <x:c r="E374" s="62"/>
      <x:c r="F374" s="62"/>
      <x:c r="G374" s="66"/>
      <x:c r="H374" s="68"/>
      <x:c r="I374" s="68"/>
      <x:c r="J374" s="68"/>
      <x:c r="K374" s="68"/>
      <x:c r="L374" s="70"/>
      <x:c r="M374" s="64" t="str">
        <x:f>IF(A374="","",IF(AND(E374&lt;&gt;"",F374&lt;&gt;"",ABS(H374-I374)&lt;=0.01,ABS(J374-K374)&lt;=0.01,L374=1),"一致","检查"))</x:f>
      </x:c>
      <x:c r="N374" s="64" t="str">
        <x:f>IF(A374="","",IF(COUNTIF($A$5:$A$1204,A374)&gt;1,"重复",""))</x:f>
      </x:c>
    </x:row>
    <x:row r="375">
      <x:c r="A375" s="62"/>
      <x:c r="B375" s="62"/>
      <x:c r="C375" s="62"/>
      <x:c r="D375" s="62"/>
      <x:c r="E375" s="62"/>
      <x:c r="F375" s="62"/>
      <x:c r="G375" s="66"/>
      <x:c r="H375" s="68"/>
      <x:c r="I375" s="68"/>
      <x:c r="J375" s="68"/>
      <x:c r="K375" s="68"/>
      <x:c r="L375" s="70"/>
      <x:c r="M375" s="64" t="str">
        <x:f>IF(A375="","",IF(AND(E375&lt;&gt;"",F375&lt;&gt;"",ABS(H375-I375)&lt;=0.01,ABS(J375-K375)&lt;=0.01,L375=1),"一致","检查"))</x:f>
      </x:c>
      <x:c r="N375" s="64" t="str">
        <x:f>IF(A375="","",IF(COUNTIF($A$5:$A$1204,A375)&gt;1,"重复",""))</x:f>
      </x:c>
    </x:row>
    <x:row r="376">
      <x:c r="A376" s="62"/>
      <x:c r="B376" s="62"/>
      <x:c r="C376" s="62"/>
      <x:c r="D376" s="62"/>
      <x:c r="E376" s="62"/>
      <x:c r="F376" s="62"/>
      <x:c r="G376" s="66"/>
      <x:c r="H376" s="68"/>
      <x:c r="I376" s="68"/>
      <x:c r="J376" s="68"/>
      <x:c r="K376" s="68"/>
      <x:c r="L376" s="70"/>
      <x:c r="M376" s="64" t="str">
        <x:f>IF(A376="","",IF(AND(E376&lt;&gt;"",F376&lt;&gt;"",ABS(H376-I376)&lt;=0.01,ABS(J376-K376)&lt;=0.01,L376=1),"一致","检查"))</x:f>
      </x:c>
      <x:c r="N376" s="64" t="str">
        <x:f>IF(A376="","",IF(COUNTIF($A$5:$A$1204,A376)&gt;1,"重复",""))</x:f>
      </x:c>
    </x:row>
    <x:row r="377">
      <x:c r="A377" s="62"/>
      <x:c r="B377" s="62"/>
      <x:c r="C377" s="62"/>
      <x:c r="D377" s="62"/>
      <x:c r="E377" s="62"/>
      <x:c r="F377" s="62"/>
      <x:c r="G377" s="66"/>
      <x:c r="H377" s="68"/>
      <x:c r="I377" s="68"/>
      <x:c r="J377" s="68"/>
      <x:c r="K377" s="68"/>
      <x:c r="L377" s="70"/>
      <x:c r="M377" s="64" t="str">
        <x:f>IF(A377="","",IF(AND(E377&lt;&gt;"",F377&lt;&gt;"",ABS(H377-I377)&lt;=0.01,ABS(J377-K377)&lt;=0.01,L377=1),"一致","检查"))</x:f>
      </x:c>
      <x:c r="N377" s="64" t="str">
        <x:f>IF(A377="","",IF(COUNTIF($A$5:$A$1204,A377)&gt;1,"重复",""))</x:f>
      </x:c>
    </x:row>
    <x:row r="378">
      <x:c r="A378" s="62"/>
      <x:c r="B378" s="62"/>
      <x:c r="C378" s="62"/>
      <x:c r="D378" s="62"/>
      <x:c r="E378" s="62"/>
      <x:c r="F378" s="62"/>
      <x:c r="G378" s="66"/>
      <x:c r="H378" s="68"/>
      <x:c r="I378" s="68"/>
      <x:c r="J378" s="68"/>
      <x:c r="K378" s="68"/>
      <x:c r="L378" s="70"/>
      <x:c r="M378" s="64" t="str">
        <x:f>IF(A378="","",IF(AND(E378&lt;&gt;"",F378&lt;&gt;"",ABS(H378-I378)&lt;=0.01,ABS(J378-K378)&lt;=0.01,L378=1),"一致","检查"))</x:f>
      </x:c>
      <x:c r="N378" s="64" t="str">
        <x:f>IF(A378="","",IF(COUNTIF($A$5:$A$1204,A378)&gt;1,"重复",""))</x:f>
      </x:c>
    </x:row>
    <x:row r="379">
      <x:c r="A379" s="62"/>
      <x:c r="B379" s="62"/>
      <x:c r="C379" s="62"/>
      <x:c r="D379" s="62"/>
      <x:c r="E379" s="62"/>
      <x:c r="F379" s="62"/>
      <x:c r="G379" s="66"/>
      <x:c r="H379" s="68"/>
      <x:c r="I379" s="68"/>
      <x:c r="J379" s="68"/>
      <x:c r="K379" s="68"/>
      <x:c r="L379" s="70"/>
      <x:c r="M379" s="64" t="str">
        <x:f>IF(A379="","",IF(AND(E379&lt;&gt;"",F379&lt;&gt;"",ABS(H379-I379)&lt;=0.01,ABS(J379-K379)&lt;=0.01,L379=1),"一致","检查"))</x:f>
      </x:c>
      <x:c r="N379" s="64" t="str">
        <x:f>IF(A379="","",IF(COUNTIF($A$5:$A$1204,A379)&gt;1,"重复",""))</x:f>
      </x:c>
    </x:row>
    <x:row r="380">
      <x:c r="A380" s="62"/>
      <x:c r="B380" s="62"/>
      <x:c r="C380" s="62"/>
      <x:c r="D380" s="62"/>
      <x:c r="E380" s="62"/>
      <x:c r="F380" s="62"/>
      <x:c r="G380" s="66"/>
      <x:c r="H380" s="68"/>
      <x:c r="I380" s="68"/>
      <x:c r="J380" s="68"/>
      <x:c r="K380" s="68"/>
      <x:c r="L380" s="70"/>
      <x:c r="M380" s="64" t="str">
        <x:f>IF(A380="","",IF(AND(E380&lt;&gt;"",F380&lt;&gt;"",ABS(H380-I380)&lt;=0.01,ABS(J380-K380)&lt;=0.01,L380=1),"一致","检查"))</x:f>
      </x:c>
      <x:c r="N380" s="64" t="str">
        <x:f>IF(A380="","",IF(COUNTIF($A$5:$A$1204,A380)&gt;1,"重复",""))</x:f>
      </x:c>
    </x:row>
    <x:row r="381">
      <x:c r="A381" s="62"/>
      <x:c r="B381" s="62"/>
      <x:c r="C381" s="62"/>
      <x:c r="D381" s="62"/>
      <x:c r="E381" s="62"/>
      <x:c r="F381" s="62"/>
      <x:c r="G381" s="66"/>
      <x:c r="H381" s="68"/>
      <x:c r="I381" s="68"/>
      <x:c r="J381" s="68"/>
      <x:c r="K381" s="68"/>
      <x:c r="L381" s="70"/>
      <x:c r="M381" s="64" t="str">
        <x:f>IF(A381="","",IF(AND(E381&lt;&gt;"",F381&lt;&gt;"",ABS(H381-I381)&lt;=0.01,ABS(J381-K381)&lt;=0.01,L381=1),"一致","检查"))</x:f>
      </x:c>
      <x:c r="N381" s="64" t="str">
        <x:f>IF(A381="","",IF(COUNTIF($A$5:$A$1204,A381)&gt;1,"重复",""))</x:f>
      </x:c>
    </x:row>
    <x:row r="382">
      <x:c r="A382" s="62"/>
      <x:c r="B382" s="62"/>
      <x:c r="C382" s="62"/>
      <x:c r="D382" s="62"/>
      <x:c r="E382" s="62"/>
      <x:c r="F382" s="62"/>
      <x:c r="G382" s="66"/>
      <x:c r="H382" s="68"/>
      <x:c r="I382" s="68"/>
      <x:c r="J382" s="68"/>
      <x:c r="K382" s="68"/>
      <x:c r="L382" s="70"/>
      <x:c r="M382" s="64" t="str">
        <x:f>IF(A382="","",IF(AND(E382&lt;&gt;"",F382&lt;&gt;"",ABS(H382-I382)&lt;=0.01,ABS(J382-K382)&lt;=0.01,L382=1),"一致","检查"))</x:f>
      </x:c>
      <x:c r="N382" s="64" t="str">
        <x:f>IF(A382="","",IF(COUNTIF($A$5:$A$1204,A382)&gt;1,"重复",""))</x:f>
      </x:c>
    </x:row>
    <x:row r="383">
      <x:c r="A383" s="62"/>
      <x:c r="B383" s="62"/>
      <x:c r="C383" s="62"/>
      <x:c r="D383" s="62"/>
      <x:c r="E383" s="62"/>
      <x:c r="F383" s="62"/>
      <x:c r="G383" s="66"/>
      <x:c r="H383" s="68"/>
      <x:c r="I383" s="68"/>
      <x:c r="J383" s="68"/>
      <x:c r="K383" s="68"/>
      <x:c r="L383" s="70"/>
      <x:c r="M383" s="64" t="str">
        <x:f>IF(A383="","",IF(AND(E383&lt;&gt;"",F383&lt;&gt;"",ABS(H383-I383)&lt;=0.01,ABS(J383-K383)&lt;=0.01,L383=1),"一致","检查"))</x:f>
      </x:c>
      <x:c r="N383" s="64" t="str">
        <x:f>IF(A383="","",IF(COUNTIF($A$5:$A$1204,A383)&gt;1,"重复",""))</x:f>
      </x:c>
    </x:row>
    <x:row r="384">
      <x:c r="A384" s="62"/>
      <x:c r="B384" s="62"/>
      <x:c r="C384" s="62"/>
      <x:c r="D384" s="62"/>
      <x:c r="E384" s="62"/>
      <x:c r="F384" s="62"/>
      <x:c r="G384" s="66"/>
      <x:c r="H384" s="68"/>
      <x:c r="I384" s="68"/>
      <x:c r="J384" s="68"/>
      <x:c r="K384" s="68"/>
      <x:c r="L384" s="70"/>
      <x:c r="M384" s="64" t="str">
        <x:f>IF(A384="","",IF(AND(E384&lt;&gt;"",F384&lt;&gt;"",ABS(H384-I384)&lt;=0.01,ABS(J384-K384)&lt;=0.01,L384=1),"一致","检查"))</x:f>
      </x:c>
      <x:c r="N384" s="64" t="str">
        <x:f>IF(A384="","",IF(COUNTIF($A$5:$A$1204,A384)&gt;1,"重复",""))</x:f>
      </x:c>
    </x:row>
    <x:row r="385">
      <x:c r="A385" s="62"/>
      <x:c r="B385" s="62"/>
      <x:c r="C385" s="62"/>
      <x:c r="D385" s="62"/>
      <x:c r="E385" s="62"/>
      <x:c r="F385" s="62"/>
      <x:c r="G385" s="66"/>
      <x:c r="H385" s="68"/>
      <x:c r="I385" s="68"/>
      <x:c r="J385" s="68"/>
      <x:c r="K385" s="68"/>
      <x:c r="L385" s="70"/>
      <x:c r="M385" s="64" t="str">
        <x:f>IF(A385="","",IF(AND(E385&lt;&gt;"",F385&lt;&gt;"",ABS(H385-I385)&lt;=0.01,ABS(J385-K385)&lt;=0.01,L385=1),"一致","检查"))</x:f>
      </x:c>
      <x:c r="N385" s="64" t="str">
        <x:f>IF(A385="","",IF(COUNTIF($A$5:$A$1204,A385)&gt;1,"重复",""))</x:f>
      </x:c>
    </x:row>
    <x:row r="386">
      <x:c r="A386" s="62"/>
      <x:c r="B386" s="62"/>
      <x:c r="C386" s="62"/>
      <x:c r="D386" s="62"/>
      <x:c r="E386" s="62"/>
      <x:c r="F386" s="62"/>
      <x:c r="G386" s="66"/>
      <x:c r="H386" s="68"/>
      <x:c r="I386" s="68"/>
      <x:c r="J386" s="68"/>
      <x:c r="K386" s="68"/>
      <x:c r="L386" s="70"/>
      <x:c r="M386" s="64" t="str">
        <x:f>IF(A386="","",IF(AND(E386&lt;&gt;"",F386&lt;&gt;"",ABS(H386-I386)&lt;=0.01,ABS(J386-K386)&lt;=0.01,L386=1),"一致","检查"))</x:f>
      </x:c>
      <x:c r="N386" s="64" t="str">
        <x:f>IF(A386="","",IF(COUNTIF($A$5:$A$1204,A386)&gt;1,"重复",""))</x:f>
      </x:c>
    </x:row>
    <x:row r="387">
      <x:c r="A387" s="62"/>
      <x:c r="B387" s="62"/>
      <x:c r="C387" s="62"/>
      <x:c r="D387" s="62"/>
      <x:c r="E387" s="62"/>
      <x:c r="F387" s="62"/>
      <x:c r="G387" s="66"/>
      <x:c r="H387" s="68"/>
      <x:c r="I387" s="68"/>
      <x:c r="J387" s="68"/>
      <x:c r="K387" s="68"/>
      <x:c r="L387" s="70"/>
      <x:c r="M387" s="64" t="str">
        <x:f>IF(A387="","",IF(AND(E387&lt;&gt;"",F387&lt;&gt;"",ABS(H387-I387)&lt;=0.01,ABS(J387-K387)&lt;=0.01,L387=1),"一致","检查"))</x:f>
      </x:c>
      <x:c r="N387" s="64" t="str">
        <x:f>IF(A387="","",IF(COUNTIF($A$5:$A$1204,A387)&gt;1,"重复",""))</x:f>
      </x:c>
    </x:row>
    <x:row r="388">
      <x:c r="A388" s="62"/>
      <x:c r="B388" s="62"/>
      <x:c r="C388" s="62"/>
      <x:c r="D388" s="62"/>
      <x:c r="E388" s="62"/>
      <x:c r="F388" s="62"/>
      <x:c r="G388" s="66"/>
      <x:c r="H388" s="68"/>
      <x:c r="I388" s="68"/>
      <x:c r="J388" s="68"/>
      <x:c r="K388" s="68"/>
      <x:c r="L388" s="70"/>
      <x:c r="M388" s="64" t="str">
        <x:f>IF(A388="","",IF(AND(E388&lt;&gt;"",F388&lt;&gt;"",ABS(H388-I388)&lt;=0.01,ABS(J388-K388)&lt;=0.01,L388=1),"一致","检查"))</x:f>
      </x:c>
      <x:c r="N388" s="64" t="str">
        <x:f>IF(A388="","",IF(COUNTIF($A$5:$A$1204,A388)&gt;1,"重复",""))</x:f>
      </x:c>
    </x:row>
    <x:row r="389">
      <x:c r="A389" s="62"/>
      <x:c r="B389" s="62"/>
      <x:c r="C389" s="62"/>
      <x:c r="D389" s="62"/>
      <x:c r="E389" s="62"/>
      <x:c r="F389" s="62"/>
      <x:c r="G389" s="66"/>
      <x:c r="H389" s="68"/>
      <x:c r="I389" s="68"/>
      <x:c r="J389" s="68"/>
      <x:c r="K389" s="68"/>
      <x:c r="L389" s="70"/>
      <x:c r="M389" s="64" t="str">
        <x:f>IF(A389="","",IF(AND(E389&lt;&gt;"",F389&lt;&gt;"",ABS(H389-I389)&lt;=0.01,ABS(J389-K389)&lt;=0.01,L389=1),"一致","检查"))</x:f>
      </x:c>
      <x:c r="N389" s="64" t="str">
        <x:f>IF(A389="","",IF(COUNTIF($A$5:$A$1204,A389)&gt;1,"重复",""))</x:f>
      </x:c>
    </x:row>
    <x:row r="390">
      <x:c r="A390" s="62"/>
      <x:c r="B390" s="62"/>
      <x:c r="C390" s="62"/>
      <x:c r="D390" s="62"/>
      <x:c r="E390" s="62"/>
      <x:c r="F390" s="62"/>
      <x:c r="G390" s="66"/>
      <x:c r="H390" s="68"/>
      <x:c r="I390" s="68"/>
      <x:c r="J390" s="68"/>
      <x:c r="K390" s="68"/>
      <x:c r="L390" s="70"/>
      <x:c r="M390" s="64" t="str">
        <x:f>IF(A390="","",IF(AND(E390&lt;&gt;"",F390&lt;&gt;"",ABS(H390-I390)&lt;=0.01,ABS(J390-K390)&lt;=0.01,L390=1),"一致","检查"))</x:f>
      </x:c>
      <x:c r="N390" s="64" t="str">
        <x:f>IF(A390="","",IF(COUNTIF($A$5:$A$1204,A390)&gt;1,"重复",""))</x:f>
      </x:c>
    </x:row>
    <x:row r="391">
      <x:c r="A391" s="62"/>
      <x:c r="B391" s="62"/>
      <x:c r="C391" s="62"/>
      <x:c r="D391" s="62"/>
      <x:c r="E391" s="62"/>
      <x:c r="F391" s="62"/>
      <x:c r="G391" s="66"/>
      <x:c r="H391" s="68"/>
      <x:c r="I391" s="68"/>
      <x:c r="J391" s="68"/>
      <x:c r="K391" s="68"/>
      <x:c r="L391" s="70"/>
      <x:c r="M391" s="64" t="str">
        <x:f>IF(A391="","",IF(AND(E391&lt;&gt;"",F391&lt;&gt;"",ABS(H391-I391)&lt;=0.01,ABS(J391-K391)&lt;=0.01,L391=1),"一致","检查"))</x:f>
      </x:c>
      <x:c r="N391" s="64" t="str">
        <x:f>IF(A391="","",IF(COUNTIF($A$5:$A$1204,A391)&gt;1,"重复",""))</x:f>
      </x:c>
    </x:row>
    <x:row r="392">
      <x:c r="A392" s="62"/>
      <x:c r="B392" s="62"/>
      <x:c r="C392" s="62"/>
      <x:c r="D392" s="62"/>
      <x:c r="E392" s="62"/>
      <x:c r="F392" s="62"/>
      <x:c r="G392" s="66"/>
      <x:c r="H392" s="68"/>
      <x:c r="I392" s="68"/>
      <x:c r="J392" s="68"/>
      <x:c r="K392" s="68"/>
      <x:c r="L392" s="70"/>
      <x:c r="M392" s="64" t="str">
        <x:f>IF(A392="","",IF(AND(E392&lt;&gt;"",F392&lt;&gt;"",ABS(H392-I392)&lt;=0.01,ABS(J392-K392)&lt;=0.01,L392=1),"一致","检查"))</x:f>
      </x:c>
      <x:c r="N392" s="64" t="str">
        <x:f>IF(A392="","",IF(COUNTIF($A$5:$A$1204,A392)&gt;1,"重复",""))</x:f>
      </x:c>
    </x:row>
    <x:row r="393">
      <x:c r="A393" s="62"/>
      <x:c r="B393" s="62"/>
      <x:c r="C393" s="62"/>
      <x:c r="D393" s="62"/>
      <x:c r="E393" s="62"/>
      <x:c r="F393" s="62"/>
      <x:c r="G393" s="66"/>
      <x:c r="H393" s="68"/>
      <x:c r="I393" s="68"/>
      <x:c r="J393" s="68"/>
      <x:c r="K393" s="68"/>
      <x:c r="L393" s="70"/>
      <x:c r="M393" s="64" t="str">
        <x:f>IF(A393="","",IF(AND(E393&lt;&gt;"",F393&lt;&gt;"",ABS(H393-I393)&lt;=0.01,ABS(J393-K393)&lt;=0.01,L393=1),"一致","检查"))</x:f>
      </x:c>
      <x:c r="N393" s="64" t="str">
        <x:f>IF(A393="","",IF(COUNTIF($A$5:$A$1204,A393)&gt;1,"重复",""))</x:f>
      </x:c>
    </x:row>
    <x:row r="394">
      <x:c r="A394" s="62"/>
      <x:c r="B394" s="62"/>
      <x:c r="C394" s="62"/>
      <x:c r="D394" s="62"/>
      <x:c r="E394" s="62"/>
      <x:c r="F394" s="62"/>
      <x:c r="G394" s="66"/>
      <x:c r="H394" s="68"/>
      <x:c r="I394" s="68"/>
      <x:c r="J394" s="68"/>
      <x:c r="K394" s="68"/>
      <x:c r="L394" s="70"/>
      <x:c r="M394" s="64" t="str">
        <x:f>IF(A394="","",IF(AND(E394&lt;&gt;"",F394&lt;&gt;"",ABS(H394-I394)&lt;=0.01,ABS(J394-K394)&lt;=0.01,L394=1),"一致","检查"))</x:f>
      </x:c>
      <x:c r="N394" s="64" t="str">
        <x:f>IF(A394="","",IF(COUNTIF($A$5:$A$1204,A394)&gt;1,"重复",""))</x:f>
      </x:c>
    </x:row>
    <x:row r="395">
      <x:c r="A395" s="62"/>
      <x:c r="B395" s="62"/>
      <x:c r="C395" s="62"/>
      <x:c r="D395" s="62"/>
      <x:c r="E395" s="62"/>
      <x:c r="F395" s="62"/>
      <x:c r="G395" s="66"/>
      <x:c r="H395" s="68"/>
      <x:c r="I395" s="68"/>
      <x:c r="J395" s="68"/>
      <x:c r="K395" s="68"/>
      <x:c r="L395" s="70"/>
      <x:c r="M395" s="64" t="str">
        <x:f>IF(A395="","",IF(AND(E395&lt;&gt;"",F395&lt;&gt;"",ABS(H395-I395)&lt;=0.01,ABS(J395-K395)&lt;=0.01,L395=1),"一致","检查"))</x:f>
      </x:c>
      <x:c r="N395" s="64" t="str">
        <x:f>IF(A395="","",IF(COUNTIF($A$5:$A$1204,A395)&gt;1,"重复",""))</x:f>
      </x:c>
    </x:row>
    <x:row r="396">
      <x:c r="A396" s="62"/>
      <x:c r="B396" s="62"/>
      <x:c r="C396" s="62"/>
      <x:c r="D396" s="62"/>
      <x:c r="E396" s="62"/>
      <x:c r="F396" s="62"/>
      <x:c r="G396" s="66"/>
      <x:c r="H396" s="68"/>
      <x:c r="I396" s="68"/>
      <x:c r="J396" s="68"/>
      <x:c r="K396" s="68"/>
      <x:c r="L396" s="70"/>
      <x:c r="M396" s="64" t="str">
        <x:f>IF(A396="","",IF(AND(E396&lt;&gt;"",F396&lt;&gt;"",ABS(H396-I396)&lt;=0.01,ABS(J396-K396)&lt;=0.01,L396=1),"一致","检查"))</x:f>
      </x:c>
      <x:c r="N396" s="64" t="str">
        <x:f>IF(A396="","",IF(COUNTIF($A$5:$A$1204,A396)&gt;1,"重复",""))</x:f>
      </x:c>
    </x:row>
    <x:row r="397">
      <x:c r="A397" s="62"/>
      <x:c r="B397" s="62"/>
      <x:c r="C397" s="62"/>
      <x:c r="D397" s="62"/>
      <x:c r="E397" s="62"/>
      <x:c r="F397" s="62"/>
      <x:c r="G397" s="66"/>
      <x:c r="H397" s="68"/>
      <x:c r="I397" s="68"/>
      <x:c r="J397" s="68"/>
      <x:c r="K397" s="68"/>
      <x:c r="L397" s="70"/>
      <x:c r="M397" s="64" t="str">
        <x:f>IF(A397="","",IF(AND(E397&lt;&gt;"",F397&lt;&gt;"",ABS(H397-I397)&lt;=0.01,ABS(J397-K397)&lt;=0.01,L397=1),"一致","检查"))</x:f>
      </x:c>
      <x:c r="N397" s="64" t="str">
        <x:f>IF(A397="","",IF(COUNTIF($A$5:$A$1204,A397)&gt;1,"重复",""))</x:f>
      </x:c>
    </x:row>
    <x:row r="398">
      <x:c r="A398" s="62"/>
      <x:c r="B398" s="62"/>
      <x:c r="C398" s="62"/>
      <x:c r="D398" s="62"/>
      <x:c r="E398" s="62"/>
      <x:c r="F398" s="62"/>
      <x:c r="G398" s="66"/>
      <x:c r="H398" s="68"/>
      <x:c r="I398" s="68"/>
      <x:c r="J398" s="68"/>
      <x:c r="K398" s="68"/>
      <x:c r="L398" s="70"/>
      <x:c r="M398" s="64" t="str">
        <x:f>IF(A398="","",IF(AND(E398&lt;&gt;"",F398&lt;&gt;"",ABS(H398-I398)&lt;=0.01,ABS(J398-K398)&lt;=0.01,L398=1),"一致","检查"))</x:f>
      </x:c>
      <x:c r="N398" s="64" t="str">
        <x:f>IF(A398="","",IF(COUNTIF($A$5:$A$1204,A398)&gt;1,"重复",""))</x:f>
      </x:c>
    </x:row>
    <x:row r="399">
      <x:c r="A399" s="62"/>
      <x:c r="B399" s="62"/>
      <x:c r="C399" s="62"/>
      <x:c r="D399" s="62"/>
      <x:c r="E399" s="62"/>
      <x:c r="F399" s="62"/>
      <x:c r="G399" s="66"/>
      <x:c r="H399" s="68"/>
      <x:c r="I399" s="68"/>
      <x:c r="J399" s="68"/>
      <x:c r="K399" s="68"/>
      <x:c r="L399" s="70"/>
      <x:c r="M399" s="64" t="str">
        <x:f>IF(A399="","",IF(AND(E399&lt;&gt;"",F399&lt;&gt;"",ABS(H399-I399)&lt;=0.01,ABS(J399-K399)&lt;=0.01,L399=1),"一致","检查"))</x:f>
      </x:c>
      <x:c r="N399" s="64" t="str">
        <x:f>IF(A399="","",IF(COUNTIF($A$5:$A$1204,A399)&gt;1,"重复",""))</x:f>
      </x:c>
    </x:row>
    <x:row r="400">
      <x:c r="A400" s="62"/>
      <x:c r="B400" s="62"/>
      <x:c r="C400" s="62"/>
      <x:c r="D400" s="62"/>
      <x:c r="E400" s="62"/>
      <x:c r="F400" s="62"/>
      <x:c r="G400" s="66"/>
      <x:c r="H400" s="68"/>
      <x:c r="I400" s="68"/>
      <x:c r="J400" s="68"/>
      <x:c r="K400" s="68"/>
      <x:c r="L400" s="70"/>
      <x:c r="M400" s="64" t="str">
        <x:f>IF(A400="","",IF(AND(E400&lt;&gt;"",F400&lt;&gt;"",ABS(H400-I400)&lt;=0.01,ABS(J400-K400)&lt;=0.01,L400=1),"一致","检查"))</x:f>
      </x:c>
      <x:c r="N400" s="64" t="str">
        <x:f>IF(A400="","",IF(COUNTIF($A$5:$A$1204,A400)&gt;1,"重复",""))</x:f>
      </x:c>
    </x:row>
    <x:row r="401">
      <x:c r="A401" s="62"/>
      <x:c r="B401" s="62"/>
      <x:c r="C401" s="62"/>
      <x:c r="D401" s="62"/>
      <x:c r="E401" s="62"/>
      <x:c r="F401" s="62"/>
      <x:c r="G401" s="66"/>
      <x:c r="H401" s="68"/>
      <x:c r="I401" s="68"/>
      <x:c r="J401" s="68"/>
      <x:c r="K401" s="68"/>
      <x:c r="L401" s="70"/>
      <x:c r="M401" s="64" t="str">
        <x:f>IF(A401="","",IF(AND(E401&lt;&gt;"",F401&lt;&gt;"",ABS(H401-I401)&lt;=0.01,ABS(J401-K401)&lt;=0.01,L401=1),"一致","检查"))</x:f>
      </x:c>
      <x:c r="N401" s="64" t="str">
        <x:f>IF(A401="","",IF(COUNTIF($A$5:$A$1204,A401)&gt;1,"重复",""))</x:f>
      </x:c>
    </x:row>
    <x:row r="402">
      <x:c r="A402" s="62"/>
      <x:c r="B402" s="62"/>
      <x:c r="C402" s="62"/>
      <x:c r="D402" s="62"/>
      <x:c r="E402" s="62"/>
      <x:c r="F402" s="62"/>
      <x:c r="G402" s="66"/>
      <x:c r="H402" s="68"/>
      <x:c r="I402" s="68"/>
      <x:c r="J402" s="68"/>
      <x:c r="K402" s="68"/>
      <x:c r="L402" s="70"/>
      <x:c r="M402" s="64" t="str">
        <x:f>IF(A402="","",IF(AND(E402&lt;&gt;"",F402&lt;&gt;"",ABS(H402-I402)&lt;=0.01,ABS(J402-K402)&lt;=0.01,L402=1),"一致","检查"))</x:f>
      </x:c>
      <x:c r="N402" s="64" t="str">
        <x:f>IF(A402="","",IF(COUNTIF($A$5:$A$1204,A402)&gt;1,"重复",""))</x:f>
      </x:c>
    </x:row>
    <x:row r="403">
      <x:c r="A403" s="62"/>
      <x:c r="B403" s="62"/>
      <x:c r="C403" s="62"/>
      <x:c r="D403" s="62"/>
      <x:c r="E403" s="62"/>
      <x:c r="F403" s="62"/>
      <x:c r="G403" s="66"/>
      <x:c r="H403" s="68"/>
      <x:c r="I403" s="68"/>
      <x:c r="J403" s="68"/>
      <x:c r="K403" s="68"/>
      <x:c r="L403" s="70"/>
      <x:c r="M403" s="64" t="str">
        <x:f>IF(A403="","",IF(AND(E403&lt;&gt;"",F403&lt;&gt;"",ABS(H403-I403)&lt;=0.01,ABS(J403-K403)&lt;=0.01,L403=1),"一致","检查"))</x:f>
      </x:c>
      <x:c r="N403" s="64" t="str">
        <x:f>IF(A403="","",IF(COUNTIF($A$5:$A$1204,A403)&gt;1,"重复",""))</x:f>
      </x:c>
    </x:row>
    <x:row r="404">
      <x:c r="A404" s="62"/>
      <x:c r="B404" s="62"/>
      <x:c r="C404" s="62"/>
      <x:c r="D404" s="62"/>
      <x:c r="E404" s="62"/>
      <x:c r="F404" s="62"/>
      <x:c r="G404" s="66"/>
      <x:c r="H404" s="68"/>
      <x:c r="I404" s="68"/>
      <x:c r="J404" s="68"/>
      <x:c r="K404" s="68"/>
      <x:c r="L404" s="70"/>
      <x:c r="M404" s="64" t="str">
        <x:f>IF(A404="","",IF(AND(E404&lt;&gt;"",F404&lt;&gt;"",ABS(H404-I404)&lt;=0.01,ABS(J404-K404)&lt;=0.01,L404=1),"一致","检查"))</x:f>
      </x:c>
      <x:c r="N404" s="64" t="str">
        <x:f>IF(A404="","",IF(COUNTIF($A$5:$A$1204,A404)&gt;1,"重复",""))</x:f>
      </x:c>
    </x:row>
    <x:row r="405">
      <x:c r="A405" s="62"/>
      <x:c r="B405" s="62"/>
      <x:c r="C405" s="62"/>
      <x:c r="D405" s="62"/>
      <x:c r="E405" s="62"/>
      <x:c r="F405" s="62"/>
      <x:c r="G405" s="66"/>
      <x:c r="H405" s="68"/>
      <x:c r="I405" s="68"/>
      <x:c r="J405" s="68"/>
      <x:c r="K405" s="68"/>
      <x:c r="L405" s="70"/>
      <x:c r="M405" s="64" t="str">
        <x:f>IF(A405="","",IF(AND(E405&lt;&gt;"",F405&lt;&gt;"",ABS(H405-I405)&lt;=0.01,ABS(J405-K405)&lt;=0.01,L405=1),"一致","检查"))</x:f>
      </x:c>
      <x:c r="N405" s="64" t="str">
        <x:f>IF(A405="","",IF(COUNTIF($A$5:$A$1204,A405)&gt;1,"重复",""))</x:f>
      </x:c>
    </x:row>
    <x:row r="406">
      <x:c r="A406" s="62"/>
      <x:c r="B406" s="62"/>
      <x:c r="C406" s="62"/>
      <x:c r="D406" s="62"/>
      <x:c r="E406" s="62"/>
      <x:c r="F406" s="62"/>
      <x:c r="G406" s="66"/>
      <x:c r="H406" s="68"/>
      <x:c r="I406" s="68"/>
      <x:c r="J406" s="68"/>
      <x:c r="K406" s="68"/>
      <x:c r="L406" s="70"/>
      <x:c r="M406" s="64" t="str">
        <x:f>IF(A406="","",IF(AND(E406&lt;&gt;"",F406&lt;&gt;"",ABS(H406-I406)&lt;=0.01,ABS(J406-K406)&lt;=0.01,L406=1),"一致","检查"))</x:f>
      </x:c>
      <x:c r="N406" s="64" t="str">
        <x:f>IF(A406="","",IF(COUNTIF($A$5:$A$1204,A406)&gt;1,"重复",""))</x:f>
      </x:c>
    </x:row>
    <x:row r="407">
      <x:c r="A407" s="62"/>
      <x:c r="B407" s="62"/>
      <x:c r="C407" s="62"/>
      <x:c r="D407" s="62"/>
      <x:c r="E407" s="62"/>
      <x:c r="F407" s="62"/>
      <x:c r="G407" s="66"/>
      <x:c r="H407" s="68"/>
      <x:c r="I407" s="68"/>
      <x:c r="J407" s="68"/>
      <x:c r="K407" s="68"/>
      <x:c r="L407" s="70"/>
      <x:c r="M407" s="64" t="str">
        <x:f>IF(A407="","",IF(AND(E407&lt;&gt;"",F407&lt;&gt;"",ABS(H407-I407)&lt;=0.01,ABS(J407-K407)&lt;=0.01,L407=1),"一致","检查"))</x:f>
      </x:c>
      <x:c r="N407" s="64" t="str">
        <x:f>IF(A407="","",IF(COUNTIF($A$5:$A$1204,A407)&gt;1,"重复",""))</x:f>
      </x:c>
    </x:row>
    <x:row r="408">
      <x:c r="A408" s="62"/>
      <x:c r="B408" s="62"/>
      <x:c r="C408" s="62"/>
      <x:c r="D408" s="62"/>
      <x:c r="E408" s="62"/>
      <x:c r="F408" s="62"/>
      <x:c r="G408" s="66"/>
      <x:c r="H408" s="68"/>
      <x:c r="I408" s="68"/>
      <x:c r="J408" s="68"/>
      <x:c r="K408" s="68"/>
      <x:c r="L408" s="70"/>
      <x:c r="M408" s="64" t="str">
        <x:f>IF(A408="","",IF(AND(E408&lt;&gt;"",F408&lt;&gt;"",ABS(H408-I408)&lt;=0.01,ABS(J408-K408)&lt;=0.01,L408=1),"一致","检查"))</x:f>
      </x:c>
      <x:c r="N408" s="64" t="str">
        <x:f>IF(A408="","",IF(COUNTIF($A$5:$A$1204,A408)&gt;1,"重复",""))</x:f>
      </x:c>
    </x:row>
    <x:row r="409">
      <x:c r="A409" s="62"/>
      <x:c r="B409" s="62"/>
      <x:c r="C409" s="62"/>
      <x:c r="D409" s="62"/>
      <x:c r="E409" s="62"/>
      <x:c r="F409" s="62"/>
      <x:c r="G409" s="66"/>
      <x:c r="H409" s="68"/>
      <x:c r="I409" s="68"/>
      <x:c r="J409" s="68"/>
      <x:c r="K409" s="68"/>
      <x:c r="L409" s="70"/>
      <x:c r="M409" s="64" t="str">
        <x:f>IF(A409="","",IF(AND(E409&lt;&gt;"",F409&lt;&gt;"",ABS(H409-I409)&lt;=0.01,ABS(J409-K409)&lt;=0.01,L409=1),"一致","检查"))</x:f>
      </x:c>
      <x:c r="N409" s="64" t="str">
        <x:f>IF(A409="","",IF(COUNTIF($A$5:$A$1204,A409)&gt;1,"重复",""))</x:f>
      </x:c>
    </x:row>
    <x:row r="410">
      <x:c r="A410" s="62"/>
      <x:c r="B410" s="62"/>
      <x:c r="C410" s="62"/>
      <x:c r="D410" s="62"/>
      <x:c r="E410" s="62"/>
      <x:c r="F410" s="62"/>
      <x:c r="G410" s="66"/>
      <x:c r="H410" s="68"/>
      <x:c r="I410" s="68"/>
      <x:c r="J410" s="68"/>
      <x:c r="K410" s="68"/>
      <x:c r="L410" s="70"/>
      <x:c r="M410" s="64" t="str">
        <x:f>IF(A410="","",IF(AND(E410&lt;&gt;"",F410&lt;&gt;"",ABS(H410-I410)&lt;=0.01,ABS(J410-K410)&lt;=0.01,L410=1),"一致","检查"))</x:f>
      </x:c>
      <x:c r="N410" s="64" t="str">
        <x:f>IF(A410="","",IF(COUNTIF($A$5:$A$1204,A410)&gt;1,"重复",""))</x:f>
      </x:c>
    </x:row>
    <x:row r="411">
      <x:c r="A411" s="62"/>
      <x:c r="B411" s="62"/>
      <x:c r="C411" s="62"/>
      <x:c r="D411" s="62"/>
      <x:c r="E411" s="62"/>
      <x:c r="F411" s="62"/>
      <x:c r="G411" s="66"/>
      <x:c r="H411" s="68"/>
      <x:c r="I411" s="68"/>
      <x:c r="J411" s="68"/>
      <x:c r="K411" s="68"/>
      <x:c r="L411" s="70"/>
      <x:c r="M411" s="64" t="str">
        <x:f>IF(A411="","",IF(AND(E411&lt;&gt;"",F411&lt;&gt;"",ABS(H411-I411)&lt;=0.01,ABS(J411-K411)&lt;=0.01,L411=1),"一致","检查"))</x:f>
      </x:c>
      <x:c r="N411" s="64" t="str">
        <x:f>IF(A411="","",IF(COUNTIF($A$5:$A$1204,A411)&gt;1,"重复",""))</x:f>
      </x:c>
    </x:row>
    <x:row r="412">
      <x:c r="A412" s="62"/>
      <x:c r="B412" s="62"/>
      <x:c r="C412" s="62"/>
      <x:c r="D412" s="62"/>
      <x:c r="E412" s="62"/>
      <x:c r="F412" s="62"/>
      <x:c r="G412" s="66"/>
      <x:c r="H412" s="68"/>
      <x:c r="I412" s="68"/>
      <x:c r="J412" s="68"/>
      <x:c r="K412" s="68"/>
      <x:c r="L412" s="70"/>
      <x:c r="M412" s="64" t="str">
        <x:f>IF(A412="","",IF(AND(E412&lt;&gt;"",F412&lt;&gt;"",ABS(H412-I412)&lt;=0.01,ABS(J412-K412)&lt;=0.01,L412=1),"一致","检查"))</x:f>
      </x:c>
      <x:c r="N412" s="64" t="str">
        <x:f>IF(A412="","",IF(COUNTIF($A$5:$A$1204,A412)&gt;1,"重复",""))</x:f>
      </x:c>
    </x:row>
    <x:row r="413">
      <x:c r="A413" s="62"/>
      <x:c r="B413" s="62"/>
      <x:c r="C413" s="62"/>
      <x:c r="D413" s="62"/>
      <x:c r="E413" s="62"/>
      <x:c r="F413" s="62"/>
      <x:c r="G413" s="66"/>
      <x:c r="H413" s="68"/>
      <x:c r="I413" s="68"/>
      <x:c r="J413" s="68"/>
      <x:c r="K413" s="68"/>
      <x:c r="L413" s="70"/>
      <x:c r="M413" s="64" t="str">
        <x:f>IF(A413="","",IF(AND(E413&lt;&gt;"",F413&lt;&gt;"",ABS(H413-I413)&lt;=0.01,ABS(J413-K413)&lt;=0.01,L413=1),"一致","检查"))</x:f>
      </x:c>
      <x:c r="N413" s="64" t="str">
        <x:f>IF(A413="","",IF(COUNTIF($A$5:$A$1204,A413)&gt;1,"重复",""))</x:f>
      </x:c>
    </x:row>
    <x:row r="414">
      <x:c r="A414" s="62"/>
      <x:c r="B414" s="62"/>
      <x:c r="C414" s="62"/>
      <x:c r="D414" s="62"/>
      <x:c r="E414" s="62"/>
      <x:c r="F414" s="62"/>
      <x:c r="G414" s="66"/>
      <x:c r="H414" s="68"/>
      <x:c r="I414" s="68"/>
      <x:c r="J414" s="68"/>
      <x:c r="K414" s="68"/>
      <x:c r="L414" s="70"/>
      <x:c r="M414" s="64" t="str">
        <x:f>IF(A414="","",IF(AND(E414&lt;&gt;"",F414&lt;&gt;"",ABS(H414-I414)&lt;=0.01,ABS(J414-K414)&lt;=0.01,L414=1),"一致","检查"))</x:f>
      </x:c>
      <x:c r="N414" s="64" t="str">
        <x:f>IF(A414="","",IF(COUNTIF($A$5:$A$1204,A414)&gt;1,"重复",""))</x:f>
      </x:c>
    </x:row>
    <x:row r="415">
      <x:c r="A415" s="62"/>
      <x:c r="B415" s="62"/>
      <x:c r="C415" s="62"/>
      <x:c r="D415" s="62"/>
      <x:c r="E415" s="62"/>
      <x:c r="F415" s="62"/>
      <x:c r="G415" s="66"/>
      <x:c r="H415" s="68"/>
      <x:c r="I415" s="68"/>
      <x:c r="J415" s="68"/>
      <x:c r="K415" s="68"/>
      <x:c r="L415" s="70"/>
      <x:c r="M415" s="64" t="str">
        <x:f>IF(A415="","",IF(AND(E415&lt;&gt;"",F415&lt;&gt;"",ABS(H415-I415)&lt;=0.01,ABS(J415-K415)&lt;=0.01,L415=1),"一致","检查"))</x:f>
      </x:c>
      <x:c r="N415" s="64" t="str">
        <x:f>IF(A415="","",IF(COUNTIF($A$5:$A$1204,A415)&gt;1,"重复",""))</x:f>
      </x:c>
    </x:row>
    <x:row r="416">
      <x:c r="A416" s="62"/>
      <x:c r="B416" s="62"/>
      <x:c r="C416" s="62"/>
      <x:c r="D416" s="62"/>
      <x:c r="E416" s="62"/>
      <x:c r="F416" s="62"/>
      <x:c r="G416" s="66"/>
      <x:c r="H416" s="68"/>
      <x:c r="I416" s="68"/>
      <x:c r="J416" s="68"/>
      <x:c r="K416" s="68"/>
      <x:c r="L416" s="70"/>
      <x:c r="M416" s="64" t="str">
        <x:f>IF(A416="","",IF(AND(E416&lt;&gt;"",F416&lt;&gt;"",ABS(H416-I416)&lt;=0.01,ABS(J416-K416)&lt;=0.01,L416=1),"一致","检查"))</x:f>
      </x:c>
      <x:c r="N416" s="64" t="str">
        <x:f>IF(A416="","",IF(COUNTIF($A$5:$A$1204,A416)&gt;1,"重复",""))</x:f>
      </x:c>
    </x:row>
    <x:row r="417">
      <x:c r="A417" s="62"/>
      <x:c r="B417" s="62"/>
      <x:c r="C417" s="62"/>
      <x:c r="D417" s="62"/>
      <x:c r="E417" s="62"/>
      <x:c r="F417" s="62"/>
      <x:c r="G417" s="66"/>
      <x:c r="H417" s="68"/>
      <x:c r="I417" s="68"/>
      <x:c r="J417" s="68"/>
      <x:c r="K417" s="68"/>
      <x:c r="L417" s="70"/>
      <x:c r="M417" s="64" t="str">
        <x:f>IF(A417="","",IF(AND(E417&lt;&gt;"",F417&lt;&gt;"",ABS(H417-I417)&lt;=0.01,ABS(J417-K417)&lt;=0.01,L417=1),"一致","检查"))</x:f>
      </x:c>
      <x:c r="N417" s="64" t="str">
        <x:f>IF(A417="","",IF(COUNTIF($A$5:$A$1204,A417)&gt;1,"重复",""))</x:f>
      </x:c>
    </x:row>
    <x:row r="418">
      <x:c r="A418" s="62"/>
      <x:c r="B418" s="62"/>
      <x:c r="C418" s="62"/>
      <x:c r="D418" s="62"/>
      <x:c r="E418" s="62"/>
      <x:c r="F418" s="62"/>
      <x:c r="G418" s="66"/>
      <x:c r="H418" s="68"/>
      <x:c r="I418" s="68"/>
      <x:c r="J418" s="68"/>
      <x:c r="K418" s="68"/>
      <x:c r="L418" s="70"/>
      <x:c r="M418" s="64" t="str">
        <x:f>IF(A418="","",IF(AND(E418&lt;&gt;"",F418&lt;&gt;"",ABS(H418-I418)&lt;=0.01,ABS(J418-K418)&lt;=0.01,L418=1),"一致","检查"))</x:f>
      </x:c>
      <x:c r="N418" s="64" t="str">
        <x:f>IF(A418="","",IF(COUNTIF($A$5:$A$1204,A418)&gt;1,"重复",""))</x:f>
      </x:c>
    </x:row>
    <x:row r="419">
      <x:c r="A419" s="62"/>
      <x:c r="B419" s="62"/>
      <x:c r="C419" s="62"/>
      <x:c r="D419" s="62"/>
      <x:c r="E419" s="62"/>
      <x:c r="F419" s="62"/>
      <x:c r="G419" s="66"/>
      <x:c r="H419" s="68"/>
      <x:c r="I419" s="68"/>
      <x:c r="J419" s="68"/>
      <x:c r="K419" s="68"/>
      <x:c r="L419" s="70"/>
      <x:c r="M419" s="64" t="str">
        <x:f>IF(A419="","",IF(AND(E419&lt;&gt;"",F419&lt;&gt;"",ABS(H419-I419)&lt;=0.01,ABS(J419-K419)&lt;=0.01,L419=1),"一致","检查"))</x:f>
      </x:c>
      <x:c r="N419" s="64" t="str">
        <x:f>IF(A419="","",IF(COUNTIF($A$5:$A$1204,A419)&gt;1,"重复",""))</x:f>
      </x:c>
    </x:row>
    <x:row r="420">
      <x:c r="A420" s="62"/>
      <x:c r="B420" s="62"/>
      <x:c r="C420" s="62"/>
      <x:c r="D420" s="62"/>
      <x:c r="E420" s="62"/>
      <x:c r="F420" s="62"/>
      <x:c r="G420" s="66"/>
      <x:c r="H420" s="68"/>
      <x:c r="I420" s="68"/>
      <x:c r="J420" s="68"/>
      <x:c r="K420" s="68"/>
      <x:c r="L420" s="70"/>
      <x:c r="M420" s="64" t="str">
        <x:f>IF(A420="","",IF(AND(E420&lt;&gt;"",F420&lt;&gt;"",ABS(H420-I420)&lt;=0.01,ABS(J420-K420)&lt;=0.01,L420=1),"一致","检查"))</x:f>
      </x:c>
      <x:c r="N420" s="64" t="str">
        <x:f>IF(A420="","",IF(COUNTIF($A$5:$A$1204,A420)&gt;1,"重复",""))</x:f>
      </x:c>
    </x:row>
    <x:row r="421">
      <x:c r="A421" s="62"/>
      <x:c r="B421" s="62"/>
      <x:c r="C421" s="62"/>
      <x:c r="D421" s="62"/>
      <x:c r="E421" s="62"/>
      <x:c r="F421" s="62"/>
      <x:c r="G421" s="66"/>
      <x:c r="H421" s="68"/>
      <x:c r="I421" s="68"/>
      <x:c r="J421" s="68"/>
      <x:c r="K421" s="68"/>
      <x:c r="L421" s="70"/>
      <x:c r="M421" s="64" t="str">
        <x:f>IF(A421="","",IF(AND(E421&lt;&gt;"",F421&lt;&gt;"",ABS(H421-I421)&lt;=0.01,ABS(J421-K421)&lt;=0.01,L421=1),"一致","检查"))</x:f>
      </x:c>
      <x:c r="N421" s="64" t="str">
        <x:f>IF(A421="","",IF(COUNTIF($A$5:$A$1204,A421)&gt;1,"重复",""))</x:f>
      </x:c>
    </x:row>
    <x:row r="422">
      <x:c r="A422" s="62"/>
      <x:c r="B422" s="62"/>
      <x:c r="C422" s="62"/>
      <x:c r="D422" s="62"/>
      <x:c r="E422" s="62"/>
      <x:c r="F422" s="62"/>
      <x:c r="G422" s="66"/>
      <x:c r="H422" s="68"/>
      <x:c r="I422" s="68"/>
      <x:c r="J422" s="68"/>
      <x:c r="K422" s="68"/>
      <x:c r="L422" s="70"/>
      <x:c r="M422" s="64" t="str">
        <x:f>IF(A422="","",IF(AND(E422&lt;&gt;"",F422&lt;&gt;"",ABS(H422-I422)&lt;=0.01,ABS(J422-K422)&lt;=0.01,L422=1),"一致","检查"))</x:f>
      </x:c>
      <x:c r="N422" s="64" t="str">
        <x:f>IF(A422="","",IF(COUNTIF($A$5:$A$1204,A422)&gt;1,"重复",""))</x:f>
      </x:c>
    </x:row>
    <x:row r="423">
      <x:c r="A423" s="62"/>
      <x:c r="B423" s="62"/>
      <x:c r="C423" s="62"/>
      <x:c r="D423" s="62"/>
      <x:c r="E423" s="62"/>
      <x:c r="F423" s="62"/>
      <x:c r="G423" s="66"/>
      <x:c r="H423" s="68"/>
      <x:c r="I423" s="68"/>
      <x:c r="J423" s="68"/>
      <x:c r="K423" s="68"/>
      <x:c r="L423" s="70"/>
      <x:c r="M423" s="64" t="str">
        <x:f>IF(A423="","",IF(AND(E423&lt;&gt;"",F423&lt;&gt;"",ABS(H423-I423)&lt;=0.01,ABS(J423-K423)&lt;=0.01,L423=1),"一致","检查"))</x:f>
      </x:c>
      <x:c r="N423" s="64" t="str">
        <x:f>IF(A423="","",IF(COUNTIF($A$5:$A$1204,A423)&gt;1,"重复",""))</x:f>
      </x:c>
    </x:row>
    <x:row r="424">
      <x:c r="A424" s="62"/>
      <x:c r="B424" s="62"/>
      <x:c r="C424" s="62"/>
      <x:c r="D424" s="62"/>
      <x:c r="E424" s="62"/>
      <x:c r="F424" s="62"/>
      <x:c r="G424" s="66"/>
      <x:c r="H424" s="68"/>
      <x:c r="I424" s="68"/>
      <x:c r="J424" s="68"/>
      <x:c r="K424" s="68"/>
      <x:c r="L424" s="70"/>
      <x:c r="M424" s="64" t="str">
        <x:f>IF(A424="","",IF(AND(E424&lt;&gt;"",F424&lt;&gt;"",ABS(H424-I424)&lt;=0.01,ABS(J424-K424)&lt;=0.01,L424=1),"一致","检查"))</x:f>
      </x:c>
      <x:c r="N424" s="64" t="str">
        <x:f>IF(A424="","",IF(COUNTIF($A$5:$A$1204,A424)&gt;1,"重复",""))</x:f>
      </x:c>
    </x:row>
    <x:row r="425">
      <x:c r="A425" s="62"/>
      <x:c r="B425" s="62"/>
      <x:c r="C425" s="62"/>
      <x:c r="D425" s="62"/>
      <x:c r="E425" s="62"/>
      <x:c r="F425" s="62"/>
      <x:c r="G425" s="66"/>
      <x:c r="H425" s="68"/>
      <x:c r="I425" s="68"/>
      <x:c r="J425" s="68"/>
      <x:c r="K425" s="68"/>
      <x:c r="L425" s="70"/>
      <x:c r="M425" s="64" t="str">
        <x:f>IF(A425="","",IF(AND(E425&lt;&gt;"",F425&lt;&gt;"",ABS(H425-I425)&lt;=0.01,ABS(J425-K425)&lt;=0.01,L425=1),"一致","检查"))</x:f>
      </x:c>
      <x:c r="N425" s="64" t="str">
        <x:f>IF(A425="","",IF(COUNTIF($A$5:$A$1204,A425)&gt;1,"重复",""))</x:f>
      </x:c>
    </x:row>
    <x:row r="426">
      <x:c r="A426" s="62"/>
      <x:c r="B426" s="62"/>
      <x:c r="C426" s="62"/>
      <x:c r="D426" s="62"/>
      <x:c r="E426" s="62"/>
      <x:c r="F426" s="62"/>
      <x:c r="G426" s="66"/>
      <x:c r="H426" s="68"/>
      <x:c r="I426" s="68"/>
      <x:c r="J426" s="68"/>
      <x:c r="K426" s="68"/>
      <x:c r="L426" s="70"/>
      <x:c r="M426" s="64" t="str">
        <x:f>IF(A426="","",IF(AND(E426&lt;&gt;"",F426&lt;&gt;"",ABS(H426-I426)&lt;=0.01,ABS(J426-K426)&lt;=0.01,L426=1),"一致","检查"))</x:f>
      </x:c>
      <x:c r="N426" s="64" t="str">
        <x:f>IF(A426="","",IF(COUNTIF($A$5:$A$1204,A426)&gt;1,"重复",""))</x:f>
      </x:c>
    </x:row>
    <x:row r="427">
      <x:c r="A427" s="62"/>
      <x:c r="B427" s="62"/>
      <x:c r="C427" s="62"/>
      <x:c r="D427" s="62"/>
      <x:c r="E427" s="62"/>
      <x:c r="F427" s="62"/>
      <x:c r="G427" s="66"/>
      <x:c r="H427" s="68"/>
      <x:c r="I427" s="68"/>
      <x:c r="J427" s="68"/>
      <x:c r="K427" s="68"/>
      <x:c r="L427" s="70"/>
      <x:c r="M427" s="64" t="str">
        <x:f>IF(A427="","",IF(AND(E427&lt;&gt;"",F427&lt;&gt;"",ABS(H427-I427)&lt;=0.01,ABS(J427-K427)&lt;=0.01,L427=1),"一致","检查"))</x:f>
      </x:c>
      <x:c r="N427" s="64" t="str">
        <x:f>IF(A427="","",IF(COUNTIF($A$5:$A$1204,A427)&gt;1,"重复",""))</x:f>
      </x:c>
    </x:row>
    <x:row r="428">
      <x:c r="A428" s="62"/>
      <x:c r="B428" s="62"/>
      <x:c r="C428" s="62"/>
      <x:c r="D428" s="62"/>
      <x:c r="E428" s="62"/>
      <x:c r="F428" s="62"/>
      <x:c r="G428" s="66"/>
      <x:c r="H428" s="68"/>
      <x:c r="I428" s="68"/>
      <x:c r="J428" s="68"/>
      <x:c r="K428" s="68"/>
      <x:c r="L428" s="70"/>
      <x:c r="M428" s="64" t="str">
        <x:f>IF(A428="","",IF(AND(E428&lt;&gt;"",F428&lt;&gt;"",ABS(H428-I428)&lt;=0.01,ABS(J428-K428)&lt;=0.01,L428=1),"一致","检查"))</x:f>
      </x:c>
      <x:c r="N428" s="64" t="str">
        <x:f>IF(A428="","",IF(COUNTIF($A$5:$A$1204,A428)&gt;1,"重复",""))</x:f>
      </x:c>
    </x:row>
    <x:row r="429">
      <x:c r="A429" s="62"/>
      <x:c r="B429" s="62"/>
      <x:c r="C429" s="62"/>
      <x:c r="D429" s="62"/>
      <x:c r="E429" s="62"/>
      <x:c r="F429" s="62"/>
      <x:c r="G429" s="66"/>
      <x:c r="H429" s="68"/>
      <x:c r="I429" s="68"/>
      <x:c r="J429" s="68"/>
      <x:c r="K429" s="68"/>
      <x:c r="L429" s="70"/>
      <x:c r="M429" s="64" t="str">
        <x:f>IF(A429="","",IF(AND(E429&lt;&gt;"",F429&lt;&gt;"",ABS(H429-I429)&lt;=0.01,ABS(J429-K429)&lt;=0.01,L429=1),"一致","检查"))</x:f>
      </x:c>
      <x:c r="N429" s="64" t="str">
        <x:f>IF(A429="","",IF(COUNTIF($A$5:$A$1204,A429)&gt;1,"重复",""))</x:f>
      </x:c>
    </x:row>
    <x:row r="430">
      <x:c r="A430" s="62"/>
      <x:c r="B430" s="62"/>
      <x:c r="C430" s="62"/>
      <x:c r="D430" s="62"/>
      <x:c r="E430" s="62"/>
      <x:c r="F430" s="62"/>
      <x:c r="G430" s="66"/>
      <x:c r="H430" s="68"/>
      <x:c r="I430" s="68"/>
      <x:c r="J430" s="68"/>
      <x:c r="K430" s="68"/>
      <x:c r="L430" s="70"/>
      <x:c r="M430" s="64" t="str">
        <x:f>IF(A430="","",IF(AND(E430&lt;&gt;"",F430&lt;&gt;"",ABS(H430-I430)&lt;=0.01,ABS(J430-K430)&lt;=0.01,L430=1),"一致","检查"))</x:f>
      </x:c>
      <x:c r="N430" s="64" t="str">
        <x:f>IF(A430="","",IF(COUNTIF($A$5:$A$1204,A430)&gt;1,"重复",""))</x:f>
      </x:c>
    </x:row>
    <x:row r="431">
      <x:c r="A431" s="62"/>
      <x:c r="B431" s="62"/>
      <x:c r="C431" s="62"/>
      <x:c r="D431" s="62"/>
      <x:c r="E431" s="62"/>
      <x:c r="F431" s="62"/>
      <x:c r="G431" s="66"/>
      <x:c r="H431" s="68"/>
      <x:c r="I431" s="68"/>
      <x:c r="J431" s="68"/>
      <x:c r="K431" s="68"/>
      <x:c r="L431" s="70"/>
      <x:c r="M431" s="64" t="str">
        <x:f>IF(A431="","",IF(AND(E431&lt;&gt;"",F431&lt;&gt;"",ABS(H431-I431)&lt;=0.01,ABS(J431-K431)&lt;=0.01,L431=1),"一致","检查"))</x:f>
      </x:c>
      <x:c r="N431" s="64" t="str">
        <x:f>IF(A431="","",IF(COUNTIF($A$5:$A$1204,A431)&gt;1,"重复",""))</x:f>
      </x:c>
    </x:row>
    <x:row r="432">
      <x:c r="A432" s="62"/>
      <x:c r="B432" s="62"/>
      <x:c r="C432" s="62"/>
      <x:c r="D432" s="62"/>
      <x:c r="E432" s="62"/>
      <x:c r="F432" s="62"/>
      <x:c r="G432" s="66"/>
      <x:c r="H432" s="68"/>
      <x:c r="I432" s="68"/>
      <x:c r="J432" s="68"/>
      <x:c r="K432" s="68"/>
      <x:c r="L432" s="70"/>
      <x:c r="M432" s="64" t="str">
        <x:f>IF(A432="","",IF(AND(E432&lt;&gt;"",F432&lt;&gt;"",ABS(H432-I432)&lt;=0.01,ABS(J432-K432)&lt;=0.01,L432=1),"一致","检查"))</x:f>
      </x:c>
      <x:c r="N432" s="64" t="str">
        <x:f>IF(A432="","",IF(COUNTIF($A$5:$A$1204,A432)&gt;1,"重复",""))</x:f>
      </x:c>
    </x:row>
    <x:row r="433">
      <x:c r="A433" s="62"/>
      <x:c r="B433" s="62"/>
      <x:c r="C433" s="62"/>
      <x:c r="D433" s="62"/>
      <x:c r="E433" s="62"/>
      <x:c r="F433" s="62"/>
      <x:c r="G433" s="66"/>
      <x:c r="H433" s="68"/>
      <x:c r="I433" s="68"/>
      <x:c r="J433" s="68"/>
      <x:c r="K433" s="68"/>
      <x:c r="L433" s="70"/>
      <x:c r="M433" s="64" t="str">
        <x:f>IF(A433="","",IF(AND(E433&lt;&gt;"",F433&lt;&gt;"",ABS(H433-I433)&lt;=0.01,ABS(J433-K433)&lt;=0.01,L433=1),"一致","检查"))</x:f>
      </x:c>
      <x:c r="N433" s="64" t="str">
        <x:f>IF(A433="","",IF(COUNTIF($A$5:$A$1204,A433)&gt;1,"重复",""))</x:f>
      </x:c>
    </x:row>
    <x:row r="434">
      <x:c r="A434" s="62"/>
      <x:c r="B434" s="62"/>
      <x:c r="C434" s="62"/>
      <x:c r="D434" s="62"/>
      <x:c r="E434" s="62"/>
      <x:c r="F434" s="62"/>
      <x:c r="G434" s="66"/>
      <x:c r="H434" s="68"/>
      <x:c r="I434" s="68"/>
      <x:c r="J434" s="68"/>
      <x:c r="K434" s="68"/>
      <x:c r="L434" s="70"/>
      <x:c r="M434" s="64" t="str">
        <x:f>IF(A434="","",IF(AND(E434&lt;&gt;"",F434&lt;&gt;"",ABS(H434-I434)&lt;=0.01,ABS(J434-K434)&lt;=0.01,L434=1),"一致","检查"))</x:f>
      </x:c>
      <x:c r="N434" s="64" t="str">
        <x:f>IF(A434="","",IF(COUNTIF($A$5:$A$1204,A434)&gt;1,"重复",""))</x:f>
      </x:c>
    </x:row>
    <x:row r="435">
      <x:c r="A435" s="62"/>
      <x:c r="B435" s="62"/>
      <x:c r="C435" s="62"/>
      <x:c r="D435" s="62"/>
      <x:c r="E435" s="62"/>
      <x:c r="F435" s="62"/>
      <x:c r="G435" s="66"/>
      <x:c r="H435" s="68"/>
      <x:c r="I435" s="68"/>
      <x:c r="J435" s="68"/>
      <x:c r="K435" s="68"/>
      <x:c r="L435" s="70"/>
      <x:c r="M435" s="64" t="str">
        <x:f>IF(A435="","",IF(AND(E435&lt;&gt;"",F435&lt;&gt;"",ABS(H435-I435)&lt;=0.01,ABS(J435-K435)&lt;=0.01,L435=1),"一致","检查"))</x:f>
      </x:c>
      <x:c r="N435" s="64" t="str">
        <x:f>IF(A435="","",IF(COUNTIF($A$5:$A$1204,A435)&gt;1,"重复",""))</x:f>
      </x:c>
    </x:row>
    <x:row r="436">
      <x:c r="A436" s="62"/>
      <x:c r="B436" s="62"/>
      <x:c r="C436" s="62"/>
      <x:c r="D436" s="62"/>
      <x:c r="E436" s="62"/>
      <x:c r="F436" s="62"/>
      <x:c r="G436" s="66"/>
      <x:c r="H436" s="68"/>
      <x:c r="I436" s="68"/>
      <x:c r="J436" s="68"/>
      <x:c r="K436" s="68"/>
      <x:c r="L436" s="70"/>
      <x:c r="M436" s="64" t="str">
        <x:f>IF(A436="","",IF(AND(E436&lt;&gt;"",F436&lt;&gt;"",ABS(H436-I436)&lt;=0.01,ABS(J436-K436)&lt;=0.01,L436=1),"一致","检查"))</x:f>
      </x:c>
      <x:c r="N436" s="64" t="str">
        <x:f>IF(A436="","",IF(COUNTIF($A$5:$A$1204,A436)&gt;1,"重复",""))</x:f>
      </x:c>
    </x:row>
    <x:row r="437">
      <x:c r="A437" s="62"/>
      <x:c r="B437" s="62"/>
      <x:c r="C437" s="62"/>
      <x:c r="D437" s="62"/>
      <x:c r="E437" s="62"/>
      <x:c r="F437" s="62"/>
      <x:c r="G437" s="66"/>
      <x:c r="H437" s="68"/>
      <x:c r="I437" s="68"/>
      <x:c r="J437" s="68"/>
      <x:c r="K437" s="68"/>
      <x:c r="L437" s="70"/>
      <x:c r="M437" s="64" t="str">
        <x:f>IF(A437="","",IF(AND(E437&lt;&gt;"",F437&lt;&gt;"",ABS(H437-I437)&lt;=0.01,ABS(J437-K437)&lt;=0.01,L437=1),"一致","检查"))</x:f>
      </x:c>
      <x:c r="N437" s="64" t="str">
        <x:f>IF(A437="","",IF(COUNTIF($A$5:$A$1204,A437)&gt;1,"重复",""))</x:f>
      </x:c>
    </x:row>
    <x:row r="438">
      <x:c r="A438" s="62"/>
      <x:c r="B438" s="62"/>
      <x:c r="C438" s="62"/>
      <x:c r="D438" s="62"/>
      <x:c r="E438" s="62"/>
      <x:c r="F438" s="62"/>
      <x:c r="G438" s="66"/>
      <x:c r="H438" s="68"/>
      <x:c r="I438" s="68"/>
      <x:c r="J438" s="68"/>
      <x:c r="K438" s="68"/>
      <x:c r="L438" s="70"/>
      <x:c r="M438" s="64" t="str">
        <x:f>IF(A438="","",IF(AND(E438&lt;&gt;"",F438&lt;&gt;"",ABS(H438-I438)&lt;=0.01,ABS(J438-K438)&lt;=0.01,L438=1),"一致","检查"))</x:f>
      </x:c>
      <x:c r="N438" s="64" t="str">
        <x:f>IF(A438="","",IF(COUNTIF($A$5:$A$1204,A438)&gt;1,"重复",""))</x:f>
      </x:c>
    </x:row>
    <x:row r="439">
      <x:c r="A439" s="62"/>
      <x:c r="B439" s="62"/>
      <x:c r="C439" s="62"/>
      <x:c r="D439" s="62"/>
      <x:c r="E439" s="62"/>
      <x:c r="F439" s="62"/>
      <x:c r="G439" s="66"/>
      <x:c r="H439" s="68"/>
      <x:c r="I439" s="68"/>
      <x:c r="J439" s="68"/>
      <x:c r="K439" s="68"/>
      <x:c r="L439" s="70"/>
      <x:c r="M439" s="64" t="str">
        <x:f>IF(A439="","",IF(AND(E439&lt;&gt;"",F439&lt;&gt;"",ABS(H439-I439)&lt;=0.01,ABS(J439-K439)&lt;=0.01,L439=1),"一致","检查"))</x:f>
      </x:c>
      <x:c r="N439" s="64" t="str">
        <x:f>IF(A439="","",IF(COUNTIF($A$5:$A$1204,A439)&gt;1,"重复",""))</x:f>
      </x:c>
    </x:row>
    <x:row r="440">
      <x:c r="A440" s="62"/>
      <x:c r="B440" s="62"/>
      <x:c r="C440" s="62"/>
      <x:c r="D440" s="62"/>
      <x:c r="E440" s="62"/>
      <x:c r="F440" s="62"/>
      <x:c r="G440" s="66"/>
      <x:c r="H440" s="68"/>
      <x:c r="I440" s="68"/>
      <x:c r="J440" s="68"/>
      <x:c r="K440" s="68"/>
      <x:c r="L440" s="70"/>
      <x:c r="M440" s="64" t="str">
        <x:f>IF(A440="","",IF(AND(E440&lt;&gt;"",F440&lt;&gt;"",ABS(H440-I440)&lt;=0.01,ABS(J440-K440)&lt;=0.01,L440=1),"一致","检查"))</x:f>
      </x:c>
      <x:c r="N440" s="64" t="str">
        <x:f>IF(A440="","",IF(COUNTIF($A$5:$A$1204,A440)&gt;1,"重复",""))</x:f>
      </x:c>
    </x:row>
    <x:row r="441">
      <x:c r="A441" s="62"/>
      <x:c r="B441" s="62"/>
      <x:c r="C441" s="62"/>
      <x:c r="D441" s="62"/>
      <x:c r="E441" s="62"/>
      <x:c r="F441" s="62"/>
      <x:c r="G441" s="66"/>
      <x:c r="H441" s="68"/>
      <x:c r="I441" s="68"/>
      <x:c r="J441" s="68"/>
      <x:c r="K441" s="68"/>
      <x:c r="L441" s="70"/>
      <x:c r="M441" s="64" t="str">
        <x:f>IF(A441="","",IF(AND(E441&lt;&gt;"",F441&lt;&gt;"",ABS(H441-I441)&lt;=0.01,ABS(J441-K441)&lt;=0.01,L441=1),"一致","检查"))</x:f>
      </x:c>
      <x:c r="N441" s="64" t="str">
        <x:f>IF(A441="","",IF(COUNTIF($A$5:$A$1204,A441)&gt;1,"重复",""))</x:f>
      </x:c>
    </x:row>
    <x:row r="442">
      <x:c r="A442" s="62"/>
      <x:c r="B442" s="62"/>
      <x:c r="C442" s="62"/>
      <x:c r="D442" s="62"/>
      <x:c r="E442" s="62"/>
      <x:c r="F442" s="62"/>
      <x:c r="G442" s="66"/>
      <x:c r="H442" s="68"/>
      <x:c r="I442" s="68"/>
      <x:c r="J442" s="68"/>
      <x:c r="K442" s="68"/>
      <x:c r="L442" s="70"/>
      <x:c r="M442" s="64" t="str">
        <x:f>IF(A442="","",IF(AND(E442&lt;&gt;"",F442&lt;&gt;"",ABS(H442-I442)&lt;=0.01,ABS(J442-K442)&lt;=0.01,L442=1),"一致","检查"))</x:f>
      </x:c>
      <x:c r="N442" s="64" t="str">
        <x:f>IF(A442="","",IF(COUNTIF($A$5:$A$1204,A442)&gt;1,"重复",""))</x:f>
      </x:c>
    </x:row>
    <x:row r="443">
      <x:c r="A443" s="62"/>
      <x:c r="B443" s="62"/>
      <x:c r="C443" s="62"/>
      <x:c r="D443" s="62"/>
      <x:c r="E443" s="62"/>
      <x:c r="F443" s="62"/>
      <x:c r="G443" s="66"/>
      <x:c r="H443" s="68"/>
      <x:c r="I443" s="68"/>
      <x:c r="J443" s="68"/>
      <x:c r="K443" s="68"/>
      <x:c r="L443" s="70"/>
      <x:c r="M443" s="64" t="str">
        <x:f>IF(A443="","",IF(AND(E443&lt;&gt;"",F443&lt;&gt;"",ABS(H443-I443)&lt;=0.01,ABS(J443-K443)&lt;=0.01,L443=1),"一致","检查"))</x:f>
      </x:c>
      <x:c r="N443" s="64" t="str">
        <x:f>IF(A443="","",IF(COUNTIF($A$5:$A$1204,A443)&gt;1,"重复",""))</x:f>
      </x:c>
    </x:row>
    <x:row r="444">
      <x:c r="A444" s="62"/>
      <x:c r="B444" s="62"/>
      <x:c r="C444" s="62"/>
      <x:c r="D444" s="62"/>
      <x:c r="E444" s="62"/>
      <x:c r="F444" s="62"/>
      <x:c r="G444" s="66"/>
      <x:c r="H444" s="68"/>
      <x:c r="I444" s="68"/>
      <x:c r="J444" s="68"/>
      <x:c r="K444" s="68"/>
      <x:c r="L444" s="70"/>
      <x:c r="M444" s="64" t="str">
        <x:f>IF(A444="","",IF(AND(E444&lt;&gt;"",F444&lt;&gt;"",ABS(H444-I444)&lt;=0.01,ABS(J444-K444)&lt;=0.01,L444=1),"一致","检查"))</x:f>
      </x:c>
      <x:c r="N444" s="64" t="str">
        <x:f>IF(A444="","",IF(COUNTIF($A$5:$A$1204,A444)&gt;1,"重复",""))</x:f>
      </x:c>
    </x:row>
    <x:row r="445">
      <x:c r="A445" s="62"/>
      <x:c r="B445" s="62"/>
      <x:c r="C445" s="62"/>
      <x:c r="D445" s="62"/>
      <x:c r="E445" s="62"/>
      <x:c r="F445" s="62"/>
      <x:c r="G445" s="66"/>
      <x:c r="H445" s="68"/>
      <x:c r="I445" s="68"/>
      <x:c r="J445" s="68"/>
      <x:c r="K445" s="68"/>
      <x:c r="L445" s="70"/>
      <x:c r="M445" s="64" t="str">
        <x:f>IF(A445="","",IF(AND(E445&lt;&gt;"",F445&lt;&gt;"",ABS(H445-I445)&lt;=0.01,ABS(J445-K445)&lt;=0.01,L445=1),"一致","检查"))</x:f>
      </x:c>
      <x:c r="N445" s="64" t="str">
        <x:f>IF(A445="","",IF(COUNTIF($A$5:$A$1204,A445)&gt;1,"重复",""))</x:f>
      </x:c>
    </x:row>
    <x:row r="446">
      <x:c r="A446" s="62"/>
      <x:c r="B446" s="62"/>
      <x:c r="C446" s="62"/>
      <x:c r="D446" s="62"/>
      <x:c r="E446" s="62"/>
      <x:c r="F446" s="62"/>
      <x:c r="G446" s="66"/>
      <x:c r="H446" s="68"/>
      <x:c r="I446" s="68"/>
      <x:c r="J446" s="68"/>
      <x:c r="K446" s="68"/>
      <x:c r="L446" s="70"/>
      <x:c r="M446" s="64" t="str">
        <x:f>IF(A446="","",IF(AND(E446&lt;&gt;"",F446&lt;&gt;"",ABS(H446-I446)&lt;=0.01,ABS(J446-K446)&lt;=0.01,L446=1),"一致","检查"))</x:f>
      </x:c>
      <x:c r="N446" s="64" t="str">
        <x:f>IF(A446="","",IF(COUNTIF($A$5:$A$1204,A446)&gt;1,"重复",""))</x:f>
      </x:c>
    </x:row>
    <x:row r="447">
      <x:c r="A447" s="62"/>
      <x:c r="B447" s="62"/>
      <x:c r="C447" s="62"/>
      <x:c r="D447" s="62"/>
      <x:c r="E447" s="62"/>
      <x:c r="F447" s="62"/>
      <x:c r="G447" s="66"/>
      <x:c r="H447" s="68"/>
      <x:c r="I447" s="68"/>
      <x:c r="J447" s="68"/>
      <x:c r="K447" s="68"/>
      <x:c r="L447" s="70"/>
      <x:c r="M447" s="64" t="str">
        <x:f>IF(A447="","",IF(AND(E447&lt;&gt;"",F447&lt;&gt;"",ABS(H447-I447)&lt;=0.01,ABS(J447-K447)&lt;=0.01,L447=1),"一致","检查"))</x:f>
      </x:c>
      <x:c r="N447" s="64" t="str">
        <x:f>IF(A447="","",IF(COUNTIF($A$5:$A$1204,A447)&gt;1,"重复",""))</x:f>
      </x:c>
    </x:row>
    <x:row r="448">
      <x:c r="A448" s="62"/>
      <x:c r="B448" s="62"/>
      <x:c r="C448" s="62"/>
      <x:c r="D448" s="62"/>
      <x:c r="E448" s="62"/>
      <x:c r="F448" s="62"/>
      <x:c r="G448" s="66"/>
      <x:c r="H448" s="68"/>
      <x:c r="I448" s="68"/>
      <x:c r="J448" s="68"/>
      <x:c r="K448" s="68"/>
      <x:c r="L448" s="70"/>
      <x:c r="M448" s="64" t="str">
        <x:f>IF(A448="","",IF(AND(E448&lt;&gt;"",F448&lt;&gt;"",ABS(H448-I448)&lt;=0.01,ABS(J448-K448)&lt;=0.01,L448=1),"一致","检查"))</x:f>
      </x:c>
      <x:c r="N448" s="64" t="str">
        <x:f>IF(A448="","",IF(COUNTIF($A$5:$A$1204,A448)&gt;1,"重复",""))</x:f>
      </x:c>
    </x:row>
    <x:row r="449">
      <x:c r="A449" s="62"/>
      <x:c r="B449" s="62"/>
      <x:c r="C449" s="62"/>
      <x:c r="D449" s="62"/>
      <x:c r="E449" s="62"/>
      <x:c r="F449" s="62"/>
      <x:c r="G449" s="66"/>
      <x:c r="H449" s="68"/>
      <x:c r="I449" s="68"/>
      <x:c r="J449" s="68"/>
      <x:c r="K449" s="68"/>
      <x:c r="L449" s="70"/>
      <x:c r="M449" s="64" t="str">
        <x:f>IF(A449="","",IF(AND(E449&lt;&gt;"",F449&lt;&gt;"",ABS(H449-I449)&lt;=0.01,ABS(J449-K449)&lt;=0.01,L449=1),"一致","检查"))</x:f>
      </x:c>
      <x:c r="N449" s="64" t="str">
        <x:f>IF(A449="","",IF(COUNTIF($A$5:$A$1204,A449)&gt;1,"重复",""))</x:f>
      </x:c>
    </x:row>
    <x:row r="450">
      <x:c r="A450" s="62"/>
      <x:c r="B450" s="62"/>
      <x:c r="C450" s="62"/>
      <x:c r="D450" s="62"/>
      <x:c r="E450" s="62"/>
      <x:c r="F450" s="62"/>
      <x:c r="G450" s="66"/>
      <x:c r="H450" s="68"/>
      <x:c r="I450" s="68"/>
      <x:c r="J450" s="68"/>
      <x:c r="K450" s="68"/>
      <x:c r="L450" s="70"/>
      <x:c r="M450" s="64" t="str">
        <x:f>IF(A450="","",IF(AND(E450&lt;&gt;"",F450&lt;&gt;"",ABS(H450-I450)&lt;=0.01,ABS(J450-K450)&lt;=0.01,L450=1),"一致","检查"))</x:f>
      </x:c>
      <x:c r="N450" s="64" t="str">
        <x:f>IF(A450="","",IF(COUNTIF($A$5:$A$1204,A450)&gt;1,"重复",""))</x:f>
      </x:c>
    </x:row>
    <x:row r="451">
      <x:c r="A451" s="62"/>
      <x:c r="B451" s="62"/>
      <x:c r="C451" s="62"/>
      <x:c r="D451" s="62"/>
      <x:c r="E451" s="62"/>
      <x:c r="F451" s="62"/>
      <x:c r="G451" s="66"/>
      <x:c r="H451" s="68"/>
      <x:c r="I451" s="68"/>
      <x:c r="J451" s="68"/>
      <x:c r="K451" s="68"/>
      <x:c r="L451" s="70"/>
      <x:c r="M451" s="64" t="str">
        <x:f>IF(A451="","",IF(AND(E451&lt;&gt;"",F451&lt;&gt;"",ABS(H451-I451)&lt;=0.01,ABS(J451-K451)&lt;=0.01,L451=1),"一致","检查"))</x:f>
      </x:c>
      <x:c r="N451" s="64" t="str">
        <x:f>IF(A451="","",IF(COUNTIF($A$5:$A$1204,A451)&gt;1,"重复",""))</x:f>
      </x:c>
    </x:row>
    <x:row r="452">
      <x:c r="A452" s="62"/>
      <x:c r="B452" s="62"/>
      <x:c r="C452" s="62"/>
      <x:c r="D452" s="62"/>
      <x:c r="E452" s="62"/>
      <x:c r="F452" s="62"/>
      <x:c r="G452" s="66"/>
      <x:c r="H452" s="68"/>
      <x:c r="I452" s="68"/>
      <x:c r="J452" s="68"/>
      <x:c r="K452" s="68"/>
      <x:c r="L452" s="70"/>
      <x:c r="M452" s="64" t="str">
        <x:f>IF(A452="","",IF(AND(E452&lt;&gt;"",F452&lt;&gt;"",ABS(H452-I452)&lt;=0.01,ABS(J452-K452)&lt;=0.01,L452=1),"一致","检查"))</x:f>
      </x:c>
      <x:c r="N452" s="64" t="str">
        <x:f>IF(A452="","",IF(COUNTIF($A$5:$A$1204,A452)&gt;1,"重复",""))</x:f>
      </x:c>
    </x:row>
    <x:row r="453">
      <x:c r="A453" s="62"/>
      <x:c r="B453" s="62"/>
      <x:c r="C453" s="62"/>
      <x:c r="D453" s="62"/>
      <x:c r="E453" s="62"/>
      <x:c r="F453" s="62"/>
      <x:c r="G453" s="66"/>
      <x:c r="H453" s="68"/>
      <x:c r="I453" s="68"/>
      <x:c r="J453" s="68"/>
      <x:c r="K453" s="68"/>
      <x:c r="L453" s="70"/>
      <x:c r="M453" s="64" t="str">
        <x:f>IF(A453="","",IF(AND(E453&lt;&gt;"",F453&lt;&gt;"",ABS(H453-I453)&lt;=0.01,ABS(J453-K453)&lt;=0.01,L453=1),"一致","检查"))</x:f>
      </x:c>
      <x:c r="N453" s="64" t="str">
        <x:f>IF(A453="","",IF(COUNTIF($A$5:$A$1204,A453)&gt;1,"重复",""))</x:f>
      </x:c>
    </x:row>
    <x:row r="454">
      <x:c r="A454" s="62"/>
      <x:c r="B454" s="62"/>
      <x:c r="C454" s="62"/>
      <x:c r="D454" s="62"/>
      <x:c r="E454" s="62"/>
      <x:c r="F454" s="62"/>
      <x:c r="G454" s="66"/>
      <x:c r="H454" s="68"/>
      <x:c r="I454" s="68"/>
      <x:c r="J454" s="68"/>
      <x:c r="K454" s="68"/>
      <x:c r="L454" s="70"/>
      <x:c r="M454" s="64" t="str">
        <x:f>IF(A454="","",IF(AND(E454&lt;&gt;"",F454&lt;&gt;"",ABS(H454-I454)&lt;=0.01,ABS(J454-K454)&lt;=0.01,L454=1),"一致","检查"))</x:f>
      </x:c>
      <x:c r="N454" s="64" t="str">
        <x:f>IF(A454="","",IF(COUNTIF($A$5:$A$1204,A454)&gt;1,"重复",""))</x:f>
      </x:c>
    </x:row>
    <x:row r="455">
      <x:c r="A455" s="62"/>
      <x:c r="B455" s="62"/>
      <x:c r="C455" s="62"/>
      <x:c r="D455" s="62"/>
      <x:c r="E455" s="62"/>
      <x:c r="F455" s="62"/>
      <x:c r="G455" s="66"/>
      <x:c r="H455" s="68"/>
      <x:c r="I455" s="68"/>
      <x:c r="J455" s="68"/>
      <x:c r="K455" s="68"/>
      <x:c r="L455" s="70"/>
      <x:c r="M455" s="64" t="str">
        <x:f>IF(A455="","",IF(AND(E455&lt;&gt;"",F455&lt;&gt;"",ABS(H455-I455)&lt;=0.01,ABS(J455-K455)&lt;=0.01,L455=1),"一致","检查"))</x:f>
      </x:c>
      <x:c r="N455" s="64" t="str">
        <x:f>IF(A455="","",IF(COUNTIF($A$5:$A$1204,A455)&gt;1,"重复",""))</x:f>
      </x:c>
    </x:row>
    <x:row r="456">
      <x:c r="A456" s="62"/>
      <x:c r="B456" s="62"/>
      <x:c r="C456" s="62"/>
      <x:c r="D456" s="62"/>
      <x:c r="E456" s="62"/>
      <x:c r="F456" s="62"/>
      <x:c r="G456" s="66"/>
      <x:c r="H456" s="68"/>
      <x:c r="I456" s="68"/>
      <x:c r="J456" s="68"/>
      <x:c r="K456" s="68"/>
      <x:c r="L456" s="70"/>
      <x:c r="M456" s="64" t="str">
        <x:f>IF(A456="","",IF(AND(E456&lt;&gt;"",F456&lt;&gt;"",ABS(H456-I456)&lt;=0.01,ABS(J456-K456)&lt;=0.01,L456=1),"一致","检查"))</x:f>
      </x:c>
      <x:c r="N456" s="64" t="str">
        <x:f>IF(A456="","",IF(COUNTIF($A$5:$A$1204,A456)&gt;1,"重复",""))</x:f>
      </x:c>
    </x:row>
    <x:row r="457">
      <x:c r="A457" s="62"/>
      <x:c r="B457" s="62"/>
      <x:c r="C457" s="62"/>
      <x:c r="D457" s="62"/>
      <x:c r="E457" s="62"/>
      <x:c r="F457" s="62"/>
      <x:c r="G457" s="66"/>
      <x:c r="H457" s="68"/>
      <x:c r="I457" s="68"/>
      <x:c r="J457" s="68"/>
      <x:c r="K457" s="68"/>
      <x:c r="L457" s="70"/>
      <x:c r="M457" s="64" t="str">
        <x:f>IF(A457="","",IF(AND(E457&lt;&gt;"",F457&lt;&gt;"",ABS(H457-I457)&lt;=0.01,ABS(J457-K457)&lt;=0.01,L457=1),"一致","检查"))</x:f>
      </x:c>
      <x:c r="N457" s="64" t="str">
        <x:f>IF(A457="","",IF(COUNTIF($A$5:$A$1204,A457)&gt;1,"重复",""))</x:f>
      </x:c>
    </x:row>
    <x:row r="458">
      <x:c r="A458" s="62"/>
      <x:c r="B458" s="62"/>
      <x:c r="C458" s="62"/>
      <x:c r="D458" s="62"/>
      <x:c r="E458" s="62"/>
      <x:c r="F458" s="62"/>
      <x:c r="G458" s="66"/>
      <x:c r="H458" s="68"/>
      <x:c r="I458" s="68"/>
      <x:c r="J458" s="68"/>
      <x:c r="K458" s="68"/>
      <x:c r="L458" s="70"/>
      <x:c r="M458" s="64" t="str">
        <x:f>IF(A458="","",IF(AND(E458&lt;&gt;"",F458&lt;&gt;"",ABS(H458-I458)&lt;=0.01,ABS(J458-K458)&lt;=0.01,L458=1),"一致","检查"))</x:f>
      </x:c>
      <x:c r="N458" s="64" t="str">
        <x:f>IF(A458="","",IF(COUNTIF($A$5:$A$1204,A458)&gt;1,"重复",""))</x:f>
      </x:c>
    </x:row>
    <x:row r="459">
      <x:c r="A459" s="62"/>
      <x:c r="B459" s="62"/>
      <x:c r="C459" s="62"/>
      <x:c r="D459" s="62"/>
      <x:c r="E459" s="62"/>
      <x:c r="F459" s="62"/>
      <x:c r="G459" s="66"/>
      <x:c r="H459" s="68"/>
      <x:c r="I459" s="68"/>
      <x:c r="J459" s="68"/>
      <x:c r="K459" s="68"/>
      <x:c r="L459" s="70"/>
      <x:c r="M459" s="64" t="str">
        <x:f>IF(A459="","",IF(AND(E459&lt;&gt;"",F459&lt;&gt;"",ABS(H459-I459)&lt;=0.01,ABS(J459-K459)&lt;=0.01,L459=1),"一致","检查"))</x:f>
      </x:c>
      <x:c r="N459" s="64" t="str">
        <x:f>IF(A459="","",IF(COUNTIF($A$5:$A$1204,A459)&gt;1,"重复",""))</x:f>
      </x:c>
    </x:row>
    <x:row r="460">
      <x:c r="A460" s="62"/>
      <x:c r="B460" s="62"/>
      <x:c r="C460" s="62"/>
      <x:c r="D460" s="62"/>
      <x:c r="E460" s="62"/>
      <x:c r="F460" s="62"/>
      <x:c r="G460" s="66"/>
      <x:c r="H460" s="68"/>
      <x:c r="I460" s="68"/>
      <x:c r="J460" s="68"/>
      <x:c r="K460" s="68"/>
      <x:c r="L460" s="70"/>
      <x:c r="M460" s="64" t="str">
        <x:f>IF(A460="","",IF(AND(E460&lt;&gt;"",F460&lt;&gt;"",ABS(H460-I460)&lt;=0.01,ABS(J460-K460)&lt;=0.01,L460=1),"一致","检查"))</x:f>
      </x:c>
      <x:c r="N460" s="64" t="str">
        <x:f>IF(A460="","",IF(COUNTIF($A$5:$A$1204,A460)&gt;1,"重复",""))</x:f>
      </x:c>
    </x:row>
    <x:row r="461">
      <x:c r="A461" s="62"/>
      <x:c r="B461" s="62"/>
      <x:c r="C461" s="62"/>
      <x:c r="D461" s="62"/>
      <x:c r="E461" s="62"/>
      <x:c r="F461" s="62"/>
      <x:c r="G461" s="66"/>
      <x:c r="H461" s="68"/>
      <x:c r="I461" s="68"/>
      <x:c r="J461" s="68"/>
      <x:c r="K461" s="68"/>
      <x:c r="L461" s="70"/>
      <x:c r="M461" s="64" t="str">
        <x:f>IF(A461="","",IF(AND(E461&lt;&gt;"",F461&lt;&gt;"",ABS(H461-I461)&lt;=0.01,ABS(J461-K461)&lt;=0.01,L461=1),"一致","检查"))</x:f>
      </x:c>
      <x:c r="N461" s="64" t="str">
        <x:f>IF(A461="","",IF(COUNTIF($A$5:$A$1204,A461)&gt;1,"重复",""))</x:f>
      </x:c>
    </x:row>
    <x:row r="462">
      <x:c r="A462" s="62"/>
      <x:c r="B462" s="62"/>
      <x:c r="C462" s="62"/>
      <x:c r="D462" s="62"/>
      <x:c r="E462" s="62"/>
      <x:c r="F462" s="62"/>
      <x:c r="G462" s="66"/>
      <x:c r="H462" s="68"/>
      <x:c r="I462" s="68"/>
      <x:c r="J462" s="68"/>
      <x:c r="K462" s="68"/>
      <x:c r="L462" s="70"/>
      <x:c r="M462" s="64" t="str">
        <x:f>IF(A462="","",IF(AND(E462&lt;&gt;"",F462&lt;&gt;"",ABS(H462-I462)&lt;=0.01,ABS(J462-K462)&lt;=0.01,L462=1),"一致","检查"))</x:f>
      </x:c>
      <x:c r="N462" s="64" t="str">
        <x:f>IF(A462="","",IF(COUNTIF($A$5:$A$1204,A462)&gt;1,"重复",""))</x:f>
      </x:c>
    </x:row>
    <x:row r="463">
      <x:c r="A463" s="62"/>
      <x:c r="B463" s="62"/>
      <x:c r="C463" s="62"/>
      <x:c r="D463" s="62"/>
      <x:c r="E463" s="62"/>
      <x:c r="F463" s="62"/>
      <x:c r="G463" s="66"/>
      <x:c r="H463" s="68"/>
      <x:c r="I463" s="68"/>
      <x:c r="J463" s="68"/>
      <x:c r="K463" s="68"/>
      <x:c r="L463" s="70"/>
      <x:c r="M463" s="64" t="str">
        <x:f>IF(A463="","",IF(AND(E463&lt;&gt;"",F463&lt;&gt;"",ABS(H463-I463)&lt;=0.01,ABS(J463-K463)&lt;=0.01,L463=1),"一致","检查"))</x:f>
      </x:c>
      <x:c r="N463" s="64" t="str">
        <x:f>IF(A463="","",IF(COUNTIF($A$5:$A$1204,A463)&gt;1,"重复",""))</x:f>
      </x:c>
    </x:row>
    <x:row r="464">
      <x:c r="A464" s="62"/>
      <x:c r="B464" s="62"/>
      <x:c r="C464" s="62"/>
      <x:c r="D464" s="62"/>
      <x:c r="E464" s="62"/>
      <x:c r="F464" s="62"/>
      <x:c r="G464" s="66"/>
      <x:c r="H464" s="68"/>
      <x:c r="I464" s="68"/>
      <x:c r="J464" s="68"/>
      <x:c r="K464" s="68"/>
      <x:c r="L464" s="70"/>
      <x:c r="M464" s="64" t="str">
        <x:f>IF(A464="","",IF(AND(E464&lt;&gt;"",F464&lt;&gt;"",ABS(H464-I464)&lt;=0.01,ABS(J464-K464)&lt;=0.01,L464=1),"一致","检查"))</x:f>
      </x:c>
      <x:c r="N464" s="64" t="str">
        <x:f>IF(A464="","",IF(COUNTIF($A$5:$A$1204,A464)&gt;1,"重复",""))</x:f>
      </x:c>
    </x:row>
    <x:row r="465">
      <x:c r="A465" s="62"/>
      <x:c r="B465" s="62"/>
      <x:c r="C465" s="62"/>
      <x:c r="D465" s="62"/>
      <x:c r="E465" s="62"/>
      <x:c r="F465" s="62"/>
      <x:c r="G465" s="66"/>
      <x:c r="H465" s="68"/>
      <x:c r="I465" s="68"/>
      <x:c r="J465" s="68"/>
      <x:c r="K465" s="68"/>
      <x:c r="L465" s="70"/>
      <x:c r="M465" s="64" t="str">
        <x:f>IF(A465="","",IF(AND(E465&lt;&gt;"",F465&lt;&gt;"",ABS(H465-I465)&lt;=0.01,ABS(J465-K465)&lt;=0.01,L465=1),"一致","检查"))</x:f>
      </x:c>
      <x:c r="N465" s="64" t="str">
        <x:f>IF(A465="","",IF(COUNTIF($A$5:$A$1204,A465)&gt;1,"重复",""))</x:f>
      </x:c>
    </x:row>
    <x:row r="466">
      <x:c r="A466" s="62"/>
      <x:c r="B466" s="62"/>
      <x:c r="C466" s="62"/>
      <x:c r="D466" s="62"/>
      <x:c r="E466" s="62"/>
      <x:c r="F466" s="62"/>
      <x:c r="G466" s="66"/>
      <x:c r="H466" s="68"/>
      <x:c r="I466" s="68"/>
      <x:c r="J466" s="68"/>
      <x:c r="K466" s="68"/>
      <x:c r="L466" s="70"/>
      <x:c r="M466" s="64" t="str">
        <x:f>IF(A466="","",IF(AND(E466&lt;&gt;"",F466&lt;&gt;"",ABS(H466-I466)&lt;=0.01,ABS(J466-K466)&lt;=0.01,L466=1),"一致","检查"))</x:f>
      </x:c>
      <x:c r="N466" s="64" t="str">
        <x:f>IF(A466="","",IF(COUNTIF($A$5:$A$1204,A466)&gt;1,"重复",""))</x:f>
      </x:c>
    </x:row>
    <x:row r="467">
      <x:c r="A467" s="62"/>
      <x:c r="B467" s="62"/>
      <x:c r="C467" s="62"/>
      <x:c r="D467" s="62"/>
      <x:c r="E467" s="62"/>
      <x:c r="F467" s="62"/>
      <x:c r="G467" s="66"/>
      <x:c r="H467" s="68"/>
      <x:c r="I467" s="68"/>
      <x:c r="J467" s="68"/>
      <x:c r="K467" s="68"/>
      <x:c r="L467" s="70"/>
      <x:c r="M467" s="64" t="str">
        <x:f>IF(A467="","",IF(AND(E467&lt;&gt;"",F467&lt;&gt;"",ABS(H467-I467)&lt;=0.01,ABS(J467-K467)&lt;=0.01,L467=1),"一致","检查"))</x:f>
      </x:c>
      <x:c r="N467" s="64" t="str">
        <x:f>IF(A467="","",IF(COUNTIF($A$5:$A$1204,A467)&gt;1,"重复",""))</x:f>
      </x:c>
    </x:row>
    <x:row r="468">
      <x:c r="A468" s="62"/>
      <x:c r="B468" s="62"/>
      <x:c r="C468" s="62"/>
      <x:c r="D468" s="62"/>
      <x:c r="E468" s="62"/>
      <x:c r="F468" s="62"/>
      <x:c r="G468" s="66"/>
      <x:c r="H468" s="68"/>
      <x:c r="I468" s="68"/>
      <x:c r="J468" s="68"/>
      <x:c r="K468" s="68"/>
      <x:c r="L468" s="70"/>
      <x:c r="M468" s="64" t="str">
        <x:f>IF(A468="","",IF(AND(E468&lt;&gt;"",F468&lt;&gt;"",ABS(H468-I468)&lt;=0.01,ABS(J468-K468)&lt;=0.01,L468=1),"一致","检查"))</x:f>
      </x:c>
      <x:c r="N468" s="64" t="str">
        <x:f>IF(A468="","",IF(COUNTIF($A$5:$A$1204,A468)&gt;1,"重复",""))</x:f>
      </x:c>
    </x:row>
    <x:row r="469">
      <x:c r="A469" s="62"/>
      <x:c r="B469" s="62"/>
      <x:c r="C469" s="62"/>
      <x:c r="D469" s="62"/>
      <x:c r="E469" s="62"/>
      <x:c r="F469" s="62"/>
      <x:c r="G469" s="66"/>
      <x:c r="H469" s="68"/>
      <x:c r="I469" s="68"/>
      <x:c r="J469" s="68"/>
      <x:c r="K469" s="68"/>
      <x:c r="L469" s="70"/>
      <x:c r="M469" s="64" t="str">
        <x:f>IF(A469="","",IF(AND(E469&lt;&gt;"",F469&lt;&gt;"",ABS(H469-I469)&lt;=0.01,ABS(J469-K469)&lt;=0.01,L469=1),"一致","检查"))</x:f>
      </x:c>
      <x:c r="N469" s="64" t="str">
        <x:f>IF(A469="","",IF(COUNTIF($A$5:$A$1204,A469)&gt;1,"重复",""))</x:f>
      </x:c>
    </x:row>
    <x:row r="470">
      <x:c r="A470" s="62"/>
      <x:c r="B470" s="62"/>
      <x:c r="C470" s="62"/>
      <x:c r="D470" s="62"/>
      <x:c r="E470" s="62"/>
      <x:c r="F470" s="62"/>
      <x:c r="G470" s="66"/>
      <x:c r="H470" s="68"/>
      <x:c r="I470" s="68"/>
      <x:c r="J470" s="68"/>
      <x:c r="K470" s="68"/>
      <x:c r="L470" s="70"/>
      <x:c r="M470" s="64" t="str">
        <x:f>IF(A470="","",IF(AND(E470&lt;&gt;"",F470&lt;&gt;"",ABS(H470-I470)&lt;=0.01,ABS(J470-K470)&lt;=0.01,L470=1),"一致","检查"))</x:f>
      </x:c>
      <x:c r="N470" s="64" t="str">
        <x:f>IF(A470="","",IF(COUNTIF($A$5:$A$1204,A470)&gt;1,"重复",""))</x:f>
      </x:c>
    </x:row>
    <x:row r="471">
      <x:c r="A471" s="62"/>
      <x:c r="B471" s="62"/>
      <x:c r="C471" s="62"/>
      <x:c r="D471" s="62"/>
      <x:c r="E471" s="62"/>
      <x:c r="F471" s="62"/>
      <x:c r="G471" s="66"/>
      <x:c r="H471" s="68"/>
      <x:c r="I471" s="68"/>
      <x:c r="J471" s="68"/>
      <x:c r="K471" s="68"/>
      <x:c r="L471" s="70"/>
      <x:c r="M471" s="64" t="str">
        <x:f>IF(A471="","",IF(AND(E471&lt;&gt;"",F471&lt;&gt;"",ABS(H471-I471)&lt;=0.01,ABS(J471-K471)&lt;=0.01,L471=1),"一致","检查"))</x:f>
      </x:c>
      <x:c r="N471" s="64" t="str">
        <x:f>IF(A471="","",IF(COUNTIF($A$5:$A$1204,A471)&gt;1,"重复",""))</x:f>
      </x:c>
    </x:row>
    <x:row r="472">
      <x:c r="A472" s="62"/>
      <x:c r="B472" s="62"/>
      <x:c r="C472" s="62"/>
      <x:c r="D472" s="62"/>
      <x:c r="E472" s="62"/>
      <x:c r="F472" s="62"/>
      <x:c r="G472" s="66"/>
      <x:c r="H472" s="68"/>
      <x:c r="I472" s="68"/>
      <x:c r="J472" s="68"/>
      <x:c r="K472" s="68"/>
      <x:c r="L472" s="70"/>
      <x:c r="M472" s="64" t="str">
        <x:f>IF(A472="","",IF(AND(E472&lt;&gt;"",F472&lt;&gt;"",ABS(H472-I472)&lt;=0.01,ABS(J472-K472)&lt;=0.01,L472=1),"一致","检查"))</x:f>
      </x:c>
      <x:c r="N472" s="64" t="str">
        <x:f>IF(A472="","",IF(COUNTIF($A$5:$A$1204,A472)&gt;1,"重复",""))</x:f>
      </x:c>
    </x:row>
    <x:row r="473">
      <x:c r="A473" s="62"/>
      <x:c r="B473" s="62"/>
      <x:c r="C473" s="62"/>
      <x:c r="D473" s="62"/>
      <x:c r="E473" s="62"/>
      <x:c r="F473" s="62"/>
      <x:c r="G473" s="66"/>
      <x:c r="H473" s="68"/>
      <x:c r="I473" s="68"/>
      <x:c r="J473" s="68"/>
      <x:c r="K473" s="68"/>
      <x:c r="L473" s="70"/>
      <x:c r="M473" s="64" t="str">
        <x:f>IF(A473="","",IF(AND(E473&lt;&gt;"",F473&lt;&gt;"",ABS(H473-I473)&lt;=0.01,ABS(J473-K473)&lt;=0.01,L473=1),"一致","检查"))</x:f>
      </x:c>
      <x:c r="N473" s="64" t="str">
        <x:f>IF(A473="","",IF(COUNTIF($A$5:$A$1204,A473)&gt;1,"重复",""))</x:f>
      </x:c>
    </x:row>
    <x:row r="474">
      <x:c r="A474" s="62"/>
      <x:c r="B474" s="62"/>
      <x:c r="C474" s="62"/>
      <x:c r="D474" s="62"/>
      <x:c r="E474" s="62"/>
      <x:c r="F474" s="62"/>
      <x:c r="G474" s="66"/>
      <x:c r="H474" s="68"/>
      <x:c r="I474" s="68"/>
      <x:c r="J474" s="68"/>
      <x:c r="K474" s="68"/>
      <x:c r="L474" s="70"/>
      <x:c r="M474" s="64" t="str">
        <x:f>IF(A474="","",IF(AND(E474&lt;&gt;"",F474&lt;&gt;"",ABS(H474-I474)&lt;=0.01,ABS(J474-K474)&lt;=0.01,L474=1),"一致","检查"))</x:f>
      </x:c>
      <x:c r="N474" s="64" t="str">
        <x:f>IF(A474="","",IF(COUNTIF($A$5:$A$1204,A474)&gt;1,"重复",""))</x:f>
      </x:c>
    </x:row>
    <x:row r="475">
      <x:c r="A475" s="62"/>
      <x:c r="B475" s="62"/>
      <x:c r="C475" s="62"/>
      <x:c r="D475" s="62"/>
      <x:c r="E475" s="62"/>
      <x:c r="F475" s="62"/>
      <x:c r="G475" s="66"/>
      <x:c r="H475" s="68"/>
      <x:c r="I475" s="68"/>
      <x:c r="J475" s="68"/>
      <x:c r="K475" s="68"/>
      <x:c r="L475" s="70"/>
      <x:c r="M475" s="64" t="str">
        <x:f>IF(A475="","",IF(AND(E475&lt;&gt;"",F475&lt;&gt;"",ABS(H475-I475)&lt;=0.01,ABS(J475-K475)&lt;=0.01,L475=1),"一致","检查"))</x:f>
      </x:c>
      <x:c r="N475" s="64" t="str">
        <x:f>IF(A475="","",IF(COUNTIF($A$5:$A$1204,A475)&gt;1,"重复",""))</x:f>
      </x:c>
    </x:row>
    <x:row r="476">
      <x:c r="A476" s="62"/>
      <x:c r="B476" s="62"/>
      <x:c r="C476" s="62"/>
      <x:c r="D476" s="62"/>
      <x:c r="E476" s="62"/>
      <x:c r="F476" s="62"/>
      <x:c r="G476" s="66"/>
      <x:c r="H476" s="68"/>
      <x:c r="I476" s="68"/>
      <x:c r="J476" s="68"/>
      <x:c r="K476" s="68"/>
      <x:c r="L476" s="70"/>
      <x:c r="M476" s="64" t="str">
        <x:f>IF(A476="","",IF(AND(E476&lt;&gt;"",F476&lt;&gt;"",ABS(H476-I476)&lt;=0.01,ABS(J476-K476)&lt;=0.01,L476=1),"一致","检查"))</x:f>
      </x:c>
      <x:c r="N476" s="64" t="str">
        <x:f>IF(A476="","",IF(COUNTIF($A$5:$A$1204,A476)&gt;1,"重复",""))</x:f>
      </x:c>
    </x:row>
    <x:row r="477">
      <x:c r="A477" s="62"/>
      <x:c r="B477" s="62"/>
      <x:c r="C477" s="62"/>
      <x:c r="D477" s="62"/>
      <x:c r="E477" s="62"/>
      <x:c r="F477" s="62"/>
      <x:c r="G477" s="66"/>
      <x:c r="H477" s="68"/>
      <x:c r="I477" s="68"/>
      <x:c r="J477" s="68"/>
      <x:c r="K477" s="68"/>
      <x:c r="L477" s="70"/>
      <x:c r="M477" s="64" t="str">
        <x:f>IF(A477="","",IF(AND(E477&lt;&gt;"",F477&lt;&gt;"",ABS(H477-I477)&lt;=0.01,ABS(J477-K477)&lt;=0.01,L477=1),"一致","检查"))</x:f>
      </x:c>
      <x:c r="N477" s="64" t="str">
        <x:f>IF(A477="","",IF(COUNTIF($A$5:$A$1204,A477)&gt;1,"重复",""))</x:f>
      </x:c>
    </x:row>
    <x:row r="478">
      <x:c r="A478" s="62"/>
      <x:c r="B478" s="62"/>
      <x:c r="C478" s="62"/>
      <x:c r="D478" s="62"/>
      <x:c r="E478" s="62"/>
      <x:c r="F478" s="62"/>
      <x:c r="G478" s="66"/>
      <x:c r="H478" s="68"/>
      <x:c r="I478" s="68"/>
      <x:c r="J478" s="68"/>
      <x:c r="K478" s="68"/>
      <x:c r="L478" s="70"/>
      <x:c r="M478" s="64" t="str">
        <x:f>IF(A478="","",IF(AND(E478&lt;&gt;"",F478&lt;&gt;"",ABS(H478-I478)&lt;=0.01,ABS(J478-K478)&lt;=0.01,L478=1),"一致","检查"))</x:f>
      </x:c>
      <x:c r="N478" s="64" t="str">
        <x:f>IF(A478="","",IF(COUNTIF($A$5:$A$1204,A478)&gt;1,"重复",""))</x:f>
      </x:c>
    </x:row>
    <x:row r="479">
      <x:c r="A479" s="62"/>
      <x:c r="B479" s="62"/>
      <x:c r="C479" s="62"/>
      <x:c r="D479" s="62"/>
      <x:c r="E479" s="62"/>
      <x:c r="F479" s="62"/>
      <x:c r="G479" s="66"/>
      <x:c r="H479" s="68"/>
      <x:c r="I479" s="68"/>
      <x:c r="J479" s="68"/>
      <x:c r="K479" s="68"/>
      <x:c r="L479" s="70"/>
      <x:c r="M479" s="64" t="str">
        <x:f>IF(A479="","",IF(AND(E479&lt;&gt;"",F479&lt;&gt;"",ABS(H479-I479)&lt;=0.01,ABS(J479-K479)&lt;=0.01,L479=1),"一致","检查"))</x:f>
      </x:c>
      <x:c r="N479" s="64" t="str">
        <x:f>IF(A479="","",IF(COUNTIF($A$5:$A$1204,A479)&gt;1,"重复",""))</x:f>
      </x:c>
    </x:row>
    <x:row r="480">
      <x:c r="A480" s="62"/>
      <x:c r="B480" s="62"/>
      <x:c r="C480" s="62"/>
      <x:c r="D480" s="62"/>
      <x:c r="E480" s="62"/>
      <x:c r="F480" s="62"/>
      <x:c r="G480" s="66"/>
      <x:c r="H480" s="68"/>
      <x:c r="I480" s="68"/>
      <x:c r="J480" s="68"/>
      <x:c r="K480" s="68"/>
      <x:c r="L480" s="70"/>
      <x:c r="M480" s="64" t="str">
        <x:f>IF(A480="","",IF(AND(E480&lt;&gt;"",F480&lt;&gt;"",ABS(H480-I480)&lt;=0.01,ABS(J480-K480)&lt;=0.01,L480=1),"一致","检查"))</x:f>
      </x:c>
      <x:c r="N480" s="64" t="str">
        <x:f>IF(A480="","",IF(COUNTIF($A$5:$A$1204,A480)&gt;1,"重复",""))</x:f>
      </x:c>
    </x:row>
    <x:row r="481">
      <x:c r="A481" s="62"/>
      <x:c r="B481" s="62"/>
      <x:c r="C481" s="62"/>
      <x:c r="D481" s="62"/>
      <x:c r="E481" s="62"/>
      <x:c r="F481" s="62"/>
      <x:c r="G481" s="66"/>
      <x:c r="H481" s="68"/>
      <x:c r="I481" s="68"/>
      <x:c r="J481" s="68"/>
      <x:c r="K481" s="68"/>
      <x:c r="L481" s="70"/>
      <x:c r="M481" s="64" t="str">
        <x:f>IF(A481="","",IF(AND(E481&lt;&gt;"",F481&lt;&gt;"",ABS(H481-I481)&lt;=0.01,ABS(J481-K481)&lt;=0.01,L481=1),"一致","检查"))</x:f>
      </x:c>
      <x:c r="N481" s="64" t="str">
        <x:f>IF(A481="","",IF(COUNTIF($A$5:$A$1204,A481)&gt;1,"重复",""))</x:f>
      </x:c>
    </x:row>
    <x:row r="482">
      <x:c r="A482" s="62"/>
      <x:c r="B482" s="62"/>
      <x:c r="C482" s="62"/>
      <x:c r="D482" s="62"/>
      <x:c r="E482" s="62"/>
      <x:c r="F482" s="62"/>
      <x:c r="G482" s="66"/>
      <x:c r="H482" s="68"/>
      <x:c r="I482" s="68"/>
      <x:c r="J482" s="68"/>
      <x:c r="K482" s="68"/>
      <x:c r="L482" s="70"/>
      <x:c r="M482" s="64" t="str">
        <x:f>IF(A482="","",IF(AND(E482&lt;&gt;"",F482&lt;&gt;"",ABS(H482-I482)&lt;=0.01,ABS(J482-K482)&lt;=0.01,L482=1),"一致","检查"))</x:f>
      </x:c>
      <x:c r="N482" s="64" t="str">
        <x:f>IF(A482="","",IF(COUNTIF($A$5:$A$1204,A482)&gt;1,"重复",""))</x:f>
      </x:c>
    </x:row>
    <x:row r="483">
      <x:c r="A483" s="62"/>
      <x:c r="B483" s="62"/>
      <x:c r="C483" s="62"/>
      <x:c r="D483" s="62"/>
      <x:c r="E483" s="62"/>
      <x:c r="F483" s="62"/>
      <x:c r="G483" s="66"/>
      <x:c r="H483" s="68"/>
      <x:c r="I483" s="68"/>
      <x:c r="J483" s="68"/>
      <x:c r="K483" s="68"/>
      <x:c r="L483" s="70"/>
      <x:c r="M483" s="64" t="str">
        <x:f>IF(A483="","",IF(AND(E483&lt;&gt;"",F483&lt;&gt;"",ABS(H483-I483)&lt;=0.01,ABS(J483-K483)&lt;=0.01,L483=1),"一致","检查"))</x:f>
      </x:c>
      <x:c r="N483" s="64" t="str">
        <x:f>IF(A483="","",IF(COUNTIF($A$5:$A$1204,A483)&gt;1,"重复",""))</x:f>
      </x:c>
    </x:row>
    <x:row r="484">
      <x:c r="A484" s="62"/>
      <x:c r="B484" s="62"/>
      <x:c r="C484" s="62"/>
      <x:c r="D484" s="62"/>
      <x:c r="E484" s="62"/>
      <x:c r="F484" s="62"/>
      <x:c r="G484" s="66"/>
      <x:c r="H484" s="68"/>
      <x:c r="I484" s="68"/>
      <x:c r="J484" s="68"/>
      <x:c r="K484" s="68"/>
      <x:c r="L484" s="70"/>
      <x:c r="M484" s="64" t="str">
        <x:f>IF(A484="","",IF(AND(E484&lt;&gt;"",F484&lt;&gt;"",ABS(H484-I484)&lt;=0.01,ABS(J484-K484)&lt;=0.01,L484=1),"一致","检查"))</x:f>
      </x:c>
      <x:c r="N484" s="64" t="str">
        <x:f>IF(A484="","",IF(COUNTIF($A$5:$A$1204,A484)&gt;1,"重复",""))</x:f>
      </x:c>
    </x:row>
    <x:row r="485">
      <x:c r="A485" s="62"/>
      <x:c r="B485" s="62"/>
      <x:c r="C485" s="62"/>
      <x:c r="D485" s="62"/>
      <x:c r="E485" s="62"/>
      <x:c r="F485" s="62"/>
      <x:c r="G485" s="66"/>
      <x:c r="H485" s="68"/>
      <x:c r="I485" s="68"/>
      <x:c r="J485" s="68"/>
      <x:c r="K485" s="68"/>
      <x:c r="L485" s="70"/>
      <x:c r="M485" s="64" t="str">
        <x:f>IF(A485="","",IF(AND(E485&lt;&gt;"",F485&lt;&gt;"",ABS(H485-I485)&lt;=0.01,ABS(J485-K485)&lt;=0.01,L485=1),"一致","检查"))</x:f>
      </x:c>
      <x:c r="N485" s="64" t="str">
        <x:f>IF(A485="","",IF(COUNTIF($A$5:$A$1204,A485)&gt;1,"重复",""))</x:f>
      </x:c>
    </x:row>
    <x:row r="486">
      <x:c r="A486" s="62"/>
      <x:c r="B486" s="62"/>
      <x:c r="C486" s="62"/>
      <x:c r="D486" s="62"/>
      <x:c r="E486" s="62"/>
      <x:c r="F486" s="62"/>
      <x:c r="G486" s="66"/>
      <x:c r="H486" s="68"/>
      <x:c r="I486" s="68"/>
      <x:c r="J486" s="68"/>
      <x:c r="K486" s="68"/>
      <x:c r="L486" s="70"/>
      <x:c r="M486" s="64" t="str">
        <x:f>IF(A486="","",IF(AND(E486&lt;&gt;"",F486&lt;&gt;"",ABS(H486-I486)&lt;=0.01,ABS(J486-K486)&lt;=0.01,L486=1),"一致","检查"))</x:f>
      </x:c>
      <x:c r="N486" s="64" t="str">
        <x:f>IF(A486="","",IF(COUNTIF($A$5:$A$1204,A486)&gt;1,"重复",""))</x:f>
      </x:c>
    </x:row>
    <x:row r="487">
      <x:c r="A487" s="62"/>
      <x:c r="B487" s="62"/>
      <x:c r="C487" s="62"/>
      <x:c r="D487" s="62"/>
      <x:c r="E487" s="62"/>
      <x:c r="F487" s="62"/>
      <x:c r="G487" s="66"/>
      <x:c r="H487" s="68"/>
      <x:c r="I487" s="68"/>
      <x:c r="J487" s="68"/>
      <x:c r="K487" s="68"/>
      <x:c r="L487" s="70"/>
      <x:c r="M487" s="64" t="str">
        <x:f>IF(A487="","",IF(AND(E487&lt;&gt;"",F487&lt;&gt;"",ABS(H487-I487)&lt;=0.01,ABS(J487-K487)&lt;=0.01,L487=1),"一致","检查"))</x:f>
      </x:c>
      <x:c r="N487" s="64" t="str">
        <x:f>IF(A487="","",IF(COUNTIF($A$5:$A$1204,A487)&gt;1,"重复",""))</x:f>
      </x:c>
    </x:row>
    <x:row r="488">
      <x:c r="A488" s="62"/>
      <x:c r="B488" s="62"/>
      <x:c r="C488" s="62"/>
      <x:c r="D488" s="62"/>
      <x:c r="E488" s="62"/>
      <x:c r="F488" s="62"/>
      <x:c r="G488" s="66"/>
      <x:c r="H488" s="68"/>
      <x:c r="I488" s="68"/>
      <x:c r="J488" s="68"/>
      <x:c r="K488" s="68"/>
      <x:c r="L488" s="70"/>
      <x:c r="M488" s="64" t="str">
        <x:f>IF(A488="","",IF(AND(E488&lt;&gt;"",F488&lt;&gt;"",ABS(H488-I488)&lt;=0.01,ABS(J488-K488)&lt;=0.01,L488=1),"一致","检查"))</x:f>
      </x:c>
      <x:c r="N488" s="64" t="str">
        <x:f>IF(A488="","",IF(COUNTIF($A$5:$A$1204,A488)&gt;1,"重复",""))</x:f>
      </x:c>
    </x:row>
    <x:row r="489">
      <x:c r="A489" s="62"/>
      <x:c r="B489" s="62"/>
      <x:c r="C489" s="62"/>
      <x:c r="D489" s="62"/>
      <x:c r="E489" s="62"/>
      <x:c r="F489" s="62"/>
      <x:c r="G489" s="66"/>
      <x:c r="H489" s="68"/>
      <x:c r="I489" s="68"/>
      <x:c r="J489" s="68"/>
      <x:c r="K489" s="68"/>
      <x:c r="L489" s="70"/>
      <x:c r="M489" s="64" t="str">
        <x:f>IF(A489="","",IF(AND(E489&lt;&gt;"",F489&lt;&gt;"",ABS(H489-I489)&lt;=0.01,ABS(J489-K489)&lt;=0.01,L489=1),"一致","检查"))</x:f>
      </x:c>
      <x:c r="N489" s="64" t="str">
        <x:f>IF(A489="","",IF(COUNTIF($A$5:$A$1204,A489)&gt;1,"重复",""))</x:f>
      </x:c>
    </x:row>
    <x:row r="490">
      <x:c r="A490" s="62"/>
      <x:c r="B490" s="62"/>
      <x:c r="C490" s="62"/>
      <x:c r="D490" s="62"/>
      <x:c r="E490" s="62"/>
      <x:c r="F490" s="62"/>
      <x:c r="G490" s="66"/>
      <x:c r="H490" s="68"/>
      <x:c r="I490" s="68"/>
      <x:c r="J490" s="68"/>
      <x:c r="K490" s="68"/>
      <x:c r="L490" s="70"/>
      <x:c r="M490" s="64" t="str">
        <x:f>IF(A490="","",IF(AND(E490&lt;&gt;"",F490&lt;&gt;"",ABS(H490-I490)&lt;=0.01,ABS(J490-K490)&lt;=0.01,L490=1),"一致","检查"))</x:f>
      </x:c>
      <x:c r="N490" s="64" t="str">
        <x:f>IF(A490="","",IF(COUNTIF($A$5:$A$1204,A490)&gt;1,"重复",""))</x:f>
      </x:c>
    </x:row>
    <x:row r="491">
      <x:c r="A491" s="62"/>
      <x:c r="B491" s="62"/>
      <x:c r="C491" s="62"/>
      <x:c r="D491" s="62"/>
      <x:c r="E491" s="62"/>
      <x:c r="F491" s="62"/>
      <x:c r="G491" s="66"/>
      <x:c r="H491" s="68"/>
      <x:c r="I491" s="68"/>
      <x:c r="J491" s="68"/>
      <x:c r="K491" s="68"/>
      <x:c r="L491" s="70"/>
      <x:c r="M491" s="64" t="str">
        <x:f>IF(A491="","",IF(AND(E491&lt;&gt;"",F491&lt;&gt;"",ABS(H491-I491)&lt;=0.01,ABS(J491-K491)&lt;=0.01,L491=1),"一致","检查"))</x:f>
      </x:c>
      <x:c r="N491" s="64" t="str">
        <x:f>IF(A491="","",IF(COUNTIF($A$5:$A$1204,A491)&gt;1,"重复",""))</x:f>
      </x:c>
    </x:row>
    <x:row r="492">
      <x:c r="A492" s="62"/>
      <x:c r="B492" s="62"/>
      <x:c r="C492" s="62"/>
      <x:c r="D492" s="62"/>
      <x:c r="E492" s="62"/>
      <x:c r="F492" s="62"/>
      <x:c r="G492" s="66"/>
      <x:c r="H492" s="68"/>
      <x:c r="I492" s="68"/>
      <x:c r="J492" s="68"/>
      <x:c r="K492" s="68"/>
      <x:c r="L492" s="70"/>
      <x:c r="M492" s="64" t="str">
        <x:f>IF(A492="","",IF(AND(E492&lt;&gt;"",F492&lt;&gt;"",ABS(H492-I492)&lt;=0.01,ABS(J492-K492)&lt;=0.01,L492=1),"一致","检查"))</x:f>
      </x:c>
      <x:c r="N492" s="64" t="str">
        <x:f>IF(A492="","",IF(COUNTIF($A$5:$A$1204,A492)&gt;1,"重复",""))</x:f>
      </x:c>
    </x:row>
    <x:row r="493">
      <x:c r="A493" s="62"/>
      <x:c r="B493" s="62"/>
      <x:c r="C493" s="62"/>
      <x:c r="D493" s="62"/>
      <x:c r="E493" s="62"/>
      <x:c r="F493" s="62"/>
      <x:c r="G493" s="66"/>
      <x:c r="H493" s="68"/>
      <x:c r="I493" s="68"/>
      <x:c r="J493" s="68"/>
      <x:c r="K493" s="68"/>
      <x:c r="L493" s="70"/>
      <x:c r="M493" s="64" t="str">
        <x:f>IF(A493="","",IF(AND(E493&lt;&gt;"",F493&lt;&gt;"",ABS(H493-I493)&lt;=0.01,ABS(J493-K493)&lt;=0.01,L493=1),"一致","检查"))</x:f>
      </x:c>
      <x:c r="N493" s="64" t="str">
        <x:f>IF(A493="","",IF(COUNTIF($A$5:$A$1204,A493)&gt;1,"重复",""))</x:f>
      </x:c>
    </x:row>
    <x:row r="494">
      <x:c r="A494" s="62"/>
      <x:c r="B494" s="62"/>
      <x:c r="C494" s="62"/>
      <x:c r="D494" s="62"/>
      <x:c r="E494" s="62"/>
      <x:c r="F494" s="62"/>
      <x:c r="G494" s="66"/>
      <x:c r="H494" s="68"/>
      <x:c r="I494" s="68"/>
      <x:c r="J494" s="68"/>
      <x:c r="K494" s="68"/>
      <x:c r="L494" s="70"/>
      <x:c r="M494" s="64" t="str">
        <x:f>IF(A494="","",IF(AND(E494&lt;&gt;"",F494&lt;&gt;"",ABS(H494-I494)&lt;=0.01,ABS(J494-K494)&lt;=0.01,L494=1),"一致","检查"))</x:f>
      </x:c>
      <x:c r="N494" s="64" t="str">
        <x:f>IF(A494="","",IF(COUNTIF($A$5:$A$1204,A494)&gt;1,"重复",""))</x:f>
      </x:c>
    </x:row>
    <x:row r="495">
      <x:c r="A495" s="62"/>
      <x:c r="B495" s="62"/>
      <x:c r="C495" s="62"/>
      <x:c r="D495" s="62"/>
      <x:c r="E495" s="62"/>
      <x:c r="F495" s="62"/>
      <x:c r="G495" s="66"/>
      <x:c r="H495" s="68"/>
      <x:c r="I495" s="68"/>
      <x:c r="J495" s="68"/>
      <x:c r="K495" s="68"/>
      <x:c r="L495" s="70"/>
      <x:c r="M495" s="64" t="str">
        <x:f>IF(A495="","",IF(AND(E495&lt;&gt;"",F495&lt;&gt;"",ABS(H495-I495)&lt;=0.01,ABS(J495-K495)&lt;=0.01,L495=1),"一致","检查"))</x:f>
      </x:c>
      <x:c r="N495" s="64" t="str">
        <x:f>IF(A495="","",IF(COUNTIF($A$5:$A$1204,A495)&gt;1,"重复",""))</x:f>
      </x:c>
    </x:row>
    <x:row r="496">
      <x:c r="A496" s="62"/>
      <x:c r="B496" s="62"/>
      <x:c r="C496" s="62"/>
      <x:c r="D496" s="62"/>
      <x:c r="E496" s="62"/>
      <x:c r="F496" s="62"/>
      <x:c r="G496" s="66"/>
      <x:c r="H496" s="68"/>
      <x:c r="I496" s="68"/>
      <x:c r="J496" s="68"/>
      <x:c r="K496" s="68"/>
      <x:c r="L496" s="70"/>
      <x:c r="M496" s="64" t="str">
        <x:f>IF(A496="","",IF(AND(E496&lt;&gt;"",F496&lt;&gt;"",ABS(H496-I496)&lt;=0.01,ABS(J496-K496)&lt;=0.01,L496=1),"一致","检查"))</x:f>
      </x:c>
      <x:c r="N496" s="64" t="str">
        <x:f>IF(A496="","",IF(COUNTIF($A$5:$A$1204,A496)&gt;1,"重复",""))</x:f>
      </x:c>
    </x:row>
    <x:row r="497">
      <x:c r="A497" s="62"/>
      <x:c r="B497" s="62"/>
      <x:c r="C497" s="62"/>
      <x:c r="D497" s="62"/>
      <x:c r="E497" s="62"/>
      <x:c r="F497" s="62"/>
      <x:c r="G497" s="66"/>
      <x:c r="H497" s="68"/>
      <x:c r="I497" s="68"/>
      <x:c r="J497" s="68"/>
      <x:c r="K497" s="68"/>
      <x:c r="L497" s="70"/>
      <x:c r="M497" s="64" t="str">
        <x:f>IF(A497="","",IF(AND(E497&lt;&gt;"",F497&lt;&gt;"",ABS(H497-I497)&lt;=0.01,ABS(J497-K497)&lt;=0.01,L497=1),"一致","检查"))</x:f>
      </x:c>
      <x:c r="N497" s="64" t="str">
        <x:f>IF(A497="","",IF(COUNTIF($A$5:$A$1204,A497)&gt;1,"重复",""))</x:f>
      </x:c>
    </x:row>
    <x:row r="498">
      <x:c r="A498" s="62"/>
      <x:c r="B498" s="62"/>
      <x:c r="C498" s="62"/>
      <x:c r="D498" s="62"/>
      <x:c r="E498" s="62"/>
      <x:c r="F498" s="62"/>
      <x:c r="G498" s="66"/>
      <x:c r="H498" s="68"/>
      <x:c r="I498" s="68"/>
      <x:c r="J498" s="68"/>
      <x:c r="K498" s="68"/>
      <x:c r="L498" s="70"/>
      <x:c r="M498" s="64" t="str">
        <x:f>IF(A498="","",IF(AND(E498&lt;&gt;"",F498&lt;&gt;"",ABS(H498-I498)&lt;=0.01,ABS(J498-K498)&lt;=0.01,L498=1),"一致","检查"))</x:f>
      </x:c>
      <x:c r="N498" s="64" t="str">
        <x:f>IF(A498="","",IF(COUNTIF($A$5:$A$1204,A498)&gt;1,"重复",""))</x:f>
      </x:c>
    </x:row>
    <x:row r="499">
      <x:c r="A499" s="62"/>
      <x:c r="B499" s="62"/>
      <x:c r="C499" s="62"/>
      <x:c r="D499" s="62"/>
      <x:c r="E499" s="62"/>
      <x:c r="F499" s="62"/>
      <x:c r="G499" s="66"/>
      <x:c r="H499" s="68"/>
      <x:c r="I499" s="68"/>
      <x:c r="J499" s="68"/>
      <x:c r="K499" s="68"/>
      <x:c r="L499" s="70"/>
      <x:c r="M499" s="64" t="str">
        <x:f>IF(A499="","",IF(AND(E499&lt;&gt;"",F499&lt;&gt;"",ABS(H499-I499)&lt;=0.01,ABS(J499-K499)&lt;=0.01,L499=1),"一致","检查"))</x:f>
      </x:c>
      <x:c r="N499" s="64" t="str">
        <x:f>IF(A499="","",IF(COUNTIF($A$5:$A$1204,A499)&gt;1,"重复",""))</x:f>
      </x:c>
    </x:row>
    <x:row r="500">
      <x:c r="A500" s="62"/>
      <x:c r="B500" s="62"/>
      <x:c r="C500" s="62"/>
      <x:c r="D500" s="62"/>
      <x:c r="E500" s="62"/>
      <x:c r="F500" s="62"/>
      <x:c r="G500" s="66"/>
      <x:c r="H500" s="68"/>
      <x:c r="I500" s="68"/>
      <x:c r="J500" s="68"/>
      <x:c r="K500" s="68"/>
      <x:c r="L500" s="70"/>
      <x:c r="M500" s="64" t="str">
        <x:f>IF(A500="","",IF(AND(E500&lt;&gt;"",F500&lt;&gt;"",ABS(H500-I500)&lt;=0.01,ABS(J500-K500)&lt;=0.01,L500=1),"一致","检查"))</x:f>
      </x:c>
      <x:c r="N500" s="64" t="str">
        <x:f>IF(A500="","",IF(COUNTIF($A$5:$A$1204,A500)&gt;1,"重复",""))</x:f>
      </x:c>
    </x:row>
    <x:row r="501">
      <x:c r="A501" s="62"/>
      <x:c r="B501" s="62"/>
      <x:c r="C501" s="62"/>
      <x:c r="D501" s="62"/>
      <x:c r="E501" s="62"/>
      <x:c r="F501" s="62"/>
      <x:c r="G501" s="66"/>
      <x:c r="H501" s="68"/>
      <x:c r="I501" s="68"/>
      <x:c r="J501" s="68"/>
      <x:c r="K501" s="68"/>
      <x:c r="L501" s="70"/>
      <x:c r="M501" s="64" t="str">
        <x:f>IF(A501="","",IF(AND(E501&lt;&gt;"",F501&lt;&gt;"",ABS(H501-I501)&lt;=0.01,ABS(J501-K501)&lt;=0.01,L501=1),"一致","检查"))</x:f>
      </x:c>
      <x:c r="N501" s="64" t="str">
        <x:f>IF(A501="","",IF(COUNTIF($A$5:$A$1204,A501)&gt;1,"重复",""))</x:f>
      </x:c>
    </x:row>
    <x:row r="502">
      <x:c r="A502" s="62"/>
      <x:c r="B502" s="62"/>
      <x:c r="C502" s="62"/>
      <x:c r="D502" s="62"/>
      <x:c r="E502" s="62"/>
      <x:c r="F502" s="62"/>
      <x:c r="G502" s="66"/>
      <x:c r="H502" s="68"/>
      <x:c r="I502" s="68"/>
      <x:c r="J502" s="68"/>
      <x:c r="K502" s="68"/>
      <x:c r="L502" s="70"/>
      <x:c r="M502" s="64" t="str">
        <x:f>IF(A502="","",IF(AND(E502&lt;&gt;"",F502&lt;&gt;"",ABS(H502-I502)&lt;=0.01,ABS(J502-K502)&lt;=0.01,L502=1),"一致","检查"))</x:f>
      </x:c>
      <x:c r="N502" s="64" t="str">
        <x:f>IF(A502="","",IF(COUNTIF($A$5:$A$1204,A502)&gt;1,"重复",""))</x:f>
      </x:c>
    </x:row>
    <x:row r="503">
      <x:c r="A503" s="62"/>
      <x:c r="B503" s="62"/>
      <x:c r="C503" s="62"/>
      <x:c r="D503" s="62"/>
      <x:c r="E503" s="62"/>
      <x:c r="F503" s="62"/>
      <x:c r="G503" s="66"/>
      <x:c r="H503" s="68"/>
      <x:c r="I503" s="68"/>
      <x:c r="J503" s="68"/>
      <x:c r="K503" s="68"/>
      <x:c r="L503" s="70"/>
      <x:c r="M503" s="64" t="str">
        <x:f>IF(A503="","",IF(AND(E503&lt;&gt;"",F503&lt;&gt;"",ABS(H503-I503)&lt;=0.01,ABS(J503-K503)&lt;=0.01,L503=1),"一致","检查"))</x:f>
      </x:c>
      <x:c r="N503" s="64" t="str">
        <x:f>IF(A503="","",IF(COUNTIF($A$5:$A$1204,A503)&gt;1,"重复",""))</x:f>
      </x:c>
    </x:row>
    <x:row r="504">
      <x:c r="A504" s="62"/>
      <x:c r="B504" s="62"/>
      <x:c r="C504" s="62"/>
      <x:c r="D504" s="62"/>
      <x:c r="E504" s="62"/>
      <x:c r="F504" s="62"/>
      <x:c r="G504" s="66"/>
      <x:c r="H504" s="68"/>
      <x:c r="I504" s="68"/>
      <x:c r="J504" s="68"/>
      <x:c r="K504" s="68"/>
      <x:c r="L504" s="70"/>
      <x:c r="M504" s="64" t="str">
        <x:f>IF(A504="","",IF(AND(E504&lt;&gt;"",F504&lt;&gt;"",ABS(H504-I504)&lt;=0.01,ABS(J504-K504)&lt;=0.01,L504=1),"一致","检查"))</x:f>
      </x:c>
      <x:c r="N504" s="64" t="str">
        <x:f>IF(A504="","",IF(COUNTIF($A$5:$A$1204,A504)&gt;1,"重复",""))</x:f>
      </x:c>
    </x:row>
    <x:row r="505">
      <x:c r="A505" s="62"/>
      <x:c r="B505" s="62"/>
      <x:c r="C505" s="62"/>
      <x:c r="D505" s="62"/>
      <x:c r="E505" s="62"/>
      <x:c r="F505" s="62"/>
      <x:c r="G505" s="66"/>
      <x:c r="H505" s="68"/>
      <x:c r="I505" s="68"/>
      <x:c r="J505" s="68"/>
      <x:c r="K505" s="68"/>
      <x:c r="L505" s="70"/>
      <x:c r="M505" s="64" t="str">
        <x:f>IF(A505="","",IF(AND(E505&lt;&gt;"",F505&lt;&gt;"",ABS(H505-I505)&lt;=0.01,ABS(J505-K505)&lt;=0.01,L505=1),"一致","检查"))</x:f>
      </x:c>
      <x:c r="N505" s="64" t="str">
        <x:f>IF(A505="","",IF(COUNTIF($A$5:$A$1204,A505)&gt;1,"重复",""))</x:f>
      </x:c>
    </x:row>
    <x:row r="506">
      <x:c r="A506" s="62"/>
      <x:c r="B506" s="62"/>
      <x:c r="C506" s="62"/>
      <x:c r="D506" s="62"/>
      <x:c r="E506" s="62"/>
      <x:c r="F506" s="62"/>
      <x:c r="G506" s="66"/>
      <x:c r="H506" s="68"/>
      <x:c r="I506" s="68"/>
      <x:c r="J506" s="68"/>
      <x:c r="K506" s="68"/>
      <x:c r="L506" s="70"/>
      <x:c r="M506" s="64" t="str">
        <x:f>IF(A506="","",IF(AND(E506&lt;&gt;"",F506&lt;&gt;"",ABS(H506-I506)&lt;=0.01,ABS(J506-K506)&lt;=0.01,L506=1),"一致","检查"))</x:f>
      </x:c>
      <x:c r="N506" s="64" t="str">
        <x:f>IF(A506="","",IF(COUNTIF($A$5:$A$1204,A506)&gt;1,"重复",""))</x:f>
      </x:c>
    </x:row>
    <x:row r="507">
      <x:c r="A507" s="62"/>
      <x:c r="B507" s="62"/>
      <x:c r="C507" s="62"/>
      <x:c r="D507" s="62"/>
      <x:c r="E507" s="62"/>
      <x:c r="F507" s="62"/>
      <x:c r="G507" s="66"/>
      <x:c r="H507" s="68"/>
      <x:c r="I507" s="68"/>
      <x:c r="J507" s="68"/>
      <x:c r="K507" s="68"/>
      <x:c r="L507" s="70"/>
      <x:c r="M507" s="64" t="str">
        <x:f>IF(A507="","",IF(AND(E507&lt;&gt;"",F507&lt;&gt;"",ABS(H507-I507)&lt;=0.01,ABS(J507-K507)&lt;=0.01,L507=1),"一致","检查"))</x:f>
      </x:c>
      <x:c r="N507" s="64" t="str">
        <x:f>IF(A507="","",IF(COUNTIF($A$5:$A$1204,A507)&gt;1,"重复",""))</x:f>
      </x:c>
    </x:row>
    <x:row r="508">
      <x:c r="A508" s="62"/>
      <x:c r="B508" s="62"/>
      <x:c r="C508" s="62"/>
      <x:c r="D508" s="62"/>
      <x:c r="E508" s="62"/>
      <x:c r="F508" s="62"/>
      <x:c r="G508" s="66"/>
      <x:c r="H508" s="68"/>
      <x:c r="I508" s="68"/>
      <x:c r="J508" s="68"/>
      <x:c r="K508" s="68"/>
      <x:c r="L508" s="70"/>
      <x:c r="M508" s="64" t="str">
        <x:f>IF(A508="","",IF(AND(E508&lt;&gt;"",F508&lt;&gt;"",ABS(H508-I508)&lt;=0.01,ABS(J508-K508)&lt;=0.01,L508=1),"一致","检查"))</x:f>
      </x:c>
      <x:c r="N508" s="64" t="str">
        <x:f>IF(A508="","",IF(COUNTIF($A$5:$A$1204,A508)&gt;1,"重复",""))</x:f>
      </x:c>
    </x:row>
    <x:row r="509">
      <x:c r="A509" s="62"/>
      <x:c r="B509" s="62"/>
      <x:c r="C509" s="62"/>
      <x:c r="D509" s="62"/>
      <x:c r="E509" s="62"/>
      <x:c r="F509" s="62"/>
      <x:c r="G509" s="66"/>
      <x:c r="H509" s="68"/>
      <x:c r="I509" s="68"/>
      <x:c r="J509" s="68"/>
      <x:c r="K509" s="68"/>
      <x:c r="L509" s="70"/>
      <x:c r="M509" s="64" t="str">
        <x:f>IF(A509="","",IF(AND(E509&lt;&gt;"",F509&lt;&gt;"",ABS(H509-I509)&lt;=0.01,ABS(J509-K509)&lt;=0.01,L509=1),"一致","检查"))</x:f>
      </x:c>
      <x:c r="N509" s="64" t="str">
        <x:f>IF(A509="","",IF(COUNTIF($A$5:$A$1204,A509)&gt;1,"重复",""))</x:f>
      </x:c>
    </x:row>
    <x:row r="510">
      <x:c r="A510" s="62"/>
      <x:c r="B510" s="62"/>
      <x:c r="C510" s="62"/>
      <x:c r="D510" s="62"/>
      <x:c r="E510" s="62"/>
      <x:c r="F510" s="62"/>
      <x:c r="G510" s="66"/>
      <x:c r="H510" s="68"/>
      <x:c r="I510" s="68"/>
      <x:c r="J510" s="68"/>
      <x:c r="K510" s="68"/>
      <x:c r="L510" s="70"/>
      <x:c r="M510" s="64" t="str">
        <x:f>IF(A510="","",IF(AND(E510&lt;&gt;"",F510&lt;&gt;"",ABS(H510-I510)&lt;=0.01,ABS(J510-K510)&lt;=0.01,L510=1),"一致","检查"))</x:f>
      </x:c>
      <x:c r="N510" s="64" t="str">
        <x:f>IF(A510="","",IF(COUNTIF($A$5:$A$1204,A510)&gt;1,"重复",""))</x:f>
      </x:c>
    </x:row>
    <x:row r="511">
      <x:c r="A511" s="62"/>
      <x:c r="B511" s="62"/>
      <x:c r="C511" s="62"/>
      <x:c r="D511" s="62"/>
      <x:c r="E511" s="62"/>
      <x:c r="F511" s="62"/>
      <x:c r="G511" s="66"/>
      <x:c r="H511" s="68"/>
      <x:c r="I511" s="68"/>
      <x:c r="J511" s="68"/>
      <x:c r="K511" s="68"/>
      <x:c r="L511" s="70"/>
      <x:c r="M511" s="64" t="str">
        <x:f>IF(A511="","",IF(AND(E511&lt;&gt;"",F511&lt;&gt;"",ABS(H511-I511)&lt;=0.01,ABS(J511-K511)&lt;=0.01,L511=1),"一致","检查"))</x:f>
      </x:c>
      <x:c r="N511" s="64" t="str">
        <x:f>IF(A511="","",IF(COUNTIF($A$5:$A$1204,A511)&gt;1,"重复",""))</x:f>
      </x:c>
    </x:row>
    <x:row r="512">
      <x:c r="A512" s="62"/>
      <x:c r="B512" s="62"/>
      <x:c r="C512" s="62"/>
      <x:c r="D512" s="62"/>
      <x:c r="E512" s="62"/>
      <x:c r="F512" s="62"/>
      <x:c r="G512" s="66"/>
      <x:c r="H512" s="68"/>
      <x:c r="I512" s="68"/>
      <x:c r="J512" s="68"/>
      <x:c r="K512" s="68"/>
      <x:c r="L512" s="70"/>
      <x:c r="M512" s="64" t="str">
        <x:f>IF(A512="","",IF(AND(E512&lt;&gt;"",F512&lt;&gt;"",ABS(H512-I512)&lt;=0.01,ABS(J512-K512)&lt;=0.01,L512=1),"一致","检查"))</x:f>
      </x:c>
      <x:c r="N512" s="64" t="str">
        <x:f>IF(A512="","",IF(COUNTIF($A$5:$A$1204,A512)&gt;1,"重复",""))</x:f>
      </x:c>
    </x:row>
    <x:row r="513">
      <x:c r="A513" s="62"/>
      <x:c r="B513" s="62"/>
      <x:c r="C513" s="62"/>
      <x:c r="D513" s="62"/>
      <x:c r="E513" s="62"/>
      <x:c r="F513" s="62"/>
      <x:c r="G513" s="66"/>
      <x:c r="H513" s="68"/>
      <x:c r="I513" s="68"/>
      <x:c r="J513" s="68"/>
      <x:c r="K513" s="68"/>
      <x:c r="L513" s="70"/>
      <x:c r="M513" s="64" t="str">
        <x:f>IF(A513="","",IF(AND(E513&lt;&gt;"",F513&lt;&gt;"",ABS(H513-I513)&lt;=0.01,ABS(J513-K513)&lt;=0.01,L513=1),"一致","检查"))</x:f>
      </x:c>
      <x:c r="N513" s="64" t="str">
        <x:f>IF(A513="","",IF(COUNTIF($A$5:$A$1204,A513)&gt;1,"重复",""))</x:f>
      </x:c>
    </x:row>
    <x:row r="514">
      <x:c r="A514" s="62"/>
      <x:c r="B514" s="62"/>
      <x:c r="C514" s="62"/>
      <x:c r="D514" s="62"/>
      <x:c r="E514" s="62"/>
      <x:c r="F514" s="62"/>
      <x:c r="G514" s="66"/>
      <x:c r="H514" s="68"/>
      <x:c r="I514" s="68"/>
      <x:c r="J514" s="68"/>
      <x:c r="K514" s="68"/>
      <x:c r="L514" s="70"/>
      <x:c r="M514" s="64" t="str">
        <x:f>IF(A514="","",IF(AND(E514&lt;&gt;"",F514&lt;&gt;"",ABS(H514-I514)&lt;=0.01,ABS(J514-K514)&lt;=0.01,L514=1),"一致","检查"))</x:f>
      </x:c>
      <x:c r="N514" s="64" t="str">
        <x:f>IF(A514="","",IF(COUNTIF($A$5:$A$1204,A514)&gt;1,"重复",""))</x:f>
      </x:c>
    </x:row>
    <x:row r="515">
      <x:c r="A515" s="62"/>
      <x:c r="B515" s="62"/>
      <x:c r="C515" s="62"/>
      <x:c r="D515" s="62"/>
      <x:c r="E515" s="62"/>
      <x:c r="F515" s="62"/>
      <x:c r="G515" s="66"/>
      <x:c r="H515" s="68"/>
      <x:c r="I515" s="68"/>
      <x:c r="J515" s="68"/>
      <x:c r="K515" s="68"/>
      <x:c r="L515" s="70"/>
      <x:c r="M515" s="64" t="str">
        <x:f>IF(A515="","",IF(AND(E515&lt;&gt;"",F515&lt;&gt;"",ABS(H515-I515)&lt;=0.01,ABS(J515-K515)&lt;=0.01,L515=1),"一致","检查"))</x:f>
      </x:c>
      <x:c r="N515" s="64" t="str">
        <x:f>IF(A515="","",IF(COUNTIF($A$5:$A$1204,A515)&gt;1,"重复",""))</x:f>
      </x:c>
    </x:row>
    <x:row r="516">
      <x:c r="A516" s="62"/>
      <x:c r="B516" s="62"/>
      <x:c r="C516" s="62"/>
      <x:c r="D516" s="62"/>
      <x:c r="E516" s="62"/>
      <x:c r="F516" s="62"/>
      <x:c r="G516" s="66"/>
      <x:c r="H516" s="68"/>
      <x:c r="I516" s="68"/>
      <x:c r="J516" s="68"/>
      <x:c r="K516" s="68"/>
      <x:c r="L516" s="70"/>
      <x:c r="M516" s="64" t="str">
        <x:f>IF(A516="","",IF(AND(E516&lt;&gt;"",F516&lt;&gt;"",ABS(H516-I516)&lt;=0.01,ABS(J516-K516)&lt;=0.01,L516=1),"一致","检查"))</x:f>
      </x:c>
      <x:c r="N516" s="64" t="str">
        <x:f>IF(A516="","",IF(COUNTIF($A$5:$A$1204,A516)&gt;1,"重复",""))</x:f>
      </x:c>
    </x:row>
    <x:row r="517">
      <x:c r="A517" s="62"/>
      <x:c r="B517" s="62"/>
      <x:c r="C517" s="62"/>
      <x:c r="D517" s="62"/>
      <x:c r="E517" s="62"/>
      <x:c r="F517" s="62"/>
      <x:c r="G517" s="66"/>
      <x:c r="H517" s="68"/>
      <x:c r="I517" s="68"/>
      <x:c r="J517" s="68"/>
      <x:c r="K517" s="68"/>
      <x:c r="L517" s="70"/>
      <x:c r="M517" s="64" t="str">
        <x:f>IF(A517="","",IF(AND(E517&lt;&gt;"",F517&lt;&gt;"",ABS(H517-I517)&lt;=0.01,ABS(J517-K517)&lt;=0.01,L517=1),"一致","检查"))</x:f>
      </x:c>
      <x:c r="N517" s="64" t="str">
        <x:f>IF(A517="","",IF(COUNTIF($A$5:$A$1204,A517)&gt;1,"重复",""))</x:f>
      </x:c>
    </x:row>
    <x:row r="518">
      <x:c r="A518" s="62"/>
      <x:c r="B518" s="62"/>
      <x:c r="C518" s="62"/>
      <x:c r="D518" s="62"/>
      <x:c r="E518" s="62"/>
      <x:c r="F518" s="62"/>
      <x:c r="G518" s="66"/>
      <x:c r="H518" s="68"/>
      <x:c r="I518" s="68"/>
      <x:c r="J518" s="68"/>
      <x:c r="K518" s="68"/>
      <x:c r="L518" s="70"/>
      <x:c r="M518" s="64" t="str">
        <x:f>IF(A518="","",IF(AND(E518&lt;&gt;"",F518&lt;&gt;"",ABS(H518-I518)&lt;=0.01,ABS(J518-K518)&lt;=0.01,L518=1),"一致","检查"))</x:f>
      </x:c>
      <x:c r="N518" s="64" t="str">
        <x:f>IF(A518="","",IF(COUNTIF($A$5:$A$1204,A518)&gt;1,"重复",""))</x:f>
      </x:c>
    </x:row>
    <x:row r="519">
      <x:c r="A519" s="62"/>
      <x:c r="B519" s="62"/>
      <x:c r="C519" s="62"/>
      <x:c r="D519" s="62"/>
      <x:c r="E519" s="62"/>
      <x:c r="F519" s="62"/>
      <x:c r="G519" s="66"/>
      <x:c r="H519" s="68"/>
      <x:c r="I519" s="68"/>
      <x:c r="J519" s="68"/>
      <x:c r="K519" s="68"/>
      <x:c r="L519" s="70"/>
      <x:c r="M519" s="64" t="str">
        <x:f>IF(A519="","",IF(AND(E519&lt;&gt;"",F519&lt;&gt;"",ABS(H519-I519)&lt;=0.01,ABS(J519-K519)&lt;=0.01,L519=1),"一致","检查"))</x:f>
      </x:c>
      <x:c r="N519" s="64" t="str">
        <x:f>IF(A519="","",IF(COUNTIF($A$5:$A$1204,A519)&gt;1,"重复",""))</x:f>
      </x:c>
    </x:row>
    <x:row r="520">
      <x:c r="A520" s="62"/>
      <x:c r="B520" s="62"/>
      <x:c r="C520" s="62"/>
      <x:c r="D520" s="62"/>
      <x:c r="E520" s="62"/>
      <x:c r="F520" s="62"/>
      <x:c r="G520" s="66"/>
      <x:c r="H520" s="68"/>
      <x:c r="I520" s="68"/>
      <x:c r="J520" s="68"/>
      <x:c r="K520" s="68"/>
      <x:c r="L520" s="70"/>
      <x:c r="M520" s="64" t="str">
        <x:f>IF(A520="","",IF(AND(E520&lt;&gt;"",F520&lt;&gt;"",ABS(H520-I520)&lt;=0.01,ABS(J520-K520)&lt;=0.01,L520=1),"一致","检查"))</x:f>
      </x:c>
      <x:c r="N520" s="64" t="str">
        <x:f>IF(A520="","",IF(COUNTIF($A$5:$A$1204,A520)&gt;1,"重复",""))</x:f>
      </x:c>
    </x:row>
    <x:row r="521">
      <x:c r="A521" s="62"/>
      <x:c r="B521" s="62"/>
      <x:c r="C521" s="62"/>
      <x:c r="D521" s="62"/>
      <x:c r="E521" s="62"/>
      <x:c r="F521" s="62"/>
      <x:c r="G521" s="66"/>
      <x:c r="H521" s="68"/>
      <x:c r="I521" s="68"/>
      <x:c r="J521" s="68"/>
      <x:c r="K521" s="68"/>
      <x:c r="L521" s="70"/>
      <x:c r="M521" s="64" t="str">
        <x:f>IF(A521="","",IF(AND(E521&lt;&gt;"",F521&lt;&gt;"",ABS(H521-I521)&lt;=0.01,ABS(J521-K521)&lt;=0.01,L521=1),"一致","检查"))</x:f>
      </x:c>
      <x:c r="N521" s="64" t="str">
        <x:f>IF(A521="","",IF(COUNTIF($A$5:$A$1204,A521)&gt;1,"重复",""))</x:f>
      </x:c>
    </x:row>
    <x:row r="522">
      <x:c r="A522" s="62"/>
      <x:c r="B522" s="62"/>
      <x:c r="C522" s="62"/>
      <x:c r="D522" s="62"/>
      <x:c r="E522" s="62"/>
      <x:c r="F522" s="62"/>
      <x:c r="G522" s="66"/>
      <x:c r="H522" s="68"/>
      <x:c r="I522" s="68"/>
      <x:c r="J522" s="68"/>
      <x:c r="K522" s="68"/>
      <x:c r="L522" s="70"/>
      <x:c r="M522" s="64" t="str">
        <x:f>IF(A522="","",IF(AND(E522&lt;&gt;"",F522&lt;&gt;"",ABS(H522-I522)&lt;=0.01,ABS(J522-K522)&lt;=0.01,L522=1),"一致","检查"))</x:f>
      </x:c>
      <x:c r="N522" s="64" t="str">
        <x:f>IF(A522="","",IF(COUNTIF($A$5:$A$1204,A522)&gt;1,"重复",""))</x:f>
      </x:c>
    </x:row>
    <x:row r="523">
      <x:c r="A523" s="62"/>
      <x:c r="B523" s="62"/>
      <x:c r="C523" s="62"/>
      <x:c r="D523" s="62"/>
      <x:c r="E523" s="62"/>
      <x:c r="F523" s="62"/>
      <x:c r="G523" s="66"/>
      <x:c r="H523" s="68"/>
      <x:c r="I523" s="68"/>
      <x:c r="J523" s="68"/>
      <x:c r="K523" s="68"/>
      <x:c r="L523" s="70"/>
      <x:c r="M523" s="64" t="str">
        <x:f>IF(A523="","",IF(AND(E523&lt;&gt;"",F523&lt;&gt;"",ABS(H523-I523)&lt;=0.01,ABS(J523-K523)&lt;=0.01,L523=1),"一致","检查"))</x:f>
      </x:c>
      <x:c r="N523" s="64" t="str">
        <x:f>IF(A523="","",IF(COUNTIF($A$5:$A$1204,A523)&gt;1,"重复",""))</x:f>
      </x:c>
    </x:row>
    <x:row r="524">
      <x:c r="A524" s="62"/>
      <x:c r="B524" s="62"/>
      <x:c r="C524" s="62"/>
      <x:c r="D524" s="62"/>
      <x:c r="E524" s="62"/>
      <x:c r="F524" s="62"/>
      <x:c r="G524" s="66"/>
      <x:c r="H524" s="68"/>
      <x:c r="I524" s="68"/>
      <x:c r="J524" s="68"/>
      <x:c r="K524" s="68"/>
      <x:c r="L524" s="70"/>
      <x:c r="M524" s="64" t="str">
        <x:f>IF(A524="","",IF(AND(E524&lt;&gt;"",F524&lt;&gt;"",ABS(H524-I524)&lt;=0.01,ABS(J524-K524)&lt;=0.01,L524=1),"一致","检查"))</x:f>
      </x:c>
      <x:c r="N524" s="64" t="str">
        <x:f>IF(A524="","",IF(COUNTIF($A$5:$A$1204,A524)&gt;1,"重复",""))</x:f>
      </x:c>
    </x:row>
    <x:row r="525">
      <x:c r="A525" s="62"/>
      <x:c r="B525" s="62"/>
      <x:c r="C525" s="62"/>
      <x:c r="D525" s="62"/>
      <x:c r="E525" s="62"/>
      <x:c r="F525" s="62"/>
      <x:c r="G525" s="66"/>
      <x:c r="H525" s="68"/>
      <x:c r="I525" s="68"/>
      <x:c r="J525" s="68"/>
      <x:c r="K525" s="68"/>
      <x:c r="L525" s="70"/>
      <x:c r="M525" s="64" t="str">
        <x:f>IF(A525="","",IF(AND(E525&lt;&gt;"",F525&lt;&gt;"",ABS(H525-I525)&lt;=0.01,ABS(J525-K525)&lt;=0.01,L525=1),"一致","检查"))</x:f>
      </x:c>
      <x:c r="N525" s="64" t="str">
        <x:f>IF(A525="","",IF(COUNTIF($A$5:$A$1204,A525)&gt;1,"重复",""))</x:f>
      </x:c>
    </x:row>
    <x:row r="526">
      <x:c r="A526" s="62"/>
      <x:c r="B526" s="62"/>
      <x:c r="C526" s="62"/>
      <x:c r="D526" s="62"/>
      <x:c r="E526" s="62"/>
      <x:c r="F526" s="62"/>
      <x:c r="G526" s="66"/>
      <x:c r="H526" s="68"/>
      <x:c r="I526" s="68"/>
      <x:c r="J526" s="68"/>
      <x:c r="K526" s="68"/>
      <x:c r="L526" s="70"/>
      <x:c r="M526" s="64" t="str">
        <x:f>IF(A526="","",IF(AND(E526&lt;&gt;"",F526&lt;&gt;"",ABS(H526-I526)&lt;=0.01,ABS(J526-K526)&lt;=0.01,L526=1),"一致","检查"))</x:f>
      </x:c>
      <x:c r="N526" s="64" t="str">
        <x:f>IF(A526="","",IF(COUNTIF($A$5:$A$1204,A526)&gt;1,"重复",""))</x:f>
      </x:c>
    </x:row>
    <x:row r="527">
      <x:c r="A527" s="62"/>
      <x:c r="B527" s="62"/>
      <x:c r="C527" s="62"/>
      <x:c r="D527" s="62"/>
      <x:c r="E527" s="62"/>
      <x:c r="F527" s="62"/>
      <x:c r="G527" s="66"/>
      <x:c r="H527" s="68"/>
      <x:c r="I527" s="68"/>
      <x:c r="J527" s="68"/>
      <x:c r="K527" s="68"/>
      <x:c r="L527" s="70"/>
      <x:c r="M527" s="64" t="str">
        <x:f>IF(A527="","",IF(AND(E527&lt;&gt;"",F527&lt;&gt;"",ABS(H527-I527)&lt;=0.01,ABS(J527-K527)&lt;=0.01,L527=1),"一致","检查"))</x:f>
      </x:c>
      <x:c r="N527" s="64" t="str">
        <x:f>IF(A527="","",IF(COUNTIF($A$5:$A$1204,A527)&gt;1,"重复",""))</x:f>
      </x:c>
    </x:row>
    <x:row r="528">
      <x:c r="A528" s="62"/>
      <x:c r="B528" s="62"/>
      <x:c r="C528" s="62"/>
      <x:c r="D528" s="62"/>
      <x:c r="E528" s="62"/>
      <x:c r="F528" s="62"/>
      <x:c r="G528" s="66"/>
      <x:c r="H528" s="68"/>
      <x:c r="I528" s="68"/>
      <x:c r="J528" s="68"/>
      <x:c r="K528" s="68"/>
      <x:c r="L528" s="70"/>
      <x:c r="M528" s="64" t="str">
        <x:f>IF(A528="","",IF(AND(E528&lt;&gt;"",F528&lt;&gt;"",ABS(H528-I528)&lt;=0.01,ABS(J528-K528)&lt;=0.01,L528=1),"一致","检查"))</x:f>
      </x:c>
      <x:c r="N528" s="64" t="str">
        <x:f>IF(A528="","",IF(COUNTIF($A$5:$A$1204,A528)&gt;1,"重复",""))</x:f>
      </x:c>
    </x:row>
    <x:row r="529">
      <x:c r="A529" s="62"/>
      <x:c r="B529" s="62"/>
      <x:c r="C529" s="62"/>
      <x:c r="D529" s="62"/>
      <x:c r="E529" s="62"/>
      <x:c r="F529" s="62"/>
      <x:c r="G529" s="66"/>
      <x:c r="H529" s="68"/>
      <x:c r="I529" s="68"/>
      <x:c r="J529" s="68"/>
      <x:c r="K529" s="68"/>
      <x:c r="L529" s="70"/>
      <x:c r="M529" s="64" t="str">
        <x:f>IF(A529="","",IF(AND(E529&lt;&gt;"",F529&lt;&gt;"",ABS(H529-I529)&lt;=0.01,ABS(J529-K529)&lt;=0.01,L529=1),"一致","检查"))</x:f>
      </x:c>
      <x:c r="N529" s="64" t="str">
        <x:f>IF(A529="","",IF(COUNTIF($A$5:$A$1204,A529)&gt;1,"重复",""))</x:f>
      </x:c>
    </x:row>
    <x:row r="530">
      <x:c r="A530" s="62"/>
      <x:c r="B530" s="62"/>
      <x:c r="C530" s="62"/>
      <x:c r="D530" s="62"/>
      <x:c r="E530" s="62"/>
      <x:c r="F530" s="62"/>
      <x:c r="G530" s="66"/>
      <x:c r="H530" s="68"/>
      <x:c r="I530" s="68"/>
      <x:c r="J530" s="68"/>
      <x:c r="K530" s="68"/>
      <x:c r="L530" s="70"/>
      <x:c r="M530" s="64" t="str">
        <x:f>IF(A530="","",IF(AND(E530&lt;&gt;"",F530&lt;&gt;"",ABS(H530-I530)&lt;=0.01,ABS(J530-K530)&lt;=0.01,L530=1),"一致","检查"))</x:f>
      </x:c>
      <x:c r="N530" s="64" t="str">
        <x:f>IF(A530="","",IF(COUNTIF($A$5:$A$1204,A530)&gt;1,"重复",""))</x:f>
      </x:c>
    </x:row>
    <x:row r="531">
      <x:c r="A531" s="62"/>
      <x:c r="B531" s="62"/>
      <x:c r="C531" s="62"/>
      <x:c r="D531" s="62"/>
      <x:c r="E531" s="62"/>
      <x:c r="F531" s="62"/>
      <x:c r="G531" s="66"/>
      <x:c r="H531" s="68"/>
      <x:c r="I531" s="68"/>
      <x:c r="J531" s="68"/>
      <x:c r="K531" s="68"/>
      <x:c r="L531" s="70"/>
      <x:c r="M531" s="64" t="str">
        <x:f>IF(A531="","",IF(AND(E531&lt;&gt;"",F531&lt;&gt;"",ABS(H531-I531)&lt;=0.01,ABS(J531-K531)&lt;=0.01,L531=1),"一致","检查"))</x:f>
      </x:c>
      <x:c r="N531" s="64" t="str">
        <x:f>IF(A531="","",IF(COUNTIF($A$5:$A$1204,A531)&gt;1,"重复",""))</x:f>
      </x:c>
    </x:row>
    <x:row r="532">
      <x:c r="A532" s="62"/>
      <x:c r="B532" s="62"/>
      <x:c r="C532" s="62"/>
      <x:c r="D532" s="62"/>
      <x:c r="E532" s="62"/>
      <x:c r="F532" s="62"/>
      <x:c r="G532" s="66"/>
      <x:c r="H532" s="68"/>
      <x:c r="I532" s="68"/>
      <x:c r="J532" s="68"/>
      <x:c r="K532" s="68"/>
      <x:c r="L532" s="70"/>
      <x:c r="M532" s="64" t="str">
        <x:f>IF(A532="","",IF(AND(E532&lt;&gt;"",F532&lt;&gt;"",ABS(H532-I532)&lt;=0.01,ABS(J532-K532)&lt;=0.01,L532=1),"一致","检查"))</x:f>
      </x:c>
      <x:c r="N532" s="64" t="str">
        <x:f>IF(A532="","",IF(COUNTIF($A$5:$A$1204,A532)&gt;1,"重复",""))</x:f>
      </x:c>
    </x:row>
    <x:row r="533">
      <x:c r="A533" s="62"/>
      <x:c r="B533" s="62"/>
      <x:c r="C533" s="62"/>
      <x:c r="D533" s="62"/>
      <x:c r="E533" s="62"/>
      <x:c r="F533" s="62"/>
      <x:c r="G533" s="66"/>
      <x:c r="H533" s="68"/>
      <x:c r="I533" s="68"/>
      <x:c r="J533" s="68"/>
      <x:c r="K533" s="68"/>
      <x:c r="L533" s="70"/>
      <x:c r="M533" s="64" t="str">
        <x:f>IF(A533="","",IF(AND(E533&lt;&gt;"",F533&lt;&gt;"",ABS(H533-I533)&lt;=0.01,ABS(J533-K533)&lt;=0.01,L533=1),"一致","检查"))</x:f>
      </x:c>
      <x:c r="N533" s="64" t="str">
        <x:f>IF(A533="","",IF(COUNTIF($A$5:$A$1204,A533)&gt;1,"重复",""))</x:f>
      </x:c>
    </x:row>
    <x:row r="534">
      <x:c r="A534" s="62"/>
      <x:c r="B534" s="62"/>
      <x:c r="C534" s="62"/>
      <x:c r="D534" s="62"/>
      <x:c r="E534" s="62"/>
      <x:c r="F534" s="62"/>
      <x:c r="G534" s="66"/>
      <x:c r="H534" s="68"/>
      <x:c r="I534" s="68"/>
      <x:c r="J534" s="68"/>
      <x:c r="K534" s="68"/>
      <x:c r="L534" s="70"/>
      <x:c r="M534" s="64" t="str">
        <x:f>IF(A534="","",IF(AND(E534&lt;&gt;"",F534&lt;&gt;"",ABS(H534-I534)&lt;=0.01,ABS(J534-K534)&lt;=0.01,L534=1),"一致","检查"))</x:f>
      </x:c>
      <x:c r="N534" s="64" t="str">
        <x:f>IF(A534="","",IF(COUNTIF($A$5:$A$1204,A534)&gt;1,"重复",""))</x:f>
      </x:c>
    </x:row>
    <x:row r="535">
      <x:c r="A535" s="62"/>
      <x:c r="B535" s="62"/>
      <x:c r="C535" s="62"/>
      <x:c r="D535" s="62"/>
      <x:c r="E535" s="62"/>
      <x:c r="F535" s="62"/>
      <x:c r="G535" s="66"/>
      <x:c r="H535" s="68"/>
      <x:c r="I535" s="68"/>
      <x:c r="J535" s="68"/>
      <x:c r="K535" s="68"/>
      <x:c r="L535" s="70"/>
      <x:c r="M535" s="64" t="str">
        <x:f>IF(A535="","",IF(AND(E535&lt;&gt;"",F535&lt;&gt;"",ABS(H535-I535)&lt;=0.01,ABS(J535-K535)&lt;=0.01,L535=1),"一致","检查"))</x:f>
      </x:c>
      <x:c r="N535" s="64" t="str">
        <x:f>IF(A535="","",IF(COUNTIF($A$5:$A$1204,A535)&gt;1,"重复",""))</x:f>
      </x:c>
    </x:row>
    <x:row r="536">
      <x:c r="A536" s="62"/>
      <x:c r="B536" s="62"/>
      <x:c r="C536" s="62"/>
      <x:c r="D536" s="62"/>
      <x:c r="E536" s="62"/>
      <x:c r="F536" s="62"/>
      <x:c r="G536" s="66"/>
      <x:c r="H536" s="68"/>
      <x:c r="I536" s="68"/>
      <x:c r="J536" s="68"/>
      <x:c r="K536" s="68"/>
      <x:c r="L536" s="70"/>
      <x:c r="M536" s="64" t="str">
        <x:f>IF(A536="","",IF(AND(E536&lt;&gt;"",F536&lt;&gt;"",ABS(H536-I536)&lt;=0.01,ABS(J536-K536)&lt;=0.01,L536=1),"一致","检查"))</x:f>
      </x:c>
      <x:c r="N536" s="64" t="str">
        <x:f>IF(A536="","",IF(COUNTIF($A$5:$A$1204,A536)&gt;1,"重复",""))</x:f>
      </x:c>
    </x:row>
    <x:row r="537">
      <x:c r="A537" s="62"/>
      <x:c r="B537" s="62"/>
      <x:c r="C537" s="62"/>
      <x:c r="D537" s="62"/>
      <x:c r="E537" s="62"/>
      <x:c r="F537" s="62"/>
      <x:c r="G537" s="66"/>
      <x:c r="H537" s="68"/>
      <x:c r="I537" s="68"/>
      <x:c r="J537" s="68"/>
      <x:c r="K537" s="68"/>
      <x:c r="L537" s="70"/>
      <x:c r="M537" s="64" t="str">
        <x:f>IF(A537="","",IF(AND(E537&lt;&gt;"",F537&lt;&gt;"",ABS(H537-I537)&lt;=0.01,ABS(J537-K537)&lt;=0.01,L537=1),"一致","检查"))</x:f>
      </x:c>
      <x:c r="N537" s="64" t="str">
        <x:f>IF(A537="","",IF(COUNTIF($A$5:$A$1204,A537)&gt;1,"重复",""))</x:f>
      </x:c>
    </x:row>
    <x:row r="538">
      <x:c r="A538" s="62"/>
      <x:c r="B538" s="62"/>
      <x:c r="C538" s="62"/>
      <x:c r="D538" s="62"/>
      <x:c r="E538" s="62"/>
      <x:c r="F538" s="62"/>
      <x:c r="G538" s="66"/>
      <x:c r="H538" s="68"/>
      <x:c r="I538" s="68"/>
      <x:c r="J538" s="68"/>
      <x:c r="K538" s="68"/>
      <x:c r="L538" s="70"/>
      <x:c r="M538" s="64" t="str">
        <x:f>IF(A538="","",IF(AND(E538&lt;&gt;"",F538&lt;&gt;"",ABS(H538-I538)&lt;=0.01,ABS(J538-K538)&lt;=0.01,L538=1),"一致","检查"))</x:f>
      </x:c>
      <x:c r="N538" s="64" t="str">
        <x:f>IF(A538="","",IF(COUNTIF($A$5:$A$1204,A538)&gt;1,"重复",""))</x:f>
      </x:c>
    </x:row>
    <x:row r="539">
      <x:c r="A539" s="62"/>
      <x:c r="B539" s="62"/>
      <x:c r="C539" s="62"/>
      <x:c r="D539" s="62"/>
      <x:c r="E539" s="62"/>
      <x:c r="F539" s="62"/>
      <x:c r="G539" s="66"/>
      <x:c r="H539" s="68"/>
      <x:c r="I539" s="68"/>
      <x:c r="J539" s="68"/>
      <x:c r="K539" s="68"/>
      <x:c r="L539" s="70"/>
      <x:c r="M539" s="64" t="str">
        <x:f>IF(A539="","",IF(AND(E539&lt;&gt;"",F539&lt;&gt;"",ABS(H539-I539)&lt;=0.01,ABS(J539-K539)&lt;=0.01,L539=1),"一致","检查"))</x:f>
      </x:c>
      <x:c r="N539" s="64" t="str">
        <x:f>IF(A539="","",IF(COUNTIF($A$5:$A$1204,A539)&gt;1,"重复",""))</x:f>
      </x:c>
    </x:row>
    <x:row r="540">
      <x:c r="A540" s="62"/>
      <x:c r="B540" s="62"/>
      <x:c r="C540" s="62"/>
      <x:c r="D540" s="62"/>
      <x:c r="E540" s="62"/>
      <x:c r="F540" s="62"/>
      <x:c r="G540" s="66"/>
      <x:c r="H540" s="68"/>
      <x:c r="I540" s="68"/>
      <x:c r="J540" s="68"/>
      <x:c r="K540" s="68"/>
      <x:c r="L540" s="70"/>
      <x:c r="M540" s="64" t="str">
        <x:f>IF(A540="","",IF(AND(E540&lt;&gt;"",F540&lt;&gt;"",ABS(H540-I540)&lt;=0.01,ABS(J540-K540)&lt;=0.01,L540=1),"一致","检查"))</x:f>
      </x:c>
      <x:c r="N540" s="64" t="str">
        <x:f>IF(A540="","",IF(COUNTIF($A$5:$A$1204,A540)&gt;1,"重复",""))</x:f>
      </x:c>
    </x:row>
    <x:row r="541">
      <x:c r="A541" s="62"/>
      <x:c r="B541" s="62"/>
      <x:c r="C541" s="62"/>
      <x:c r="D541" s="62"/>
      <x:c r="E541" s="62"/>
      <x:c r="F541" s="62"/>
      <x:c r="G541" s="66"/>
      <x:c r="H541" s="68"/>
      <x:c r="I541" s="68"/>
      <x:c r="J541" s="68"/>
      <x:c r="K541" s="68"/>
      <x:c r="L541" s="70"/>
      <x:c r="M541" s="64" t="str">
        <x:f>IF(A541="","",IF(AND(E541&lt;&gt;"",F541&lt;&gt;"",ABS(H541-I541)&lt;=0.01,ABS(J541-K541)&lt;=0.01,L541=1),"一致","检查"))</x:f>
      </x:c>
      <x:c r="N541" s="64" t="str">
        <x:f>IF(A541="","",IF(COUNTIF($A$5:$A$1204,A541)&gt;1,"重复",""))</x:f>
      </x:c>
    </x:row>
    <x:row r="542">
      <x:c r="A542" s="62"/>
      <x:c r="B542" s="62"/>
      <x:c r="C542" s="62"/>
      <x:c r="D542" s="62"/>
      <x:c r="E542" s="62"/>
      <x:c r="F542" s="62"/>
      <x:c r="G542" s="66"/>
      <x:c r="H542" s="68"/>
      <x:c r="I542" s="68"/>
      <x:c r="J542" s="68"/>
      <x:c r="K542" s="68"/>
      <x:c r="L542" s="70"/>
      <x:c r="M542" s="64" t="str">
        <x:f>IF(A542="","",IF(AND(E542&lt;&gt;"",F542&lt;&gt;"",ABS(H542-I542)&lt;=0.01,ABS(J542-K542)&lt;=0.01,L542=1),"一致","检查"))</x:f>
      </x:c>
      <x:c r="N542" s="64" t="str">
        <x:f>IF(A542="","",IF(COUNTIF($A$5:$A$1204,A542)&gt;1,"重复",""))</x:f>
      </x:c>
    </x:row>
    <x:row r="543">
      <x:c r="A543" s="62"/>
      <x:c r="B543" s="62"/>
      <x:c r="C543" s="62"/>
      <x:c r="D543" s="62"/>
      <x:c r="E543" s="62"/>
      <x:c r="F543" s="62"/>
      <x:c r="G543" s="66"/>
      <x:c r="H543" s="68"/>
      <x:c r="I543" s="68"/>
      <x:c r="J543" s="68"/>
      <x:c r="K543" s="68"/>
      <x:c r="L543" s="70"/>
      <x:c r="M543" s="64" t="str">
        <x:f>IF(A543="","",IF(AND(E543&lt;&gt;"",F543&lt;&gt;"",ABS(H543-I543)&lt;=0.01,ABS(J543-K543)&lt;=0.01,L543=1),"一致","检查"))</x:f>
      </x:c>
      <x:c r="N543" s="64" t="str">
        <x:f>IF(A543="","",IF(COUNTIF($A$5:$A$1204,A543)&gt;1,"重复",""))</x:f>
      </x:c>
    </x:row>
    <x:row r="544">
      <x:c r="A544" s="62"/>
      <x:c r="B544" s="62"/>
      <x:c r="C544" s="62"/>
      <x:c r="D544" s="62"/>
      <x:c r="E544" s="62"/>
      <x:c r="F544" s="62"/>
      <x:c r="G544" s="66"/>
      <x:c r="H544" s="68"/>
      <x:c r="I544" s="68"/>
      <x:c r="J544" s="68"/>
      <x:c r="K544" s="68"/>
      <x:c r="L544" s="70"/>
      <x:c r="M544" s="64" t="str">
        <x:f>IF(A544="","",IF(AND(E544&lt;&gt;"",F544&lt;&gt;"",ABS(H544-I544)&lt;=0.01,ABS(J544-K544)&lt;=0.01,L544=1),"一致","检查"))</x:f>
      </x:c>
      <x:c r="N544" s="64" t="str">
        <x:f>IF(A544="","",IF(COUNTIF($A$5:$A$1204,A544)&gt;1,"重复",""))</x:f>
      </x:c>
    </x:row>
    <x:row r="545">
      <x:c r="A545" s="62"/>
      <x:c r="B545" s="62"/>
      <x:c r="C545" s="62"/>
      <x:c r="D545" s="62"/>
      <x:c r="E545" s="62"/>
      <x:c r="F545" s="62"/>
      <x:c r="G545" s="66"/>
      <x:c r="H545" s="68"/>
      <x:c r="I545" s="68"/>
      <x:c r="J545" s="68"/>
      <x:c r="K545" s="68"/>
      <x:c r="L545" s="70"/>
      <x:c r="M545" s="64" t="str">
        <x:f>IF(A545="","",IF(AND(E545&lt;&gt;"",F545&lt;&gt;"",ABS(H545-I545)&lt;=0.01,ABS(J545-K545)&lt;=0.01,L545=1),"一致","检查"))</x:f>
      </x:c>
      <x:c r="N545" s="64" t="str">
        <x:f>IF(A545="","",IF(COUNTIF($A$5:$A$1204,A545)&gt;1,"重复",""))</x:f>
      </x:c>
    </x:row>
    <x:row r="546">
      <x:c r="A546" s="62"/>
      <x:c r="B546" s="62"/>
      <x:c r="C546" s="62"/>
      <x:c r="D546" s="62"/>
      <x:c r="E546" s="62"/>
      <x:c r="F546" s="62"/>
      <x:c r="G546" s="66"/>
      <x:c r="H546" s="68"/>
      <x:c r="I546" s="68"/>
      <x:c r="J546" s="68"/>
      <x:c r="K546" s="68"/>
      <x:c r="L546" s="70"/>
      <x:c r="M546" s="64" t="str">
        <x:f>IF(A546="","",IF(AND(E546&lt;&gt;"",F546&lt;&gt;"",ABS(H546-I546)&lt;=0.01,ABS(J546-K546)&lt;=0.01,L546=1),"一致","检查"))</x:f>
      </x:c>
      <x:c r="N546" s="64" t="str">
        <x:f>IF(A546="","",IF(COUNTIF($A$5:$A$1204,A546)&gt;1,"重复",""))</x:f>
      </x:c>
    </x:row>
    <x:row r="547">
      <x:c r="A547" s="62"/>
      <x:c r="B547" s="62"/>
      <x:c r="C547" s="62"/>
      <x:c r="D547" s="62"/>
      <x:c r="E547" s="62"/>
      <x:c r="F547" s="62"/>
      <x:c r="G547" s="66"/>
      <x:c r="H547" s="68"/>
      <x:c r="I547" s="68"/>
      <x:c r="J547" s="68"/>
      <x:c r="K547" s="68"/>
      <x:c r="L547" s="70"/>
      <x:c r="M547" s="64" t="str">
        <x:f>IF(A547="","",IF(AND(E547&lt;&gt;"",F547&lt;&gt;"",ABS(H547-I547)&lt;=0.01,ABS(J547-K547)&lt;=0.01,L547=1),"一致","检查"))</x:f>
      </x:c>
      <x:c r="N547" s="64" t="str">
        <x:f>IF(A547="","",IF(COUNTIF($A$5:$A$1204,A547)&gt;1,"重复",""))</x:f>
      </x:c>
    </x:row>
    <x:row r="548">
      <x:c r="A548" s="62"/>
      <x:c r="B548" s="62"/>
      <x:c r="C548" s="62"/>
      <x:c r="D548" s="62"/>
      <x:c r="E548" s="62"/>
      <x:c r="F548" s="62"/>
      <x:c r="G548" s="66"/>
      <x:c r="H548" s="68"/>
      <x:c r="I548" s="68"/>
      <x:c r="J548" s="68"/>
      <x:c r="K548" s="68"/>
      <x:c r="L548" s="70"/>
      <x:c r="M548" s="64" t="str">
        <x:f>IF(A548="","",IF(AND(E548&lt;&gt;"",F548&lt;&gt;"",ABS(H548-I548)&lt;=0.01,ABS(J548-K548)&lt;=0.01,L548=1),"一致","检查"))</x:f>
      </x:c>
      <x:c r="N548" s="64" t="str">
        <x:f>IF(A548="","",IF(COUNTIF($A$5:$A$1204,A548)&gt;1,"重复",""))</x:f>
      </x:c>
    </x:row>
    <x:row r="549">
      <x:c r="A549" s="62"/>
      <x:c r="B549" s="62"/>
      <x:c r="C549" s="62"/>
      <x:c r="D549" s="62"/>
      <x:c r="E549" s="62"/>
      <x:c r="F549" s="62"/>
      <x:c r="G549" s="66"/>
      <x:c r="H549" s="68"/>
      <x:c r="I549" s="68"/>
      <x:c r="J549" s="68"/>
      <x:c r="K549" s="68"/>
      <x:c r="L549" s="70"/>
      <x:c r="M549" s="64" t="str">
        <x:f>IF(A549="","",IF(AND(E549&lt;&gt;"",F549&lt;&gt;"",ABS(H549-I549)&lt;=0.01,ABS(J549-K549)&lt;=0.01,L549=1),"一致","检查"))</x:f>
      </x:c>
      <x:c r="N549" s="64" t="str">
        <x:f>IF(A549="","",IF(COUNTIF($A$5:$A$1204,A549)&gt;1,"重复",""))</x:f>
      </x:c>
    </x:row>
    <x:row r="550">
      <x:c r="A550" s="62"/>
      <x:c r="B550" s="62"/>
      <x:c r="C550" s="62"/>
      <x:c r="D550" s="62"/>
      <x:c r="E550" s="62"/>
      <x:c r="F550" s="62"/>
      <x:c r="G550" s="66"/>
      <x:c r="H550" s="68"/>
      <x:c r="I550" s="68"/>
      <x:c r="J550" s="68"/>
      <x:c r="K550" s="68"/>
      <x:c r="L550" s="70"/>
      <x:c r="M550" s="64" t="str">
        <x:f>IF(A550="","",IF(AND(E550&lt;&gt;"",F550&lt;&gt;"",ABS(H550-I550)&lt;=0.01,ABS(J550-K550)&lt;=0.01,L550=1),"一致","检查"))</x:f>
      </x:c>
      <x:c r="N550" s="64" t="str">
        <x:f>IF(A550="","",IF(COUNTIF($A$5:$A$1204,A550)&gt;1,"重复",""))</x:f>
      </x:c>
    </x:row>
    <x:row r="551">
      <x:c r="A551" s="62"/>
      <x:c r="B551" s="62"/>
      <x:c r="C551" s="62"/>
      <x:c r="D551" s="62"/>
      <x:c r="E551" s="62"/>
      <x:c r="F551" s="62"/>
      <x:c r="G551" s="66"/>
      <x:c r="H551" s="68"/>
      <x:c r="I551" s="68"/>
      <x:c r="J551" s="68"/>
      <x:c r="K551" s="68"/>
      <x:c r="L551" s="70"/>
      <x:c r="M551" s="64" t="str">
        <x:f>IF(A551="","",IF(AND(E551&lt;&gt;"",F551&lt;&gt;"",ABS(H551-I551)&lt;=0.01,ABS(J551-K551)&lt;=0.01,L551=1),"一致","检查"))</x:f>
      </x:c>
      <x:c r="N551" s="64" t="str">
        <x:f>IF(A551="","",IF(COUNTIF($A$5:$A$1204,A551)&gt;1,"重复",""))</x:f>
      </x:c>
    </x:row>
    <x:row r="552">
      <x:c r="A552" s="62"/>
      <x:c r="B552" s="62"/>
      <x:c r="C552" s="62"/>
      <x:c r="D552" s="62"/>
      <x:c r="E552" s="62"/>
      <x:c r="F552" s="62"/>
      <x:c r="G552" s="66"/>
      <x:c r="H552" s="68"/>
      <x:c r="I552" s="68"/>
      <x:c r="J552" s="68"/>
      <x:c r="K552" s="68"/>
      <x:c r="L552" s="70"/>
      <x:c r="M552" s="64" t="str">
        <x:f>IF(A552="","",IF(AND(E552&lt;&gt;"",F552&lt;&gt;"",ABS(H552-I552)&lt;=0.01,ABS(J552-K552)&lt;=0.01,L552=1),"一致","检查"))</x:f>
      </x:c>
      <x:c r="N552" s="64" t="str">
        <x:f>IF(A552="","",IF(COUNTIF($A$5:$A$1204,A552)&gt;1,"重复",""))</x:f>
      </x:c>
    </x:row>
    <x:row r="553">
      <x:c r="A553" s="62"/>
      <x:c r="B553" s="62"/>
      <x:c r="C553" s="62"/>
      <x:c r="D553" s="62"/>
      <x:c r="E553" s="62"/>
      <x:c r="F553" s="62"/>
      <x:c r="G553" s="66"/>
      <x:c r="H553" s="68"/>
      <x:c r="I553" s="68"/>
      <x:c r="J553" s="68"/>
      <x:c r="K553" s="68"/>
      <x:c r="L553" s="70"/>
      <x:c r="M553" s="64" t="str">
        <x:f>IF(A553="","",IF(AND(E553&lt;&gt;"",F553&lt;&gt;"",ABS(H553-I553)&lt;=0.01,ABS(J553-K553)&lt;=0.01,L553=1),"一致","检查"))</x:f>
      </x:c>
      <x:c r="N553" s="64" t="str">
        <x:f>IF(A553="","",IF(COUNTIF($A$5:$A$1204,A553)&gt;1,"重复",""))</x:f>
      </x:c>
    </x:row>
    <x:row r="554">
      <x:c r="A554" s="62"/>
      <x:c r="B554" s="62"/>
      <x:c r="C554" s="62"/>
      <x:c r="D554" s="62"/>
      <x:c r="E554" s="62"/>
      <x:c r="F554" s="62"/>
      <x:c r="G554" s="66"/>
      <x:c r="H554" s="68"/>
      <x:c r="I554" s="68"/>
      <x:c r="J554" s="68"/>
      <x:c r="K554" s="68"/>
      <x:c r="L554" s="70"/>
      <x:c r="M554" s="64" t="str">
        <x:f>IF(A554="","",IF(AND(E554&lt;&gt;"",F554&lt;&gt;"",ABS(H554-I554)&lt;=0.01,ABS(J554-K554)&lt;=0.01,L554=1),"一致","检查"))</x:f>
      </x:c>
      <x:c r="N554" s="64" t="str">
        <x:f>IF(A554="","",IF(COUNTIF($A$5:$A$1204,A554)&gt;1,"重复",""))</x:f>
      </x:c>
    </x:row>
    <x:row r="555">
      <x:c r="A555" s="62"/>
      <x:c r="B555" s="62"/>
      <x:c r="C555" s="62"/>
      <x:c r="D555" s="62"/>
      <x:c r="E555" s="62"/>
      <x:c r="F555" s="62"/>
      <x:c r="G555" s="66"/>
      <x:c r="H555" s="68"/>
      <x:c r="I555" s="68"/>
      <x:c r="J555" s="68"/>
      <x:c r="K555" s="68"/>
      <x:c r="L555" s="70"/>
      <x:c r="M555" s="64" t="str">
        <x:f>IF(A555="","",IF(AND(E555&lt;&gt;"",F555&lt;&gt;"",ABS(H555-I555)&lt;=0.01,ABS(J555-K555)&lt;=0.01,L555=1),"一致","检查"))</x:f>
      </x:c>
      <x:c r="N555" s="64" t="str">
        <x:f>IF(A555="","",IF(COUNTIF($A$5:$A$1204,A555)&gt;1,"重复",""))</x:f>
      </x:c>
    </x:row>
    <x:row r="556">
      <x:c r="A556" s="62"/>
      <x:c r="B556" s="62"/>
      <x:c r="C556" s="62"/>
      <x:c r="D556" s="62"/>
      <x:c r="E556" s="62"/>
      <x:c r="F556" s="62"/>
      <x:c r="G556" s="66"/>
      <x:c r="H556" s="68"/>
      <x:c r="I556" s="68"/>
      <x:c r="J556" s="68"/>
      <x:c r="K556" s="68"/>
      <x:c r="L556" s="70"/>
      <x:c r="M556" s="64" t="str">
        <x:f>IF(A556="","",IF(AND(E556&lt;&gt;"",F556&lt;&gt;"",ABS(H556-I556)&lt;=0.01,ABS(J556-K556)&lt;=0.01,L556=1),"一致","检查"))</x:f>
      </x:c>
      <x:c r="N556" s="64" t="str">
        <x:f>IF(A556="","",IF(COUNTIF($A$5:$A$1204,A556)&gt;1,"重复",""))</x:f>
      </x:c>
    </x:row>
    <x:row r="557">
      <x:c r="A557" s="62"/>
      <x:c r="B557" s="62"/>
      <x:c r="C557" s="62"/>
      <x:c r="D557" s="62"/>
      <x:c r="E557" s="62"/>
      <x:c r="F557" s="62"/>
      <x:c r="G557" s="66"/>
      <x:c r="H557" s="68"/>
      <x:c r="I557" s="68"/>
      <x:c r="J557" s="68"/>
      <x:c r="K557" s="68"/>
      <x:c r="L557" s="70"/>
      <x:c r="M557" s="64" t="str">
        <x:f>IF(A557="","",IF(AND(E557&lt;&gt;"",F557&lt;&gt;"",ABS(H557-I557)&lt;=0.01,ABS(J557-K557)&lt;=0.01,L557=1),"一致","检查"))</x:f>
      </x:c>
      <x:c r="N557" s="64" t="str">
        <x:f>IF(A557="","",IF(COUNTIF($A$5:$A$1204,A557)&gt;1,"重复",""))</x:f>
      </x:c>
    </x:row>
    <x:row r="558">
      <x:c r="A558" s="62"/>
      <x:c r="B558" s="62"/>
      <x:c r="C558" s="62"/>
      <x:c r="D558" s="62"/>
      <x:c r="E558" s="62"/>
      <x:c r="F558" s="62"/>
      <x:c r="G558" s="66"/>
      <x:c r="H558" s="68"/>
      <x:c r="I558" s="68"/>
      <x:c r="J558" s="68"/>
      <x:c r="K558" s="68"/>
      <x:c r="L558" s="70"/>
      <x:c r="M558" s="64" t="str">
        <x:f>IF(A558="","",IF(AND(E558&lt;&gt;"",F558&lt;&gt;"",ABS(H558-I558)&lt;=0.01,ABS(J558-K558)&lt;=0.01,L558=1),"一致","检查"))</x:f>
      </x:c>
      <x:c r="N558" s="64" t="str">
        <x:f>IF(A558="","",IF(COUNTIF($A$5:$A$1204,A558)&gt;1,"重复",""))</x:f>
      </x:c>
    </x:row>
    <x:row r="559">
      <x:c r="A559" s="62"/>
      <x:c r="B559" s="62"/>
      <x:c r="C559" s="62"/>
      <x:c r="D559" s="62"/>
      <x:c r="E559" s="62"/>
      <x:c r="F559" s="62"/>
      <x:c r="G559" s="66"/>
      <x:c r="H559" s="68"/>
      <x:c r="I559" s="68"/>
      <x:c r="J559" s="68"/>
      <x:c r="K559" s="68"/>
      <x:c r="L559" s="70"/>
      <x:c r="M559" s="64" t="str">
        <x:f>IF(A559="","",IF(AND(E559&lt;&gt;"",F559&lt;&gt;"",ABS(H559-I559)&lt;=0.01,ABS(J559-K559)&lt;=0.01,L559=1),"一致","检查"))</x:f>
      </x:c>
      <x:c r="N559" s="64" t="str">
        <x:f>IF(A559="","",IF(COUNTIF($A$5:$A$1204,A559)&gt;1,"重复",""))</x:f>
      </x:c>
    </x:row>
    <x:row r="560">
      <x:c r="A560" s="62"/>
      <x:c r="B560" s="62"/>
      <x:c r="C560" s="62"/>
      <x:c r="D560" s="62"/>
      <x:c r="E560" s="62"/>
      <x:c r="F560" s="62"/>
      <x:c r="G560" s="66"/>
      <x:c r="H560" s="68"/>
      <x:c r="I560" s="68"/>
      <x:c r="J560" s="68"/>
      <x:c r="K560" s="68"/>
      <x:c r="L560" s="70"/>
      <x:c r="M560" s="64" t="str">
        <x:f>IF(A560="","",IF(AND(E560&lt;&gt;"",F560&lt;&gt;"",ABS(H560-I560)&lt;=0.01,ABS(J560-K560)&lt;=0.01,L560=1),"一致","检查"))</x:f>
      </x:c>
      <x:c r="N560" s="64" t="str">
        <x:f>IF(A560="","",IF(COUNTIF($A$5:$A$1204,A560)&gt;1,"重复",""))</x:f>
      </x:c>
    </x:row>
    <x:row r="561">
      <x:c r="A561" s="62"/>
      <x:c r="B561" s="62"/>
      <x:c r="C561" s="62"/>
      <x:c r="D561" s="62"/>
      <x:c r="E561" s="62"/>
      <x:c r="F561" s="62"/>
      <x:c r="G561" s="66"/>
      <x:c r="H561" s="68"/>
      <x:c r="I561" s="68"/>
      <x:c r="J561" s="68"/>
      <x:c r="K561" s="68"/>
      <x:c r="L561" s="70"/>
      <x:c r="M561" s="64" t="str">
        <x:f>IF(A561="","",IF(AND(E561&lt;&gt;"",F561&lt;&gt;"",ABS(H561-I561)&lt;=0.01,ABS(J561-K561)&lt;=0.01,L561=1),"一致","检查"))</x:f>
      </x:c>
      <x:c r="N561" s="64" t="str">
        <x:f>IF(A561="","",IF(COUNTIF($A$5:$A$1204,A561)&gt;1,"重复",""))</x:f>
      </x:c>
    </x:row>
    <x:row r="562">
      <x:c r="A562" s="62"/>
      <x:c r="B562" s="62"/>
      <x:c r="C562" s="62"/>
      <x:c r="D562" s="62"/>
      <x:c r="E562" s="62"/>
      <x:c r="F562" s="62"/>
      <x:c r="G562" s="66"/>
      <x:c r="H562" s="68"/>
      <x:c r="I562" s="68"/>
      <x:c r="J562" s="68"/>
      <x:c r="K562" s="68"/>
      <x:c r="L562" s="70"/>
      <x:c r="M562" s="64" t="str">
        <x:f>IF(A562="","",IF(AND(E562&lt;&gt;"",F562&lt;&gt;"",ABS(H562-I562)&lt;=0.01,ABS(J562-K562)&lt;=0.01,L562=1),"一致","检查"))</x:f>
      </x:c>
      <x:c r="N562" s="64" t="str">
        <x:f>IF(A562="","",IF(COUNTIF($A$5:$A$1204,A562)&gt;1,"重复",""))</x:f>
      </x:c>
    </x:row>
    <x:row r="563">
      <x:c r="A563" s="62"/>
      <x:c r="B563" s="62"/>
      <x:c r="C563" s="62"/>
      <x:c r="D563" s="62"/>
      <x:c r="E563" s="62"/>
      <x:c r="F563" s="62"/>
      <x:c r="G563" s="66"/>
      <x:c r="H563" s="68"/>
      <x:c r="I563" s="68"/>
      <x:c r="J563" s="68"/>
      <x:c r="K563" s="68"/>
      <x:c r="L563" s="70"/>
      <x:c r="M563" s="64" t="str">
        <x:f>IF(A563="","",IF(AND(E563&lt;&gt;"",F563&lt;&gt;"",ABS(H563-I563)&lt;=0.01,ABS(J563-K563)&lt;=0.01,L563=1),"一致","检查"))</x:f>
      </x:c>
      <x:c r="N563" s="64" t="str">
        <x:f>IF(A563="","",IF(COUNTIF($A$5:$A$1204,A563)&gt;1,"重复",""))</x:f>
      </x:c>
    </x:row>
    <x:row r="564">
      <x:c r="A564" s="62"/>
      <x:c r="B564" s="62"/>
      <x:c r="C564" s="62"/>
      <x:c r="D564" s="62"/>
      <x:c r="E564" s="62"/>
      <x:c r="F564" s="62"/>
      <x:c r="G564" s="66"/>
      <x:c r="H564" s="68"/>
      <x:c r="I564" s="68"/>
      <x:c r="J564" s="68"/>
      <x:c r="K564" s="68"/>
      <x:c r="L564" s="70"/>
      <x:c r="M564" s="64" t="str">
        <x:f>IF(A564="","",IF(AND(E564&lt;&gt;"",F564&lt;&gt;"",ABS(H564-I564)&lt;=0.01,ABS(J564-K564)&lt;=0.01,L564=1),"一致","检查"))</x:f>
      </x:c>
      <x:c r="N564" s="64" t="str">
        <x:f>IF(A564="","",IF(COUNTIF($A$5:$A$1204,A564)&gt;1,"重复",""))</x:f>
      </x:c>
    </x:row>
    <x:row r="565">
      <x:c r="A565" s="62"/>
      <x:c r="B565" s="62"/>
      <x:c r="C565" s="62"/>
      <x:c r="D565" s="62"/>
      <x:c r="E565" s="62"/>
      <x:c r="F565" s="62"/>
      <x:c r="G565" s="66"/>
      <x:c r="H565" s="68"/>
      <x:c r="I565" s="68"/>
      <x:c r="J565" s="68"/>
      <x:c r="K565" s="68"/>
      <x:c r="L565" s="70"/>
      <x:c r="M565" s="64" t="str">
        <x:f>IF(A565="","",IF(AND(E565&lt;&gt;"",F565&lt;&gt;"",ABS(H565-I565)&lt;=0.01,ABS(J565-K565)&lt;=0.01,L565=1),"一致","检查"))</x:f>
      </x:c>
      <x:c r="N565" s="64" t="str">
        <x:f>IF(A565="","",IF(COUNTIF($A$5:$A$1204,A565)&gt;1,"重复",""))</x:f>
      </x:c>
    </x:row>
    <x:row r="566">
      <x:c r="A566" s="62"/>
      <x:c r="B566" s="62"/>
      <x:c r="C566" s="62"/>
      <x:c r="D566" s="62"/>
      <x:c r="E566" s="62"/>
      <x:c r="F566" s="62"/>
      <x:c r="G566" s="66"/>
      <x:c r="H566" s="68"/>
      <x:c r="I566" s="68"/>
      <x:c r="J566" s="68"/>
      <x:c r="K566" s="68"/>
      <x:c r="L566" s="70"/>
      <x:c r="M566" s="64" t="str">
        <x:f>IF(A566="","",IF(AND(E566&lt;&gt;"",F566&lt;&gt;"",ABS(H566-I566)&lt;=0.01,ABS(J566-K566)&lt;=0.01,L566=1),"一致","检查"))</x:f>
      </x:c>
      <x:c r="N566" s="64" t="str">
        <x:f>IF(A566="","",IF(COUNTIF($A$5:$A$1204,A566)&gt;1,"重复",""))</x:f>
      </x:c>
    </x:row>
    <x:row r="567">
      <x:c r="A567" s="62"/>
      <x:c r="B567" s="62"/>
      <x:c r="C567" s="62"/>
      <x:c r="D567" s="62"/>
      <x:c r="E567" s="62"/>
      <x:c r="F567" s="62"/>
      <x:c r="G567" s="66"/>
      <x:c r="H567" s="68"/>
      <x:c r="I567" s="68"/>
      <x:c r="J567" s="68"/>
      <x:c r="K567" s="68"/>
      <x:c r="L567" s="70"/>
      <x:c r="M567" s="64" t="str">
        <x:f>IF(A567="","",IF(AND(E567&lt;&gt;"",F567&lt;&gt;"",ABS(H567-I567)&lt;=0.01,ABS(J567-K567)&lt;=0.01,L567=1),"一致","检查"))</x:f>
      </x:c>
      <x:c r="N567" s="64" t="str">
        <x:f>IF(A567="","",IF(COUNTIF($A$5:$A$1204,A567)&gt;1,"重复",""))</x:f>
      </x:c>
    </x:row>
    <x:row r="568">
      <x:c r="A568" s="62"/>
      <x:c r="B568" s="62"/>
      <x:c r="C568" s="62"/>
      <x:c r="D568" s="62"/>
      <x:c r="E568" s="62"/>
      <x:c r="F568" s="62"/>
      <x:c r="G568" s="66"/>
      <x:c r="H568" s="68"/>
      <x:c r="I568" s="68"/>
      <x:c r="J568" s="68"/>
      <x:c r="K568" s="68"/>
      <x:c r="L568" s="70"/>
      <x:c r="M568" s="64" t="str">
        <x:f>IF(A568="","",IF(AND(E568&lt;&gt;"",F568&lt;&gt;"",ABS(H568-I568)&lt;=0.01,ABS(J568-K568)&lt;=0.01,L568=1),"一致","检查"))</x:f>
      </x:c>
      <x:c r="N568" s="64" t="str">
        <x:f>IF(A568="","",IF(COUNTIF($A$5:$A$1204,A568)&gt;1,"重复",""))</x:f>
      </x:c>
    </x:row>
    <x:row r="569">
      <x:c r="A569" s="62"/>
      <x:c r="B569" s="62"/>
      <x:c r="C569" s="62"/>
      <x:c r="D569" s="62"/>
      <x:c r="E569" s="62"/>
      <x:c r="F569" s="62"/>
      <x:c r="G569" s="66"/>
      <x:c r="H569" s="68"/>
      <x:c r="I569" s="68"/>
      <x:c r="J569" s="68"/>
      <x:c r="K569" s="68"/>
      <x:c r="L569" s="70"/>
      <x:c r="M569" s="64" t="str">
        <x:f>IF(A569="","",IF(AND(E569&lt;&gt;"",F569&lt;&gt;"",ABS(H569-I569)&lt;=0.01,ABS(J569-K569)&lt;=0.01,L569=1),"一致","检查"))</x:f>
      </x:c>
      <x:c r="N569" s="64" t="str">
        <x:f>IF(A569="","",IF(COUNTIF($A$5:$A$1204,A569)&gt;1,"重复",""))</x:f>
      </x:c>
    </x:row>
    <x:row r="570">
      <x:c r="A570" s="62"/>
      <x:c r="B570" s="62"/>
      <x:c r="C570" s="62"/>
      <x:c r="D570" s="62"/>
      <x:c r="E570" s="62"/>
      <x:c r="F570" s="62"/>
      <x:c r="G570" s="66"/>
      <x:c r="H570" s="68"/>
      <x:c r="I570" s="68"/>
      <x:c r="J570" s="68"/>
      <x:c r="K570" s="68"/>
      <x:c r="L570" s="70"/>
      <x:c r="M570" s="64" t="str">
        <x:f>IF(A570="","",IF(AND(E570&lt;&gt;"",F570&lt;&gt;"",ABS(H570-I570)&lt;=0.01,ABS(J570-K570)&lt;=0.01,L570=1),"一致","检查"))</x:f>
      </x:c>
      <x:c r="N570" s="64" t="str">
        <x:f>IF(A570="","",IF(COUNTIF($A$5:$A$1204,A570)&gt;1,"重复",""))</x:f>
      </x:c>
    </x:row>
    <x:row r="571">
      <x:c r="A571" s="62"/>
      <x:c r="B571" s="62"/>
      <x:c r="C571" s="62"/>
      <x:c r="D571" s="62"/>
      <x:c r="E571" s="62"/>
      <x:c r="F571" s="62"/>
      <x:c r="G571" s="66"/>
      <x:c r="H571" s="68"/>
      <x:c r="I571" s="68"/>
      <x:c r="J571" s="68"/>
      <x:c r="K571" s="68"/>
      <x:c r="L571" s="70"/>
      <x:c r="M571" s="64" t="str">
        <x:f>IF(A571="","",IF(AND(E571&lt;&gt;"",F571&lt;&gt;"",ABS(H571-I571)&lt;=0.01,ABS(J571-K571)&lt;=0.01,L571=1),"一致","检查"))</x:f>
      </x:c>
      <x:c r="N571" s="64" t="str">
        <x:f>IF(A571="","",IF(COUNTIF($A$5:$A$1204,A571)&gt;1,"重复",""))</x:f>
      </x:c>
    </x:row>
    <x:row r="572">
      <x:c r="A572" s="62"/>
      <x:c r="B572" s="62"/>
      <x:c r="C572" s="62"/>
      <x:c r="D572" s="62"/>
      <x:c r="E572" s="62"/>
      <x:c r="F572" s="62"/>
      <x:c r="G572" s="66"/>
      <x:c r="H572" s="68"/>
      <x:c r="I572" s="68"/>
      <x:c r="J572" s="68"/>
      <x:c r="K572" s="68"/>
      <x:c r="L572" s="70"/>
      <x:c r="M572" s="64" t="str">
        <x:f>IF(A572="","",IF(AND(E572&lt;&gt;"",F572&lt;&gt;"",ABS(H572-I572)&lt;=0.01,ABS(J572-K572)&lt;=0.01,L572=1),"一致","检查"))</x:f>
      </x:c>
      <x:c r="N572" s="64" t="str">
        <x:f>IF(A572="","",IF(COUNTIF($A$5:$A$1204,A572)&gt;1,"重复",""))</x:f>
      </x:c>
    </x:row>
    <x:row r="573">
      <x:c r="A573" s="62"/>
      <x:c r="B573" s="62"/>
      <x:c r="C573" s="62"/>
      <x:c r="D573" s="62"/>
      <x:c r="E573" s="62"/>
      <x:c r="F573" s="62"/>
      <x:c r="G573" s="66"/>
      <x:c r="H573" s="68"/>
      <x:c r="I573" s="68"/>
      <x:c r="J573" s="68"/>
      <x:c r="K573" s="68"/>
      <x:c r="L573" s="70"/>
      <x:c r="M573" s="64" t="str">
        <x:f>IF(A573="","",IF(AND(E573&lt;&gt;"",F573&lt;&gt;"",ABS(H573-I573)&lt;=0.01,ABS(J573-K573)&lt;=0.01,L573=1),"一致","检查"))</x:f>
      </x:c>
      <x:c r="N573" s="64" t="str">
        <x:f>IF(A573="","",IF(COUNTIF($A$5:$A$1204,A573)&gt;1,"重复",""))</x:f>
      </x:c>
    </x:row>
    <x:row r="574">
      <x:c r="A574" s="62"/>
      <x:c r="B574" s="62"/>
      <x:c r="C574" s="62"/>
      <x:c r="D574" s="62"/>
      <x:c r="E574" s="62"/>
      <x:c r="F574" s="62"/>
      <x:c r="G574" s="66"/>
      <x:c r="H574" s="68"/>
      <x:c r="I574" s="68"/>
      <x:c r="J574" s="68"/>
      <x:c r="K574" s="68"/>
      <x:c r="L574" s="70"/>
      <x:c r="M574" s="64" t="str">
        <x:f>IF(A574="","",IF(AND(E574&lt;&gt;"",F574&lt;&gt;"",ABS(H574-I574)&lt;=0.01,ABS(J574-K574)&lt;=0.01,L574=1),"一致","检查"))</x:f>
      </x:c>
      <x:c r="N574" s="64" t="str">
        <x:f>IF(A574="","",IF(COUNTIF($A$5:$A$1204,A574)&gt;1,"重复",""))</x:f>
      </x:c>
    </x:row>
    <x:row r="575">
      <x:c r="A575" s="62"/>
      <x:c r="B575" s="62"/>
      <x:c r="C575" s="62"/>
      <x:c r="D575" s="62"/>
      <x:c r="E575" s="62"/>
      <x:c r="F575" s="62"/>
      <x:c r="G575" s="66"/>
      <x:c r="H575" s="68"/>
      <x:c r="I575" s="68"/>
      <x:c r="J575" s="68"/>
      <x:c r="K575" s="68"/>
      <x:c r="L575" s="70"/>
      <x:c r="M575" s="64" t="str">
        <x:f>IF(A575="","",IF(AND(E575&lt;&gt;"",F575&lt;&gt;"",ABS(H575-I575)&lt;=0.01,ABS(J575-K575)&lt;=0.01,L575=1),"一致","检查"))</x:f>
      </x:c>
      <x:c r="N575" s="64" t="str">
        <x:f>IF(A575="","",IF(COUNTIF($A$5:$A$1204,A575)&gt;1,"重复",""))</x:f>
      </x:c>
    </x:row>
    <x:row r="576">
      <x:c r="A576" s="62"/>
      <x:c r="B576" s="62"/>
      <x:c r="C576" s="62"/>
      <x:c r="D576" s="62"/>
      <x:c r="E576" s="62"/>
      <x:c r="F576" s="62"/>
      <x:c r="G576" s="66"/>
      <x:c r="H576" s="68"/>
      <x:c r="I576" s="68"/>
      <x:c r="J576" s="68"/>
      <x:c r="K576" s="68"/>
      <x:c r="L576" s="70"/>
      <x:c r="M576" s="64" t="str">
        <x:f>IF(A576="","",IF(AND(E576&lt;&gt;"",F576&lt;&gt;"",ABS(H576-I576)&lt;=0.01,ABS(J576-K576)&lt;=0.01,L576=1),"一致","检查"))</x:f>
      </x:c>
      <x:c r="N576" s="64" t="str">
        <x:f>IF(A576="","",IF(COUNTIF($A$5:$A$1204,A576)&gt;1,"重复",""))</x:f>
      </x:c>
    </x:row>
    <x:row r="577">
      <x:c r="A577" s="62"/>
      <x:c r="B577" s="62"/>
      <x:c r="C577" s="62"/>
      <x:c r="D577" s="62"/>
      <x:c r="E577" s="62"/>
      <x:c r="F577" s="62"/>
      <x:c r="G577" s="66"/>
      <x:c r="H577" s="68"/>
      <x:c r="I577" s="68"/>
      <x:c r="J577" s="68"/>
      <x:c r="K577" s="68"/>
      <x:c r="L577" s="70"/>
      <x:c r="M577" s="64" t="str">
        <x:f>IF(A577="","",IF(AND(E577&lt;&gt;"",F577&lt;&gt;"",ABS(H577-I577)&lt;=0.01,ABS(J577-K577)&lt;=0.01,L577=1),"一致","检查"))</x:f>
      </x:c>
      <x:c r="N577" s="64" t="str">
        <x:f>IF(A577="","",IF(COUNTIF($A$5:$A$1204,A577)&gt;1,"重复",""))</x:f>
      </x:c>
    </x:row>
    <x:row r="578">
      <x:c r="A578" s="62"/>
      <x:c r="B578" s="62"/>
      <x:c r="C578" s="62"/>
      <x:c r="D578" s="62"/>
      <x:c r="E578" s="62"/>
      <x:c r="F578" s="62"/>
      <x:c r="G578" s="66"/>
      <x:c r="H578" s="68"/>
      <x:c r="I578" s="68"/>
      <x:c r="J578" s="68"/>
      <x:c r="K578" s="68"/>
      <x:c r="L578" s="70"/>
      <x:c r="M578" s="64" t="str">
        <x:f>IF(A578="","",IF(AND(E578&lt;&gt;"",F578&lt;&gt;"",ABS(H578-I578)&lt;=0.01,ABS(J578-K578)&lt;=0.01,L578=1),"一致","检查"))</x:f>
      </x:c>
      <x:c r="N578" s="64" t="str">
        <x:f>IF(A578="","",IF(COUNTIF($A$5:$A$1204,A578)&gt;1,"重复",""))</x:f>
      </x:c>
    </x:row>
    <x:row r="579">
      <x:c r="A579" s="62"/>
      <x:c r="B579" s="62"/>
      <x:c r="C579" s="62"/>
      <x:c r="D579" s="62"/>
      <x:c r="E579" s="62"/>
      <x:c r="F579" s="62"/>
      <x:c r="G579" s="66"/>
      <x:c r="H579" s="68"/>
      <x:c r="I579" s="68"/>
      <x:c r="J579" s="68"/>
      <x:c r="K579" s="68"/>
      <x:c r="L579" s="70"/>
      <x:c r="M579" s="64" t="str">
        <x:f>IF(A579="","",IF(AND(E579&lt;&gt;"",F579&lt;&gt;"",ABS(H579-I579)&lt;=0.01,ABS(J579-K579)&lt;=0.01,L579=1),"一致","检查"))</x:f>
      </x:c>
      <x:c r="N579" s="64" t="str">
        <x:f>IF(A579="","",IF(COUNTIF($A$5:$A$1204,A579)&gt;1,"重复",""))</x:f>
      </x:c>
    </x:row>
    <x:row r="580">
      <x:c r="A580" s="62"/>
      <x:c r="B580" s="62"/>
      <x:c r="C580" s="62"/>
      <x:c r="D580" s="62"/>
      <x:c r="E580" s="62"/>
      <x:c r="F580" s="62"/>
      <x:c r="G580" s="66"/>
      <x:c r="H580" s="68"/>
      <x:c r="I580" s="68"/>
      <x:c r="J580" s="68"/>
      <x:c r="K580" s="68"/>
      <x:c r="L580" s="70"/>
      <x:c r="M580" s="64" t="str">
        <x:f>IF(A580="","",IF(AND(E580&lt;&gt;"",F580&lt;&gt;"",ABS(H580-I580)&lt;=0.01,ABS(J580-K580)&lt;=0.01,L580=1),"一致","检查"))</x:f>
      </x:c>
      <x:c r="N580" s="64" t="str">
        <x:f>IF(A580="","",IF(COUNTIF($A$5:$A$1204,A580)&gt;1,"重复",""))</x:f>
      </x:c>
    </x:row>
    <x:row r="581">
      <x:c r="A581" s="62"/>
      <x:c r="B581" s="62"/>
      <x:c r="C581" s="62"/>
      <x:c r="D581" s="62"/>
      <x:c r="E581" s="62"/>
      <x:c r="F581" s="62"/>
      <x:c r="G581" s="66"/>
      <x:c r="H581" s="68"/>
      <x:c r="I581" s="68"/>
      <x:c r="J581" s="68"/>
      <x:c r="K581" s="68"/>
      <x:c r="L581" s="70"/>
      <x:c r="M581" s="64" t="str">
        <x:f>IF(A581="","",IF(AND(E581&lt;&gt;"",F581&lt;&gt;"",ABS(H581-I581)&lt;=0.01,ABS(J581-K581)&lt;=0.01,L581=1),"一致","检查"))</x:f>
      </x:c>
      <x:c r="N581" s="64" t="str">
        <x:f>IF(A581="","",IF(COUNTIF($A$5:$A$1204,A581)&gt;1,"重复",""))</x:f>
      </x:c>
    </x:row>
    <x:row r="582">
      <x:c r="A582" s="62"/>
      <x:c r="B582" s="62"/>
      <x:c r="C582" s="62"/>
      <x:c r="D582" s="62"/>
      <x:c r="E582" s="62"/>
      <x:c r="F582" s="62"/>
      <x:c r="G582" s="66"/>
      <x:c r="H582" s="68"/>
      <x:c r="I582" s="68"/>
      <x:c r="J582" s="68"/>
      <x:c r="K582" s="68"/>
      <x:c r="L582" s="70"/>
      <x:c r="M582" s="64" t="str">
        <x:f>IF(A582="","",IF(AND(E582&lt;&gt;"",F582&lt;&gt;"",ABS(H582-I582)&lt;=0.01,ABS(J582-K582)&lt;=0.01,L582=1),"一致","检查"))</x:f>
      </x:c>
      <x:c r="N582" s="64" t="str">
        <x:f>IF(A582="","",IF(COUNTIF($A$5:$A$1204,A582)&gt;1,"重复",""))</x:f>
      </x:c>
    </x:row>
    <x:row r="583">
      <x:c r="A583" s="62"/>
      <x:c r="B583" s="62"/>
      <x:c r="C583" s="62"/>
      <x:c r="D583" s="62"/>
      <x:c r="E583" s="62"/>
      <x:c r="F583" s="62"/>
      <x:c r="G583" s="66"/>
      <x:c r="H583" s="68"/>
      <x:c r="I583" s="68"/>
      <x:c r="J583" s="68"/>
      <x:c r="K583" s="68"/>
      <x:c r="L583" s="70"/>
      <x:c r="M583" s="64" t="str">
        <x:f>IF(A583="","",IF(AND(E583&lt;&gt;"",F583&lt;&gt;"",ABS(H583-I583)&lt;=0.01,ABS(J583-K583)&lt;=0.01,L583=1),"一致","检查"))</x:f>
      </x:c>
      <x:c r="N583" s="64" t="str">
        <x:f>IF(A583="","",IF(COUNTIF($A$5:$A$1204,A583)&gt;1,"重复",""))</x:f>
      </x:c>
    </x:row>
    <x:row r="584">
      <x:c r="A584" s="62"/>
      <x:c r="B584" s="62"/>
      <x:c r="C584" s="62"/>
      <x:c r="D584" s="62"/>
      <x:c r="E584" s="62"/>
      <x:c r="F584" s="62"/>
      <x:c r="G584" s="66"/>
      <x:c r="H584" s="68"/>
      <x:c r="I584" s="68"/>
      <x:c r="J584" s="68"/>
      <x:c r="K584" s="68"/>
      <x:c r="L584" s="70"/>
      <x:c r="M584" s="64" t="str">
        <x:f>IF(A584="","",IF(AND(E584&lt;&gt;"",F584&lt;&gt;"",ABS(H584-I584)&lt;=0.01,ABS(J584-K584)&lt;=0.01,L584=1),"一致","检查"))</x:f>
      </x:c>
      <x:c r="N584" s="64" t="str">
        <x:f>IF(A584="","",IF(COUNTIF($A$5:$A$1204,A584)&gt;1,"重复",""))</x:f>
      </x:c>
    </x:row>
    <x:row r="585">
      <x:c r="A585" s="62"/>
      <x:c r="B585" s="62"/>
      <x:c r="C585" s="62"/>
      <x:c r="D585" s="62"/>
      <x:c r="E585" s="62"/>
      <x:c r="F585" s="62"/>
      <x:c r="G585" s="66"/>
      <x:c r="H585" s="68"/>
      <x:c r="I585" s="68"/>
      <x:c r="J585" s="68"/>
      <x:c r="K585" s="68"/>
      <x:c r="L585" s="70"/>
      <x:c r="M585" s="64" t="str">
        <x:f>IF(A585="","",IF(AND(E585&lt;&gt;"",F585&lt;&gt;"",ABS(H585-I585)&lt;=0.01,ABS(J585-K585)&lt;=0.01,L585=1),"一致","检查"))</x:f>
      </x:c>
      <x:c r="N585" s="64" t="str">
        <x:f>IF(A585="","",IF(COUNTIF($A$5:$A$1204,A585)&gt;1,"重复",""))</x:f>
      </x:c>
    </x:row>
    <x:row r="586">
      <x:c r="A586" s="62"/>
      <x:c r="B586" s="62"/>
      <x:c r="C586" s="62"/>
      <x:c r="D586" s="62"/>
      <x:c r="E586" s="62"/>
      <x:c r="F586" s="62"/>
      <x:c r="G586" s="66"/>
      <x:c r="H586" s="68"/>
      <x:c r="I586" s="68"/>
      <x:c r="J586" s="68"/>
      <x:c r="K586" s="68"/>
      <x:c r="L586" s="70"/>
      <x:c r="M586" s="64" t="str">
        <x:f>IF(A586="","",IF(AND(E586&lt;&gt;"",F586&lt;&gt;"",ABS(H586-I586)&lt;=0.01,ABS(J586-K586)&lt;=0.01,L586=1),"一致","检查"))</x:f>
      </x:c>
      <x:c r="N586" s="64" t="str">
        <x:f>IF(A586="","",IF(COUNTIF($A$5:$A$1204,A586)&gt;1,"重复",""))</x:f>
      </x:c>
    </x:row>
    <x:row r="587">
      <x:c r="A587" s="62"/>
      <x:c r="B587" s="62"/>
      <x:c r="C587" s="62"/>
      <x:c r="D587" s="62"/>
      <x:c r="E587" s="62"/>
      <x:c r="F587" s="62"/>
      <x:c r="G587" s="66"/>
      <x:c r="H587" s="68"/>
      <x:c r="I587" s="68"/>
      <x:c r="J587" s="68"/>
      <x:c r="K587" s="68"/>
      <x:c r="L587" s="70"/>
      <x:c r="M587" s="64" t="str">
        <x:f>IF(A587="","",IF(AND(E587&lt;&gt;"",F587&lt;&gt;"",ABS(H587-I587)&lt;=0.01,ABS(J587-K587)&lt;=0.01,L587=1),"一致","检查"))</x:f>
      </x:c>
      <x:c r="N587" s="64" t="str">
        <x:f>IF(A587="","",IF(COUNTIF($A$5:$A$1204,A587)&gt;1,"重复",""))</x:f>
      </x:c>
    </x:row>
    <x:row r="588">
      <x:c r="A588" s="62"/>
      <x:c r="B588" s="62"/>
      <x:c r="C588" s="62"/>
      <x:c r="D588" s="62"/>
      <x:c r="E588" s="62"/>
      <x:c r="F588" s="62"/>
      <x:c r="G588" s="66"/>
      <x:c r="H588" s="68"/>
      <x:c r="I588" s="68"/>
      <x:c r="J588" s="68"/>
      <x:c r="K588" s="68"/>
      <x:c r="L588" s="70"/>
      <x:c r="M588" s="64" t="str">
        <x:f>IF(A588="","",IF(AND(E588&lt;&gt;"",F588&lt;&gt;"",ABS(H588-I588)&lt;=0.01,ABS(J588-K588)&lt;=0.01,L588=1),"一致","检查"))</x:f>
      </x:c>
      <x:c r="N588" s="64" t="str">
        <x:f>IF(A588="","",IF(COUNTIF($A$5:$A$1204,A588)&gt;1,"重复",""))</x:f>
      </x:c>
    </x:row>
    <x:row r="589">
      <x:c r="A589" s="62"/>
      <x:c r="B589" s="62"/>
      <x:c r="C589" s="62"/>
      <x:c r="D589" s="62"/>
      <x:c r="E589" s="62"/>
      <x:c r="F589" s="62"/>
      <x:c r="G589" s="66"/>
      <x:c r="H589" s="68"/>
      <x:c r="I589" s="68"/>
      <x:c r="J589" s="68"/>
      <x:c r="K589" s="68"/>
      <x:c r="L589" s="70"/>
      <x:c r="M589" s="64" t="str">
        <x:f>IF(A589="","",IF(AND(E589&lt;&gt;"",F589&lt;&gt;"",ABS(H589-I589)&lt;=0.01,ABS(J589-K589)&lt;=0.01,L589=1),"一致","检查"))</x:f>
      </x:c>
      <x:c r="N589" s="64" t="str">
        <x:f>IF(A589="","",IF(COUNTIF($A$5:$A$1204,A589)&gt;1,"重复",""))</x:f>
      </x:c>
    </x:row>
    <x:row r="590">
      <x:c r="A590" s="62"/>
      <x:c r="B590" s="62"/>
      <x:c r="C590" s="62"/>
      <x:c r="D590" s="62"/>
      <x:c r="E590" s="62"/>
      <x:c r="F590" s="62"/>
      <x:c r="G590" s="66"/>
      <x:c r="H590" s="68"/>
      <x:c r="I590" s="68"/>
      <x:c r="J590" s="68"/>
      <x:c r="K590" s="68"/>
      <x:c r="L590" s="70"/>
      <x:c r="M590" s="64" t="str">
        <x:f>IF(A590="","",IF(AND(E590&lt;&gt;"",F590&lt;&gt;"",ABS(H590-I590)&lt;=0.01,ABS(J590-K590)&lt;=0.01,L590=1),"一致","检查"))</x:f>
      </x:c>
      <x:c r="N590" s="64" t="str">
        <x:f>IF(A590="","",IF(COUNTIF($A$5:$A$1204,A590)&gt;1,"重复",""))</x:f>
      </x:c>
    </x:row>
    <x:row r="591">
      <x:c r="A591" s="62"/>
      <x:c r="B591" s="62"/>
      <x:c r="C591" s="62"/>
      <x:c r="D591" s="62"/>
      <x:c r="E591" s="62"/>
      <x:c r="F591" s="62"/>
      <x:c r="G591" s="66"/>
      <x:c r="H591" s="68"/>
      <x:c r="I591" s="68"/>
      <x:c r="J591" s="68"/>
      <x:c r="K591" s="68"/>
      <x:c r="L591" s="70"/>
      <x:c r="M591" s="64" t="str">
        <x:f>IF(A591="","",IF(AND(E591&lt;&gt;"",F591&lt;&gt;"",ABS(H591-I591)&lt;=0.01,ABS(J591-K591)&lt;=0.01,L591=1),"一致","检查"))</x:f>
      </x:c>
      <x:c r="N591" s="64" t="str">
        <x:f>IF(A591="","",IF(COUNTIF($A$5:$A$1204,A591)&gt;1,"重复",""))</x:f>
      </x:c>
    </x:row>
    <x:row r="592">
      <x:c r="A592" s="62"/>
      <x:c r="B592" s="62"/>
      <x:c r="C592" s="62"/>
      <x:c r="D592" s="62"/>
      <x:c r="E592" s="62"/>
      <x:c r="F592" s="62"/>
      <x:c r="G592" s="66"/>
      <x:c r="H592" s="68"/>
      <x:c r="I592" s="68"/>
      <x:c r="J592" s="68"/>
      <x:c r="K592" s="68"/>
      <x:c r="L592" s="70"/>
      <x:c r="M592" s="64" t="str">
        <x:f>IF(A592="","",IF(AND(E592&lt;&gt;"",F592&lt;&gt;"",ABS(H592-I592)&lt;=0.01,ABS(J592-K592)&lt;=0.01,L592=1),"一致","检查"))</x:f>
      </x:c>
      <x:c r="N592" s="64" t="str">
        <x:f>IF(A592="","",IF(COUNTIF($A$5:$A$1204,A592)&gt;1,"重复",""))</x:f>
      </x:c>
    </x:row>
    <x:row r="593">
      <x:c r="A593" s="62"/>
      <x:c r="B593" s="62"/>
      <x:c r="C593" s="62"/>
      <x:c r="D593" s="62"/>
      <x:c r="E593" s="62"/>
      <x:c r="F593" s="62"/>
      <x:c r="G593" s="66"/>
      <x:c r="H593" s="68"/>
      <x:c r="I593" s="68"/>
      <x:c r="J593" s="68"/>
      <x:c r="K593" s="68"/>
      <x:c r="L593" s="70"/>
      <x:c r="M593" s="64" t="str">
        <x:f>IF(A593="","",IF(AND(E593&lt;&gt;"",F593&lt;&gt;"",ABS(H593-I593)&lt;=0.01,ABS(J593-K593)&lt;=0.01,L593=1),"一致","检查"))</x:f>
      </x:c>
      <x:c r="N593" s="64" t="str">
        <x:f>IF(A593="","",IF(COUNTIF($A$5:$A$1204,A593)&gt;1,"重复",""))</x:f>
      </x:c>
    </x:row>
    <x:row r="594">
      <x:c r="A594" s="62"/>
      <x:c r="B594" s="62"/>
      <x:c r="C594" s="62"/>
      <x:c r="D594" s="62"/>
      <x:c r="E594" s="62"/>
      <x:c r="F594" s="62"/>
      <x:c r="G594" s="66"/>
      <x:c r="H594" s="68"/>
      <x:c r="I594" s="68"/>
      <x:c r="J594" s="68"/>
      <x:c r="K594" s="68"/>
      <x:c r="L594" s="70"/>
      <x:c r="M594" s="64" t="str">
        <x:f>IF(A594="","",IF(AND(E594&lt;&gt;"",F594&lt;&gt;"",ABS(H594-I594)&lt;=0.01,ABS(J594-K594)&lt;=0.01,L594=1),"一致","检查"))</x:f>
      </x:c>
      <x:c r="N594" s="64" t="str">
        <x:f>IF(A594="","",IF(COUNTIF($A$5:$A$1204,A594)&gt;1,"重复",""))</x:f>
      </x:c>
    </x:row>
    <x:row r="595">
      <x:c r="A595" s="62"/>
      <x:c r="B595" s="62"/>
      <x:c r="C595" s="62"/>
      <x:c r="D595" s="62"/>
      <x:c r="E595" s="62"/>
      <x:c r="F595" s="62"/>
      <x:c r="G595" s="66"/>
      <x:c r="H595" s="68"/>
      <x:c r="I595" s="68"/>
      <x:c r="J595" s="68"/>
      <x:c r="K595" s="68"/>
      <x:c r="L595" s="70"/>
      <x:c r="M595" s="64" t="str">
        <x:f>IF(A595="","",IF(AND(E595&lt;&gt;"",F595&lt;&gt;"",ABS(H595-I595)&lt;=0.01,ABS(J595-K595)&lt;=0.01,L595=1),"一致","检查"))</x:f>
      </x:c>
      <x:c r="N595" s="64" t="str">
        <x:f>IF(A595="","",IF(COUNTIF($A$5:$A$1204,A595)&gt;1,"重复",""))</x:f>
      </x:c>
    </x:row>
    <x:row r="596">
      <x:c r="A596" s="62"/>
      <x:c r="B596" s="62"/>
      <x:c r="C596" s="62"/>
      <x:c r="D596" s="62"/>
      <x:c r="E596" s="62"/>
      <x:c r="F596" s="62"/>
      <x:c r="G596" s="66"/>
      <x:c r="H596" s="68"/>
      <x:c r="I596" s="68"/>
      <x:c r="J596" s="68"/>
      <x:c r="K596" s="68"/>
      <x:c r="L596" s="70"/>
      <x:c r="M596" s="64" t="str">
        <x:f>IF(A596="","",IF(AND(E596&lt;&gt;"",F596&lt;&gt;"",ABS(H596-I596)&lt;=0.01,ABS(J596-K596)&lt;=0.01,L596=1),"一致","检查"))</x:f>
      </x:c>
      <x:c r="N596" s="64" t="str">
        <x:f>IF(A596="","",IF(COUNTIF($A$5:$A$1204,A596)&gt;1,"重复",""))</x:f>
      </x:c>
    </x:row>
    <x:row r="597">
      <x:c r="A597" s="62"/>
      <x:c r="B597" s="62"/>
      <x:c r="C597" s="62"/>
      <x:c r="D597" s="62"/>
      <x:c r="E597" s="62"/>
      <x:c r="F597" s="62"/>
      <x:c r="G597" s="66"/>
      <x:c r="H597" s="68"/>
      <x:c r="I597" s="68"/>
      <x:c r="J597" s="68"/>
      <x:c r="K597" s="68"/>
      <x:c r="L597" s="70"/>
      <x:c r="M597" s="64" t="str">
        <x:f>IF(A597="","",IF(AND(E597&lt;&gt;"",F597&lt;&gt;"",ABS(H597-I597)&lt;=0.01,ABS(J597-K597)&lt;=0.01,L597=1),"一致","检查"))</x:f>
      </x:c>
      <x:c r="N597" s="64" t="str">
        <x:f>IF(A597="","",IF(COUNTIF($A$5:$A$1204,A597)&gt;1,"重复",""))</x:f>
      </x:c>
    </x:row>
    <x:row r="598">
      <x:c r="A598" s="62"/>
      <x:c r="B598" s="62"/>
      <x:c r="C598" s="62"/>
      <x:c r="D598" s="62"/>
      <x:c r="E598" s="62"/>
      <x:c r="F598" s="62"/>
      <x:c r="G598" s="66"/>
      <x:c r="H598" s="68"/>
      <x:c r="I598" s="68"/>
      <x:c r="J598" s="68"/>
      <x:c r="K598" s="68"/>
      <x:c r="L598" s="70"/>
      <x:c r="M598" s="64" t="str">
        <x:f>IF(A598="","",IF(AND(E598&lt;&gt;"",F598&lt;&gt;"",ABS(H598-I598)&lt;=0.01,ABS(J598-K598)&lt;=0.01,L598=1),"一致","检查"))</x:f>
      </x:c>
      <x:c r="N598" s="64" t="str">
        <x:f>IF(A598="","",IF(COUNTIF($A$5:$A$1204,A598)&gt;1,"重复",""))</x:f>
      </x:c>
    </x:row>
    <x:row r="599">
      <x:c r="A599" s="62"/>
      <x:c r="B599" s="62"/>
      <x:c r="C599" s="62"/>
      <x:c r="D599" s="62"/>
      <x:c r="E599" s="62"/>
      <x:c r="F599" s="62"/>
      <x:c r="G599" s="66"/>
      <x:c r="H599" s="68"/>
      <x:c r="I599" s="68"/>
      <x:c r="J599" s="68"/>
      <x:c r="K599" s="68"/>
      <x:c r="L599" s="70"/>
      <x:c r="M599" s="64" t="str">
        <x:f>IF(A599="","",IF(AND(E599&lt;&gt;"",F599&lt;&gt;"",ABS(H599-I599)&lt;=0.01,ABS(J599-K599)&lt;=0.01,L599=1),"一致","检查"))</x:f>
      </x:c>
      <x:c r="N599" s="64" t="str">
        <x:f>IF(A599="","",IF(COUNTIF($A$5:$A$1204,A599)&gt;1,"重复",""))</x:f>
      </x:c>
    </x:row>
    <x:row r="600">
      <x:c r="A600" s="62"/>
      <x:c r="B600" s="62"/>
      <x:c r="C600" s="62"/>
      <x:c r="D600" s="62"/>
      <x:c r="E600" s="62"/>
      <x:c r="F600" s="62"/>
      <x:c r="G600" s="66"/>
      <x:c r="H600" s="68"/>
      <x:c r="I600" s="68"/>
      <x:c r="J600" s="68"/>
      <x:c r="K600" s="68"/>
      <x:c r="L600" s="70"/>
      <x:c r="M600" s="64" t="str">
        <x:f>IF(A600="","",IF(AND(E600&lt;&gt;"",F600&lt;&gt;"",ABS(H600-I600)&lt;=0.01,ABS(J600-K600)&lt;=0.01,L600=1),"一致","检查"))</x:f>
      </x:c>
      <x:c r="N600" s="64" t="str">
        <x:f>IF(A600="","",IF(COUNTIF($A$5:$A$1204,A600)&gt;1,"重复",""))</x:f>
      </x:c>
    </x:row>
    <x:row r="601">
      <x:c r="A601" s="62"/>
      <x:c r="B601" s="62"/>
      <x:c r="C601" s="62"/>
      <x:c r="D601" s="62"/>
      <x:c r="E601" s="62"/>
      <x:c r="F601" s="62"/>
      <x:c r="G601" s="66"/>
      <x:c r="H601" s="68"/>
      <x:c r="I601" s="68"/>
      <x:c r="J601" s="68"/>
      <x:c r="K601" s="68"/>
      <x:c r="L601" s="70"/>
      <x:c r="M601" s="64" t="str">
        <x:f>IF(A601="","",IF(AND(E601&lt;&gt;"",F601&lt;&gt;"",ABS(H601-I601)&lt;=0.01,ABS(J601-K601)&lt;=0.01,L601=1),"一致","检查"))</x:f>
      </x:c>
      <x:c r="N601" s="64" t="str">
        <x:f>IF(A601="","",IF(COUNTIF($A$5:$A$1204,A601)&gt;1,"重复",""))</x:f>
      </x:c>
    </x:row>
    <x:row r="602">
      <x:c r="A602" s="62"/>
      <x:c r="B602" s="62"/>
      <x:c r="C602" s="62"/>
      <x:c r="D602" s="62"/>
      <x:c r="E602" s="62"/>
      <x:c r="F602" s="62"/>
      <x:c r="G602" s="66"/>
      <x:c r="H602" s="68"/>
      <x:c r="I602" s="68"/>
      <x:c r="J602" s="68"/>
      <x:c r="K602" s="68"/>
      <x:c r="L602" s="70"/>
      <x:c r="M602" s="64" t="str">
        <x:f>IF(A602="","",IF(AND(E602&lt;&gt;"",F602&lt;&gt;"",ABS(H602-I602)&lt;=0.01,ABS(J602-K602)&lt;=0.01,L602=1),"一致","检查"))</x:f>
      </x:c>
      <x:c r="N602" s="64" t="str">
        <x:f>IF(A602="","",IF(COUNTIF($A$5:$A$1204,A602)&gt;1,"重复",""))</x:f>
      </x:c>
    </x:row>
    <x:row r="603">
      <x:c r="A603" s="62"/>
      <x:c r="B603" s="62"/>
      <x:c r="C603" s="62"/>
      <x:c r="D603" s="62"/>
      <x:c r="E603" s="62"/>
      <x:c r="F603" s="62"/>
      <x:c r="G603" s="66"/>
      <x:c r="H603" s="68"/>
      <x:c r="I603" s="68"/>
      <x:c r="J603" s="68"/>
      <x:c r="K603" s="68"/>
      <x:c r="L603" s="70"/>
      <x:c r="M603" s="64" t="str">
        <x:f>IF(A603="","",IF(AND(E603&lt;&gt;"",F603&lt;&gt;"",ABS(H603-I603)&lt;=0.01,ABS(J603-K603)&lt;=0.01,L603=1),"一致","检查"))</x:f>
      </x:c>
      <x:c r="N603" s="64" t="str">
        <x:f>IF(A603="","",IF(COUNTIF($A$5:$A$1204,A603)&gt;1,"重复",""))</x:f>
      </x:c>
    </x:row>
    <x:row r="604">
      <x:c r="A604" s="62"/>
      <x:c r="B604" s="62"/>
      <x:c r="C604" s="62"/>
      <x:c r="D604" s="62"/>
      <x:c r="E604" s="62"/>
      <x:c r="F604" s="62"/>
      <x:c r="G604" s="66"/>
      <x:c r="H604" s="68"/>
      <x:c r="I604" s="68"/>
      <x:c r="J604" s="68"/>
      <x:c r="K604" s="68"/>
      <x:c r="L604" s="70"/>
      <x:c r="M604" s="64" t="str">
        <x:f>IF(A604="","",IF(AND(E604&lt;&gt;"",F604&lt;&gt;"",ABS(H604-I604)&lt;=0.01,ABS(J604-K604)&lt;=0.01,L604=1),"一致","检查"))</x:f>
      </x:c>
      <x:c r="N604" s="64" t="str">
        <x:f>IF(A604="","",IF(COUNTIF($A$5:$A$1204,A604)&gt;1,"重复",""))</x:f>
      </x:c>
    </x:row>
    <x:row r="605">
      <x:c r="A605" s="62"/>
      <x:c r="B605" s="62"/>
      <x:c r="C605" s="62"/>
      <x:c r="D605" s="62"/>
      <x:c r="E605" s="62"/>
      <x:c r="F605" s="62"/>
      <x:c r="G605" s="66"/>
      <x:c r="H605" s="68"/>
      <x:c r="I605" s="68"/>
      <x:c r="J605" s="68"/>
      <x:c r="K605" s="68"/>
      <x:c r="L605" s="70"/>
      <x:c r="M605" s="64" t="str">
        <x:f>IF(A605="","",IF(AND(E605&lt;&gt;"",F605&lt;&gt;"",ABS(H605-I605)&lt;=0.01,ABS(J605-K605)&lt;=0.01,L605=1),"一致","检查"))</x:f>
      </x:c>
      <x:c r="N605" s="64" t="str">
        <x:f>IF(A605="","",IF(COUNTIF($A$5:$A$1204,A605)&gt;1,"重复",""))</x:f>
      </x:c>
    </x:row>
    <x:row r="606">
      <x:c r="A606" s="62"/>
      <x:c r="B606" s="62"/>
      <x:c r="C606" s="62"/>
      <x:c r="D606" s="62"/>
      <x:c r="E606" s="62"/>
      <x:c r="F606" s="62"/>
      <x:c r="G606" s="66"/>
      <x:c r="H606" s="68"/>
      <x:c r="I606" s="68"/>
      <x:c r="J606" s="68"/>
      <x:c r="K606" s="68"/>
      <x:c r="L606" s="70"/>
      <x:c r="M606" s="64" t="str">
        <x:f>IF(A606="","",IF(AND(E606&lt;&gt;"",F606&lt;&gt;"",ABS(H606-I606)&lt;=0.01,ABS(J606-K606)&lt;=0.01,L606=1),"一致","检查"))</x:f>
      </x:c>
      <x:c r="N606" s="64" t="str">
        <x:f>IF(A606="","",IF(COUNTIF($A$5:$A$1204,A606)&gt;1,"重复",""))</x:f>
      </x:c>
    </x:row>
    <x:row r="607">
      <x:c r="A607" s="62"/>
      <x:c r="B607" s="62"/>
      <x:c r="C607" s="62"/>
      <x:c r="D607" s="62"/>
      <x:c r="E607" s="62"/>
      <x:c r="F607" s="62"/>
      <x:c r="G607" s="66"/>
      <x:c r="H607" s="68"/>
      <x:c r="I607" s="68"/>
      <x:c r="J607" s="68"/>
      <x:c r="K607" s="68"/>
      <x:c r="L607" s="70"/>
      <x:c r="M607" s="64" t="str">
        <x:f>IF(A607="","",IF(AND(E607&lt;&gt;"",F607&lt;&gt;"",ABS(H607-I607)&lt;=0.01,ABS(J607-K607)&lt;=0.01,L607=1),"一致","检查"))</x:f>
      </x:c>
      <x:c r="N607" s="64" t="str">
        <x:f>IF(A607="","",IF(COUNTIF($A$5:$A$1204,A607)&gt;1,"重复",""))</x:f>
      </x:c>
    </x:row>
    <x:row r="608">
      <x:c r="A608" s="62"/>
      <x:c r="B608" s="62"/>
      <x:c r="C608" s="62"/>
      <x:c r="D608" s="62"/>
      <x:c r="E608" s="62"/>
      <x:c r="F608" s="62"/>
      <x:c r="G608" s="66"/>
      <x:c r="H608" s="68"/>
      <x:c r="I608" s="68"/>
      <x:c r="J608" s="68"/>
      <x:c r="K608" s="68"/>
      <x:c r="L608" s="70"/>
      <x:c r="M608" s="64" t="str">
        <x:f>IF(A608="","",IF(AND(E608&lt;&gt;"",F608&lt;&gt;"",ABS(H608-I608)&lt;=0.01,ABS(J608-K608)&lt;=0.01,L608=1),"一致","检查"))</x:f>
      </x:c>
      <x:c r="N608" s="64" t="str">
        <x:f>IF(A608="","",IF(COUNTIF($A$5:$A$1204,A608)&gt;1,"重复",""))</x:f>
      </x:c>
    </x:row>
    <x:row r="609">
      <x:c r="A609" s="62"/>
      <x:c r="B609" s="62"/>
      <x:c r="C609" s="62"/>
      <x:c r="D609" s="62"/>
      <x:c r="E609" s="62"/>
      <x:c r="F609" s="62"/>
      <x:c r="G609" s="66"/>
      <x:c r="H609" s="68"/>
      <x:c r="I609" s="68"/>
      <x:c r="J609" s="68"/>
      <x:c r="K609" s="68"/>
      <x:c r="L609" s="70"/>
      <x:c r="M609" s="64" t="str">
        <x:f>IF(A609="","",IF(AND(E609&lt;&gt;"",F609&lt;&gt;"",ABS(H609-I609)&lt;=0.01,ABS(J609-K609)&lt;=0.01,L609=1),"一致","检查"))</x:f>
      </x:c>
      <x:c r="N609" s="64" t="str">
        <x:f>IF(A609="","",IF(COUNTIF($A$5:$A$1204,A609)&gt;1,"重复",""))</x:f>
      </x:c>
    </x:row>
    <x:row r="610">
      <x:c r="A610" s="62"/>
      <x:c r="B610" s="62"/>
      <x:c r="C610" s="62"/>
      <x:c r="D610" s="62"/>
      <x:c r="E610" s="62"/>
      <x:c r="F610" s="62"/>
      <x:c r="G610" s="66"/>
      <x:c r="H610" s="68"/>
      <x:c r="I610" s="68"/>
      <x:c r="J610" s="68"/>
      <x:c r="K610" s="68"/>
      <x:c r="L610" s="70"/>
      <x:c r="M610" s="64" t="str">
        <x:f>IF(A610="","",IF(AND(E610&lt;&gt;"",F610&lt;&gt;"",ABS(H610-I610)&lt;=0.01,ABS(J610-K610)&lt;=0.01,L610=1),"一致","检查"))</x:f>
      </x:c>
      <x:c r="N610" s="64" t="str">
        <x:f>IF(A610="","",IF(COUNTIF($A$5:$A$1204,A610)&gt;1,"重复",""))</x:f>
      </x:c>
    </x:row>
    <x:row r="611">
      <x:c r="A611" s="62"/>
      <x:c r="B611" s="62"/>
      <x:c r="C611" s="62"/>
      <x:c r="D611" s="62"/>
      <x:c r="E611" s="62"/>
      <x:c r="F611" s="62"/>
      <x:c r="G611" s="66"/>
      <x:c r="H611" s="68"/>
      <x:c r="I611" s="68"/>
      <x:c r="J611" s="68"/>
      <x:c r="K611" s="68"/>
      <x:c r="L611" s="70"/>
      <x:c r="M611" s="64" t="str">
        <x:f>IF(A611="","",IF(AND(E611&lt;&gt;"",F611&lt;&gt;"",ABS(H611-I611)&lt;=0.01,ABS(J611-K611)&lt;=0.01,L611=1),"一致","检查"))</x:f>
      </x:c>
      <x:c r="N611" s="64" t="str">
        <x:f>IF(A611="","",IF(COUNTIF($A$5:$A$1204,A611)&gt;1,"重复",""))</x:f>
      </x:c>
    </x:row>
    <x:row r="612">
      <x:c r="A612" s="62"/>
      <x:c r="B612" s="62"/>
      <x:c r="C612" s="62"/>
      <x:c r="D612" s="62"/>
      <x:c r="E612" s="62"/>
      <x:c r="F612" s="62"/>
      <x:c r="G612" s="66"/>
      <x:c r="H612" s="68"/>
      <x:c r="I612" s="68"/>
      <x:c r="J612" s="68"/>
      <x:c r="K612" s="68"/>
      <x:c r="L612" s="70"/>
      <x:c r="M612" s="64" t="str">
        <x:f>IF(A612="","",IF(AND(E612&lt;&gt;"",F612&lt;&gt;"",ABS(H612-I612)&lt;=0.01,ABS(J612-K612)&lt;=0.01,L612=1),"一致","检查"))</x:f>
      </x:c>
      <x:c r="N612" s="64" t="str">
        <x:f>IF(A612="","",IF(COUNTIF($A$5:$A$1204,A612)&gt;1,"重复",""))</x:f>
      </x:c>
    </x:row>
    <x:row r="613">
      <x:c r="A613" s="62"/>
      <x:c r="B613" s="62"/>
      <x:c r="C613" s="62"/>
      <x:c r="D613" s="62"/>
      <x:c r="E613" s="62"/>
      <x:c r="F613" s="62"/>
      <x:c r="G613" s="66"/>
      <x:c r="H613" s="68"/>
      <x:c r="I613" s="68"/>
      <x:c r="J613" s="68"/>
      <x:c r="K613" s="68"/>
      <x:c r="L613" s="70"/>
      <x:c r="M613" s="64" t="str">
        <x:f>IF(A613="","",IF(AND(E613&lt;&gt;"",F613&lt;&gt;"",ABS(H613-I613)&lt;=0.01,ABS(J613-K613)&lt;=0.01,L613=1),"一致","检查"))</x:f>
      </x:c>
      <x:c r="N613" s="64" t="str">
        <x:f>IF(A613="","",IF(COUNTIF($A$5:$A$1204,A613)&gt;1,"重复",""))</x:f>
      </x:c>
    </x:row>
    <x:row r="614">
      <x:c r="A614" s="62"/>
      <x:c r="B614" s="62"/>
      <x:c r="C614" s="62"/>
      <x:c r="D614" s="62"/>
      <x:c r="E614" s="62"/>
      <x:c r="F614" s="62"/>
      <x:c r="G614" s="66"/>
      <x:c r="H614" s="68"/>
      <x:c r="I614" s="68"/>
      <x:c r="J614" s="68"/>
      <x:c r="K614" s="68"/>
      <x:c r="L614" s="70"/>
      <x:c r="M614" s="64" t="str">
        <x:f>IF(A614="","",IF(AND(E614&lt;&gt;"",F614&lt;&gt;"",ABS(H614-I614)&lt;=0.01,ABS(J614-K614)&lt;=0.01,L614=1),"一致","检查"))</x:f>
      </x:c>
      <x:c r="N614" s="64" t="str">
        <x:f>IF(A614="","",IF(COUNTIF($A$5:$A$1204,A614)&gt;1,"重复",""))</x:f>
      </x:c>
    </x:row>
    <x:row r="615">
      <x:c r="A615" s="62"/>
      <x:c r="B615" s="62"/>
      <x:c r="C615" s="62"/>
      <x:c r="D615" s="62"/>
      <x:c r="E615" s="62"/>
      <x:c r="F615" s="62"/>
      <x:c r="G615" s="66"/>
      <x:c r="H615" s="68"/>
      <x:c r="I615" s="68"/>
      <x:c r="J615" s="68"/>
      <x:c r="K615" s="68"/>
      <x:c r="L615" s="70"/>
      <x:c r="M615" s="64" t="str">
        <x:f>IF(A615="","",IF(AND(E615&lt;&gt;"",F615&lt;&gt;"",ABS(H615-I615)&lt;=0.01,ABS(J615-K615)&lt;=0.01,L615=1),"一致","检查"))</x:f>
      </x:c>
      <x:c r="N615" s="64" t="str">
        <x:f>IF(A615="","",IF(COUNTIF($A$5:$A$1204,A615)&gt;1,"重复",""))</x:f>
      </x:c>
    </x:row>
    <x:row r="616">
      <x:c r="A616" s="62"/>
      <x:c r="B616" s="62"/>
      <x:c r="C616" s="62"/>
      <x:c r="D616" s="62"/>
      <x:c r="E616" s="62"/>
      <x:c r="F616" s="62"/>
      <x:c r="G616" s="66"/>
      <x:c r="H616" s="68"/>
      <x:c r="I616" s="68"/>
      <x:c r="J616" s="68"/>
      <x:c r="K616" s="68"/>
      <x:c r="L616" s="70"/>
      <x:c r="M616" s="64" t="str">
        <x:f>IF(A616="","",IF(AND(E616&lt;&gt;"",F616&lt;&gt;"",ABS(H616-I616)&lt;=0.01,ABS(J616-K616)&lt;=0.01,L616=1),"一致","检查"))</x:f>
      </x:c>
      <x:c r="N616" s="64" t="str">
        <x:f>IF(A616="","",IF(COUNTIF($A$5:$A$1204,A616)&gt;1,"重复",""))</x:f>
      </x:c>
    </x:row>
    <x:row r="617">
      <x:c r="A617" s="62"/>
      <x:c r="B617" s="62"/>
      <x:c r="C617" s="62"/>
      <x:c r="D617" s="62"/>
      <x:c r="E617" s="62"/>
      <x:c r="F617" s="62"/>
      <x:c r="G617" s="66"/>
      <x:c r="H617" s="68"/>
      <x:c r="I617" s="68"/>
      <x:c r="J617" s="68"/>
      <x:c r="K617" s="68"/>
      <x:c r="L617" s="70"/>
      <x:c r="M617" s="64" t="str">
        <x:f>IF(A617="","",IF(AND(E617&lt;&gt;"",F617&lt;&gt;"",ABS(H617-I617)&lt;=0.01,ABS(J617-K617)&lt;=0.01,L617=1),"一致","检查"))</x:f>
      </x:c>
      <x:c r="N617" s="64" t="str">
        <x:f>IF(A617="","",IF(COUNTIF($A$5:$A$1204,A617)&gt;1,"重复",""))</x:f>
      </x:c>
    </x:row>
    <x:row r="618">
      <x:c r="A618" s="62"/>
      <x:c r="B618" s="62"/>
      <x:c r="C618" s="62"/>
      <x:c r="D618" s="62"/>
      <x:c r="E618" s="62"/>
      <x:c r="F618" s="62"/>
      <x:c r="G618" s="66"/>
      <x:c r="H618" s="68"/>
      <x:c r="I618" s="68"/>
      <x:c r="J618" s="68"/>
      <x:c r="K618" s="68"/>
      <x:c r="L618" s="70"/>
      <x:c r="M618" s="64" t="str">
        <x:f>IF(A618="","",IF(AND(E618&lt;&gt;"",F618&lt;&gt;"",ABS(H618-I618)&lt;=0.01,ABS(J618-K618)&lt;=0.01,L618=1),"一致","检查"))</x:f>
      </x:c>
      <x:c r="N618" s="64" t="str">
        <x:f>IF(A618="","",IF(COUNTIF($A$5:$A$1204,A618)&gt;1,"重复",""))</x:f>
      </x:c>
    </x:row>
    <x:row r="619">
      <x:c r="A619" s="62"/>
      <x:c r="B619" s="62"/>
      <x:c r="C619" s="62"/>
      <x:c r="D619" s="62"/>
      <x:c r="E619" s="62"/>
      <x:c r="F619" s="62"/>
      <x:c r="G619" s="66"/>
      <x:c r="H619" s="68"/>
      <x:c r="I619" s="68"/>
      <x:c r="J619" s="68"/>
      <x:c r="K619" s="68"/>
      <x:c r="L619" s="70"/>
      <x:c r="M619" s="64" t="str">
        <x:f>IF(A619="","",IF(AND(E619&lt;&gt;"",F619&lt;&gt;"",ABS(H619-I619)&lt;=0.01,ABS(J619-K619)&lt;=0.01,L619=1),"一致","检查"))</x:f>
      </x:c>
      <x:c r="N619" s="64" t="str">
        <x:f>IF(A619="","",IF(COUNTIF($A$5:$A$1204,A619)&gt;1,"重复",""))</x:f>
      </x:c>
    </x:row>
    <x:row r="620">
      <x:c r="A620" s="62"/>
      <x:c r="B620" s="62"/>
      <x:c r="C620" s="62"/>
      <x:c r="D620" s="62"/>
      <x:c r="E620" s="62"/>
      <x:c r="F620" s="62"/>
      <x:c r="G620" s="66"/>
      <x:c r="H620" s="68"/>
      <x:c r="I620" s="68"/>
      <x:c r="J620" s="68"/>
      <x:c r="K620" s="68"/>
      <x:c r="L620" s="70"/>
      <x:c r="M620" s="64" t="str">
        <x:f>IF(A620="","",IF(AND(E620&lt;&gt;"",F620&lt;&gt;"",ABS(H620-I620)&lt;=0.01,ABS(J620-K620)&lt;=0.01,L620=1),"一致","检查"))</x:f>
      </x:c>
      <x:c r="N620" s="64" t="str">
        <x:f>IF(A620="","",IF(COUNTIF($A$5:$A$1204,A620)&gt;1,"重复",""))</x:f>
      </x:c>
    </x:row>
    <x:row r="621">
      <x:c r="A621" s="62"/>
      <x:c r="B621" s="62"/>
      <x:c r="C621" s="62"/>
      <x:c r="D621" s="62"/>
      <x:c r="E621" s="62"/>
      <x:c r="F621" s="62"/>
      <x:c r="G621" s="66"/>
      <x:c r="H621" s="68"/>
      <x:c r="I621" s="68"/>
      <x:c r="J621" s="68"/>
      <x:c r="K621" s="68"/>
      <x:c r="L621" s="70"/>
      <x:c r="M621" s="64" t="str">
        <x:f>IF(A621="","",IF(AND(E621&lt;&gt;"",F621&lt;&gt;"",ABS(H621-I621)&lt;=0.01,ABS(J621-K621)&lt;=0.01,L621=1),"一致","检查"))</x:f>
      </x:c>
      <x:c r="N621" s="64" t="str">
        <x:f>IF(A621="","",IF(COUNTIF($A$5:$A$1204,A621)&gt;1,"重复",""))</x:f>
      </x:c>
    </x:row>
    <x:row r="622">
      <x:c r="A622" s="62"/>
      <x:c r="B622" s="62"/>
      <x:c r="C622" s="62"/>
      <x:c r="D622" s="62"/>
      <x:c r="E622" s="62"/>
      <x:c r="F622" s="62"/>
      <x:c r="G622" s="66"/>
      <x:c r="H622" s="68"/>
      <x:c r="I622" s="68"/>
      <x:c r="J622" s="68"/>
      <x:c r="K622" s="68"/>
      <x:c r="L622" s="70"/>
      <x:c r="M622" s="64" t="str">
        <x:f>IF(A622="","",IF(AND(E622&lt;&gt;"",F622&lt;&gt;"",ABS(H622-I622)&lt;=0.01,ABS(J622-K622)&lt;=0.01,L622=1),"一致","检查"))</x:f>
      </x:c>
      <x:c r="N622" s="64" t="str">
        <x:f>IF(A622="","",IF(COUNTIF($A$5:$A$1204,A622)&gt;1,"重复",""))</x:f>
      </x:c>
    </x:row>
    <x:row r="623">
      <x:c r="A623" s="62"/>
      <x:c r="B623" s="62"/>
      <x:c r="C623" s="62"/>
      <x:c r="D623" s="62"/>
      <x:c r="E623" s="62"/>
      <x:c r="F623" s="62"/>
      <x:c r="G623" s="66"/>
      <x:c r="H623" s="68"/>
      <x:c r="I623" s="68"/>
      <x:c r="J623" s="68"/>
      <x:c r="K623" s="68"/>
      <x:c r="L623" s="70"/>
      <x:c r="M623" s="64" t="str">
        <x:f>IF(A623="","",IF(AND(E623&lt;&gt;"",F623&lt;&gt;"",ABS(H623-I623)&lt;=0.01,ABS(J623-K623)&lt;=0.01,L623=1),"一致","检查"))</x:f>
      </x:c>
      <x:c r="N623" s="64" t="str">
        <x:f>IF(A623="","",IF(COUNTIF($A$5:$A$1204,A623)&gt;1,"重复",""))</x:f>
      </x:c>
    </x:row>
    <x:row r="624">
      <x:c r="A624" s="62"/>
      <x:c r="B624" s="62"/>
      <x:c r="C624" s="62"/>
      <x:c r="D624" s="62"/>
      <x:c r="E624" s="62"/>
      <x:c r="F624" s="62"/>
      <x:c r="G624" s="66"/>
      <x:c r="H624" s="68"/>
      <x:c r="I624" s="68"/>
      <x:c r="J624" s="68"/>
      <x:c r="K624" s="68"/>
      <x:c r="L624" s="70"/>
      <x:c r="M624" s="64" t="str">
        <x:f>IF(A624="","",IF(AND(E624&lt;&gt;"",F624&lt;&gt;"",ABS(H624-I624)&lt;=0.01,ABS(J624-K624)&lt;=0.01,L624=1),"一致","检查"))</x:f>
      </x:c>
      <x:c r="N624" s="64" t="str">
        <x:f>IF(A624="","",IF(COUNTIF($A$5:$A$1204,A624)&gt;1,"重复",""))</x:f>
      </x:c>
    </x:row>
    <x:row r="625">
      <x:c r="A625" s="62"/>
      <x:c r="B625" s="62"/>
      <x:c r="C625" s="62"/>
      <x:c r="D625" s="62"/>
      <x:c r="E625" s="62"/>
      <x:c r="F625" s="62"/>
      <x:c r="G625" s="66"/>
      <x:c r="H625" s="68"/>
      <x:c r="I625" s="68"/>
      <x:c r="J625" s="68"/>
      <x:c r="K625" s="68"/>
      <x:c r="L625" s="70"/>
      <x:c r="M625" s="64" t="str">
        <x:f>IF(A625="","",IF(AND(E625&lt;&gt;"",F625&lt;&gt;"",ABS(H625-I625)&lt;=0.01,ABS(J625-K625)&lt;=0.01,L625=1),"一致","检查"))</x:f>
      </x:c>
      <x:c r="N625" s="64" t="str">
        <x:f>IF(A625="","",IF(COUNTIF($A$5:$A$1204,A625)&gt;1,"重复",""))</x:f>
      </x:c>
    </x:row>
    <x:row r="626">
      <x:c r="A626" s="62"/>
      <x:c r="B626" s="62"/>
      <x:c r="C626" s="62"/>
      <x:c r="D626" s="62"/>
      <x:c r="E626" s="62"/>
      <x:c r="F626" s="62"/>
      <x:c r="G626" s="66"/>
      <x:c r="H626" s="68"/>
      <x:c r="I626" s="68"/>
      <x:c r="J626" s="68"/>
      <x:c r="K626" s="68"/>
      <x:c r="L626" s="70"/>
      <x:c r="M626" s="64" t="str">
        <x:f>IF(A626="","",IF(AND(E626&lt;&gt;"",F626&lt;&gt;"",ABS(H626-I626)&lt;=0.01,ABS(J626-K626)&lt;=0.01,L626=1),"一致","检查"))</x:f>
      </x:c>
      <x:c r="N626" s="64" t="str">
        <x:f>IF(A626="","",IF(COUNTIF($A$5:$A$1204,A626)&gt;1,"重复",""))</x:f>
      </x:c>
    </x:row>
    <x:row r="627">
      <x:c r="A627" s="62"/>
      <x:c r="B627" s="62"/>
      <x:c r="C627" s="62"/>
      <x:c r="D627" s="62"/>
      <x:c r="E627" s="62"/>
      <x:c r="F627" s="62"/>
      <x:c r="G627" s="66"/>
      <x:c r="H627" s="68"/>
      <x:c r="I627" s="68"/>
      <x:c r="J627" s="68"/>
      <x:c r="K627" s="68"/>
      <x:c r="L627" s="70"/>
      <x:c r="M627" s="64" t="str">
        <x:f>IF(A627="","",IF(AND(E627&lt;&gt;"",F627&lt;&gt;"",ABS(H627-I627)&lt;=0.01,ABS(J627-K627)&lt;=0.01,L627=1),"一致","检查"))</x:f>
      </x:c>
      <x:c r="N627" s="64" t="str">
        <x:f>IF(A627="","",IF(COUNTIF($A$5:$A$1204,A627)&gt;1,"重复",""))</x:f>
      </x:c>
    </x:row>
    <x:row r="628">
      <x:c r="A628" s="62"/>
      <x:c r="B628" s="62"/>
      <x:c r="C628" s="62"/>
      <x:c r="D628" s="62"/>
      <x:c r="E628" s="62"/>
      <x:c r="F628" s="62"/>
      <x:c r="G628" s="66"/>
      <x:c r="H628" s="68"/>
      <x:c r="I628" s="68"/>
      <x:c r="J628" s="68"/>
      <x:c r="K628" s="68"/>
      <x:c r="L628" s="70"/>
      <x:c r="M628" s="64" t="str">
        <x:f>IF(A628="","",IF(AND(E628&lt;&gt;"",F628&lt;&gt;"",ABS(H628-I628)&lt;=0.01,ABS(J628-K628)&lt;=0.01,L628=1),"一致","检查"))</x:f>
      </x:c>
      <x:c r="N628" s="64" t="str">
        <x:f>IF(A628="","",IF(COUNTIF($A$5:$A$1204,A628)&gt;1,"重复",""))</x:f>
      </x:c>
    </x:row>
    <x:row r="629">
      <x:c r="A629" s="62"/>
      <x:c r="B629" s="62"/>
      <x:c r="C629" s="62"/>
      <x:c r="D629" s="62"/>
      <x:c r="E629" s="62"/>
      <x:c r="F629" s="62"/>
      <x:c r="G629" s="66"/>
      <x:c r="H629" s="68"/>
      <x:c r="I629" s="68"/>
      <x:c r="J629" s="68"/>
      <x:c r="K629" s="68"/>
      <x:c r="L629" s="70"/>
      <x:c r="M629" s="64" t="str">
        <x:f>IF(A629="","",IF(AND(E629&lt;&gt;"",F629&lt;&gt;"",ABS(H629-I629)&lt;=0.01,ABS(J629-K629)&lt;=0.01,L629=1),"一致","检查"))</x:f>
      </x:c>
      <x:c r="N629" s="64" t="str">
        <x:f>IF(A629="","",IF(COUNTIF($A$5:$A$1204,A629)&gt;1,"重复",""))</x:f>
      </x:c>
    </x:row>
    <x:row r="630">
      <x:c r="A630" s="62"/>
      <x:c r="B630" s="62"/>
      <x:c r="C630" s="62"/>
      <x:c r="D630" s="62"/>
      <x:c r="E630" s="62"/>
      <x:c r="F630" s="62"/>
      <x:c r="G630" s="66"/>
      <x:c r="H630" s="68"/>
      <x:c r="I630" s="68"/>
      <x:c r="J630" s="68"/>
      <x:c r="K630" s="68"/>
      <x:c r="L630" s="70"/>
      <x:c r="M630" s="64" t="str">
        <x:f>IF(A630="","",IF(AND(E630&lt;&gt;"",F630&lt;&gt;"",ABS(H630-I630)&lt;=0.01,ABS(J630-K630)&lt;=0.01,L630=1),"一致","检查"))</x:f>
      </x:c>
      <x:c r="N630" s="64" t="str">
        <x:f>IF(A630="","",IF(COUNTIF($A$5:$A$1204,A630)&gt;1,"重复",""))</x:f>
      </x:c>
    </x:row>
    <x:row r="631">
      <x:c r="A631" s="62"/>
      <x:c r="B631" s="62"/>
      <x:c r="C631" s="62"/>
      <x:c r="D631" s="62"/>
      <x:c r="E631" s="62"/>
      <x:c r="F631" s="62"/>
      <x:c r="G631" s="66"/>
      <x:c r="H631" s="68"/>
      <x:c r="I631" s="68"/>
      <x:c r="J631" s="68"/>
      <x:c r="K631" s="68"/>
      <x:c r="L631" s="70"/>
      <x:c r="M631" s="64" t="str">
        <x:f>IF(A631="","",IF(AND(E631&lt;&gt;"",F631&lt;&gt;"",ABS(H631-I631)&lt;=0.01,ABS(J631-K631)&lt;=0.01,L631=1),"一致","检查"))</x:f>
      </x:c>
      <x:c r="N631" s="64" t="str">
        <x:f>IF(A631="","",IF(COUNTIF($A$5:$A$1204,A631)&gt;1,"重复",""))</x:f>
      </x:c>
    </x:row>
    <x:row r="632">
      <x:c r="A632" s="62"/>
      <x:c r="B632" s="62"/>
      <x:c r="C632" s="62"/>
      <x:c r="D632" s="62"/>
      <x:c r="E632" s="62"/>
      <x:c r="F632" s="62"/>
      <x:c r="G632" s="66"/>
      <x:c r="H632" s="68"/>
      <x:c r="I632" s="68"/>
      <x:c r="J632" s="68"/>
      <x:c r="K632" s="68"/>
      <x:c r="L632" s="70"/>
      <x:c r="M632" s="64" t="str">
        <x:f>IF(A632="","",IF(AND(E632&lt;&gt;"",F632&lt;&gt;"",ABS(H632-I632)&lt;=0.01,ABS(J632-K632)&lt;=0.01,L632=1),"一致","检查"))</x:f>
      </x:c>
      <x:c r="N632" s="64" t="str">
        <x:f>IF(A632="","",IF(COUNTIF($A$5:$A$1204,A632)&gt;1,"重复",""))</x:f>
      </x:c>
    </x:row>
    <x:row r="633">
      <x:c r="A633" s="62"/>
      <x:c r="B633" s="62"/>
      <x:c r="C633" s="62"/>
      <x:c r="D633" s="62"/>
      <x:c r="E633" s="62"/>
      <x:c r="F633" s="62"/>
      <x:c r="G633" s="66"/>
      <x:c r="H633" s="68"/>
      <x:c r="I633" s="68"/>
      <x:c r="J633" s="68"/>
      <x:c r="K633" s="68"/>
      <x:c r="L633" s="70"/>
      <x:c r="M633" s="64" t="str">
        <x:f>IF(A633="","",IF(AND(E633&lt;&gt;"",F633&lt;&gt;"",ABS(H633-I633)&lt;=0.01,ABS(J633-K633)&lt;=0.01,L633=1),"一致","检查"))</x:f>
      </x:c>
      <x:c r="N633" s="64" t="str">
        <x:f>IF(A633="","",IF(COUNTIF($A$5:$A$1204,A633)&gt;1,"重复",""))</x:f>
      </x:c>
    </x:row>
    <x:row r="634">
      <x:c r="A634" s="62"/>
      <x:c r="B634" s="62"/>
      <x:c r="C634" s="62"/>
      <x:c r="D634" s="62"/>
      <x:c r="E634" s="62"/>
      <x:c r="F634" s="62"/>
      <x:c r="G634" s="66"/>
      <x:c r="H634" s="68"/>
      <x:c r="I634" s="68"/>
      <x:c r="J634" s="68"/>
      <x:c r="K634" s="68"/>
      <x:c r="L634" s="70"/>
      <x:c r="M634" s="64" t="str">
        <x:f>IF(A634="","",IF(AND(E634&lt;&gt;"",F634&lt;&gt;"",ABS(H634-I634)&lt;=0.01,ABS(J634-K634)&lt;=0.01,L634=1),"一致","检查"))</x:f>
      </x:c>
      <x:c r="N634" s="64" t="str">
        <x:f>IF(A634="","",IF(COUNTIF($A$5:$A$1204,A634)&gt;1,"重复",""))</x:f>
      </x:c>
    </x:row>
    <x:row r="635">
      <x:c r="A635" s="62"/>
      <x:c r="B635" s="62"/>
      <x:c r="C635" s="62"/>
      <x:c r="D635" s="62"/>
      <x:c r="E635" s="62"/>
      <x:c r="F635" s="62"/>
      <x:c r="G635" s="66"/>
      <x:c r="H635" s="68"/>
      <x:c r="I635" s="68"/>
      <x:c r="J635" s="68"/>
      <x:c r="K635" s="68"/>
      <x:c r="L635" s="70"/>
      <x:c r="M635" s="64" t="str">
        <x:f>IF(A635="","",IF(AND(E635&lt;&gt;"",F635&lt;&gt;"",ABS(H635-I635)&lt;=0.01,ABS(J635-K635)&lt;=0.01,L635=1),"一致","检查"))</x:f>
      </x:c>
      <x:c r="N635" s="64" t="str">
        <x:f>IF(A635="","",IF(COUNTIF($A$5:$A$1204,A635)&gt;1,"重复",""))</x:f>
      </x:c>
    </x:row>
    <x:row r="636">
      <x:c r="A636" s="62"/>
      <x:c r="B636" s="62"/>
      <x:c r="C636" s="62"/>
      <x:c r="D636" s="62"/>
      <x:c r="E636" s="62"/>
      <x:c r="F636" s="62"/>
      <x:c r="G636" s="66"/>
      <x:c r="H636" s="68"/>
      <x:c r="I636" s="68"/>
      <x:c r="J636" s="68"/>
      <x:c r="K636" s="68"/>
      <x:c r="L636" s="70"/>
      <x:c r="M636" s="64" t="str">
        <x:f>IF(A636="","",IF(AND(E636&lt;&gt;"",F636&lt;&gt;"",ABS(H636-I636)&lt;=0.01,ABS(J636-K636)&lt;=0.01,L636=1),"一致","检查"))</x:f>
      </x:c>
      <x:c r="N636" s="64" t="str">
        <x:f>IF(A636="","",IF(COUNTIF($A$5:$A$1204,A636)&gt;1,"重复",""))</x:f>
      </x:c>
    </x:row>
    <x:row r="637">
      <x:c r="A637" s="62"/>
      <x:c r="B637" s="62"/>
      <x:c r="C637" s="62"/>
      <x:c r="D637" s="62"/>
      <x:c r="E637" s="62"/>
      <x:c r="F637" s="62"/>
      <x:c r="G637" s="66"/>
      <x:c r="H637" s="68"/>
      <x:c r="I637" s="68"/>
      <x:c r="J637" s="68"/>
      <x:c r="K637" s="68"/>
      <x:c r="L637" s="70"/>
      <x:c r="M637" s="64" t="str">
        <x:f>IF(A637="","",IF(AND(E637&lt;&gt;"",F637&lt;&gt;"",ABS(H637-I637)&lt;=0.01,ABS(J637-K637)&lt;=0.01,L637=1),"一致","检查"))</x:f>
      </x:c>
      <x:c r="N637" s="64" t="str">
        <x:f>IF(A637="","",IF(COUNTIF($A$5:$A$1204,A637)&gt;1,"重复",""))</x:f>
      </x:c>
    </x:row>
    <x:row r="638">
      <x:c r="A638" s="62"/>
      <x:c r="B638" s="62"/>
      <x:c r="C638" s="62"/>
      <x:c r="D638" s="62"/>
      <x:c r="E638" s="62"/>
      <x:c r="F638" s="62"/>
      <x:c r="G638" s="66"/>
      <x:c r="H638" s="68"/>
      <x:c r="I638" s="68"/>
      <x:c r="J638" s="68"/>
      <x:c r="K638" s="68"/>
      <x:c r="L638" s="70"/>
      <x:c r="M638" s="64" t="str">
        <x:f>IF(A638="","",IF(AND(E638&lt;&gt;"",F638&lt;&gt;"",ABS(H638-I638)&lt;=0.01,ABS(J638-K638)&lt;=0.01,L638=1),"一致","检查"))</x:f>
      </x:c>
      <x:c r="N638" s="64" t="str">
        <x:f>IF(A638="","",IF(COUNTIF($A$5:$A$1204,A638)&gt;1,"重复",""))</x:f>
      </x:c>
    </x:row>
    <x:row r="639">
      <x:c r="A639" s="62"/>
      <x:c r="B639" s="62"/>
      <x:c r="C639" s="62"/>
      <x:c r="D639" s="62"/>
      <x:c r="E639" s="62"/>
      <x:c r="F639" s="62"/>
      <x:c r="G639" s="66"/>
      <x:c r="H639" s="68"/>
      <x:c r="I639" s="68"/>
      <x:c r="J639" s="68"/>
      <x:c r="K639" s="68"/>
      <x:c r="L639" s="70"/>
      <x:c r="M639" s="64" t="str">
        <x:f>IF(A639="","",IF(AND(E639&lt;&gt;"",F639&lt;&gt;"",ABS(H639-I639)&lt;=0.01,ABS(J639-K639)&lt;=0.01,L639=1),"一致","检查"))</x:f>
      </x:c>
      <x:c r="N639" s="64" t="str">
        <x:f>IF(A639="","",IF(COUNTIF($A$5:$A$1204,A639)&gt;1,"重复",""))</x:f>
      </x:c>
    </x:row>
    <x:row r="640">
      <x:c r="A640" s="62"/>
      <x:c r="B640" s="62"/>
      <x:c r="C640" s="62"/>
      <x:c r="D640" s="62"/>
      <x:c r="E640" s="62"/>
      <x:c r="F640" s="62"/>
      <x:c r="G640" s="66"/>
      <x:c r="H640" s="68"/>
      <x:c r="I640" s="68"/>
      <x:c r="J640" s="68"/>
      <x:c r="K640" s="68"/>
      <x:c r="L640" s="70"/>
      <x:c r="M640" s="64" t="str">
        <x:f>IF(A640="","",IF(AND(E640&lt;&gt;"",F640&lt;&gt;"",ABS(H640-I640)&lt;=0.01,ABS(J640-K640)&lt;=0.01,L640=1),"一致","检查"))</x:f>
      </x:c>
      <x:c r="N640" s="64" t="str">
        <x:f>IF(A640="","",IF(COUNTIF($A$5:$A$1204,A640)&gt;1,"重复",""))</x:f>
      </x:c>
    </x:row>
    <x:row r="641">
      <x:c r="A641" s="62"/>
      <x:c r="B641" s="62"/>
      <x:c r="C641" s="62"/>
      <x:c r="D641" s="62"/>
      <x:c r="E641" s="62"/>
      <x:c r="F641" s="62"/>
      <x:c r="G641" s="66"/>
      <x:c r="H641" s="68"/>
      <x:c r="I641" s="68"/>
      <x:c r="J641" s="68"/>
      <x:c r="K641" s="68"/>
      <x:c r="L641" s="70"/>
      <x:c r="M641" s="64" t="str">
        <x:f>IF(A641="","",IF(AND(E641&lt;&gt;"",F641&lt;&gt;"",ABS(H641-I641)&lt;=0.01,ABS(J641-K641)&lt;=0.01,L641=1),"一致","检查"))</x:f>
      </x:c>
      <x:c r="N641" s="64" t="str">
        <x:f>IF(A641="","",IF(COUNTIF($A$5:$A$1204,A641)&gt;1,"重复",""))</x:f>
      </x:c>
    </x:row>
    <x:row r="642">
      <x:c r="A642" s="62"/>
      <x:c r="B642" s="62"/>
      <x:c r="C642" s="62"/>
      <x:c r="D642" s="62"/>
      <x:c r="E642" s="62"/>
      <x:c r="F642" s="62"/>
      <x:c r="G642" s="66"/>
      <x:c r="H642" s="68"/>
      <x:c r="I642" s="68"/>
      <x:c r="J642" s="68"/>
      <x:c r="K642" s="68"/>
      <x:c r="L642" s="70"/>
      <x:c r="M642" s="64" t="str">
        <x:f>IF(A642="","",IF(AND(E642&lt;&gt;"",F642&lt;&gt;"",ABS(H642-I642)&lt;=0.01,ABS(J642-K642)&lt;=0.01,L642=1),"一致","检查"))</x:f>
      </x:c>
      <x:c r="N642" s="64" t="str">
        <x:f>IF(A642="","",IF(COUNTIF($A$5:$A$1204,A642)&gt;1,"重复",""))</x:f>
      </x:c>
    </x:row>
    <x:row r="643">
      <x:c r="A643" s="62"/>
      <x:c r="B643" s="62"/>
      <x:c r="C643" s="62"/>
      <x:c r="D643" s="62"/>
      <x:c r="E643" s="62"/>
      <x:c r="F643" s="62"/>
      <x:c r="G643" s="66"/>
      <x:c r="H643" s="68"/>
      <x:c r="I643" s="68"/>
      <x:c r="J643" s="68"/>
      <x:c r="K643" s="68"/>
      <x:c r="L643" s="70"/>
      <x:c r="M643" s="64" t="str">
        <x:f>IF(A643="","",IF(AND(E643&lt;&gt;"",F643&lt;&gt;"",ABS(H643-I643)&lt;=0.01,ABS(J643-K643)&lt;=0.01,L643=1),"一致","检查"))</x:f>
      </x:c>
      <x:c r="N643" s="64" t="str">
        <x:f>IF(A643="","",IF(COUNTIF($A$5:$A$1204,A643)&gt;1,"重复",""))</x:f>
      </x:c>
    </x:row>
    <x:row r="644">
      <x:c r="A644" s="62"/>
      <x:c r="B644" s="62"/>
      <x:c r="C644" s="62"/>
      <x:c r="D644" s="62"/>
      <x:c r="E644" s="62"/>
      <x:c r="F644" s="62"/>
      <x:c r="G644" s="66"/>
      <x:c r="H644" s="68"/>
      <x:c r="I644" s="68"/>
      <x:c r="J644" s="68"/>
      <x:c r="K644" s="68"/>
      <x:c r="L644" s="70"/>
      <x:c r="M644" s="64" t="str">
        <x:f>IF(A644="","",IF(AND(E644&lt;&gt;"",F644&lt;&gt;"",ABS(H644-I644)&lt;=0.01,ABS(J644-K644)&lt;=0.01,L644=1),"一致","检查"))</x:f>
      </x:c>
      <x:c r="N644" s="64" t="str">
        <x:f>IF(A644="","",IF(COUNTIF($A$5:$A$1204,A644)&gt;1,"重复",""))</x:f>
      </x:c>
    </x:row>
    <x:row r="645">
      <x:c r="A645" s="62"/>
      <x:c r="B645" s="62"/>
      <x:c r="C645" s="62"/>
      <x:c r="D645" s="62"/>
      <x:c r="E645" s="62"/>
      <x:c r="F645" s="62"/>
      <x:c r="G645" s="66"/>
      <x:c r="H645" s="68"/>
      <x:c r="I645" s="68"/>
      <x:c r="J645" s="68"/>
      <x:c r="K645" s="68"/>
      <x:c r="L645" s="70"/>
      <x:c r="M645" s="64" t="str">
        <x:f>IF(A645="","",IF(AND(E645&lt;&gt;"",F645&lt;&gt;"",ABS(H645-I645)&lt;=0.01,ABS(J645-K645)&lt;=0.01,L645=1),"一致","检查"))</x:f>
      </x:c>
      <x:c r="N645" s="64" t="str">
        <x:f>IF(A645="","",IF(COUNTIF($A$5:$A$1204,A645)&gt;1,"重复",""))</x:f>
      </x:c>
    </x:row>
    <x:row r="646">
      <x:c r="A646" s="62"/>
      <x:c r="B646" s="62"/>
      <x:c r="C646" s="62"/>
      <x:c r="D646" s="62"/>
      <x:c r="E646" s="62"/>
      <x:c r="F646" s="62"/>
      <x:c r="G646" s="66"/>
      <x:c r="H646" s="68"/>
      <x:c r="I646" s="68"/>
      <x:c r="J646" s="68"/>
      <x:c r="K646" s="68"/>
      <x:c r="L646" s="70"/>
      <x:c r="M646" s="64" t="str">
        <x:f>IF(A646="","",IF(AND(E646&lt;&gt;"",F646&lt;&gt;"",ABS(H646-I646)&lt;=0.01,ABS(J646-K646)&lt;=0.01,L646=1),"一致","检查"))</x:f>
      </x:c>
      <x:c r="N646" s="64" t="str">
        <x:f>IF(A646="","",IF(COUNTIF($A$5:$A$1204,A646)&gt;1,"重复",""))</x:f>
      </x:c>
    </x:row>
    <x:row r="647">
      <x:c r="A647" s="62"/>
      <x:c r="B647" s="62"/>
      <x:c r="C647" s="62"/>
      <x:c r="D647" s="62"/>
      <x:c r="E647" s="62"/>
      <x:c r="F647" s="62"/>
      <x:c r="G647" s="66"/>
      <x:c r="H647" s="68"/>
      <x:c r="I647" s="68"/>
      <x:c r="J647" s="68"/>
      <x:c r="K647" s="68"/>
      <x:c r="L647" s="70"/>
      <x:c r="M647" s="64" t="str">
        <x:f>IF(A647="","",IF(AND(E647&lt;&gt;"",F647&lt;&gt;"",ABS(H647-I647)&lt;=0.01,ABS(J647-K647)&lt;=0.01,L647=1),"一致","检查"))</x:f>
      </x:c>
      <x:c r="N647" s="64" t="str">
        <x:f>IF(A647="","",IF(COUNTIF($A$5:$A$1204,A647)&gt;1,"重复",""))</x:f>
      </x:c>
    </x:row>
    <x:row r="648">
      <x:c r="A648" s="62"/>
      <x:c r="B648" s="62"/>
      <x:c r="C648" s="62"/>
      <x:c r="D648" s="62"/>
      <x:c r="E648" s="62"/>
      <x:c r="F648" s="62"/>
      <x:c r="G648" s="66"/>
      <x:c r="H648" s="68"/>
      <x:c r="I648" s="68"/>
      <x:c r="J648" s="68"/>
      <x:c r="K648" s="68"/>
      <x:c r="L648" s="70"/>
      <x:c r="M648" s="64" t="str">
        <x:f>IF(A648="","",IF(AND(E648&lt;&gt;"",F648&lt;&gt;"",ABS(H648-I648)&lt;=0.01,ABS(J648-K648)&lt;=0.01,L648=1),"一致","检查"))</x:f>
      </x:c>
      <x:c r="N648" s="64" t="str">
        <x:f>IF(A648="","",IF(COUNTIF($A$5:$A$1204,A648)&gt;1,"重复",""))</x:f>
      </x:c>
    </x:row>
    <x:row r="649">
      <x:c r="A649" s="62"/>
      <x:c r="B649" s="62"/>
      <x:c r="C649" s="62"/>
      <x:c r="D649" s="62"/>
      <x:c r="E649" s="62"/>
      <x:c r="F649" s="62"/>
      <x:c r="G649" s="66"/>
      <x:c r="H649" s="68"/>
      <x:c r="I649" s="68"/>
      <x:c r="J649" s="68"/>
      <x:c r="K649" s="68"/>
      <x:c r="L649" s="70"/>
      <x:c r="M649" s="64" t="str">
        <x:f>IF(A649="","",IF(AND(E649&lt;&gt;"",F649&lt;&gt;"",ABS(H649-I649)&lt;=0.01,ABS(J649-K649)&lt;=0.01,L649=1),"一致","检查"))</x:f>
      </x:c>
      <x:c r="N649" s="64" t="str">
        <x:f>IF(A649="","",IF(COUNTIF($A$5:$A$1204,A649)&gt;1,"重复",""))</x:f>
      </x:c>
    </x:row>
    <x:row r="650">
      <x:c r="A650" s="62"/>
      <x:c r="B650" s="62"/>
      <x:c r="C650" s="62"/>
      <x:c r="D650" s="62"/>
      <x:c r="E650" s="62"/>
      <x:c r="F650" s="62"/>
      <x:c r="G650" s="66"/>
      <x:c r="H650" s="68"/>
      <x:c r="I650" s="68"/>
      <x:c r="J650" s="68"/>
      <x:c r="K650" s="68"/>
      <x:c r="L650" s="70"/>
      <x:c r="M650" s="64" t="str">
        <x:f>IF(A650="","",IF(AND(E650&lt;&gt;"",F650&lt;&gt;"",ABS(H650-I650)&lt;=0.01,ABS(J650-K650)&lt;=0.01,L650=1),"一致","检查"))</x:f>
      </x:c>
      <x:c r="N650" s="64" t="str">
        <x:f>IF(A650="","",IF(COUNTIF($A$5:$A$1204,A650)&gt;1,"重复",""))</x:f>
      </x:c>
    </x:row>
    <x:row r="651">
      <x:c r="A651" s="62"/>
      <x:c r="B651" s="62"/>
      <x:c r="C651" s="62"/>
      <x:c r="D651" s="62"/>
      <x:c r="E651" s="62"/>
      <x:c r="F651" s="62"/>
      <x:c r="G651" s="66"/>
      <x:c r="H651" s="68"/>
      <x:c r="I651" s="68"/>
      <x:c r="J651" s="68"/>
      <x:c r="K651" s="68"/>
      <x:c r="L651" s="70"/>
      <x:c r="M651" s="64" t="str">
        <x:f>IF(A651="","",IF(AND(E651&lt;&gt;"",F651&lt;&gt;"",ABS(H651-I651)&lt;=0.01,ABS(J651-K651)&lt;=0.01,L651=1),"一致","检查"))</x:f>
      </x:c>
      <x:c r="N651" s="64" t="str">
        <x:f>IF(A651="","",IF(COUNTIF($A$5:$A$1204,A651)&gt;1,"重复",""))</x:f>
      </x:c>
    </x:row>
    <x:row r="652">
      <x:c r="A652" s="62"/>
      <x:c r="B652" s="62"/>
      <x:c r="C652" s="62"/>
      <x:c r="D652" s="62"/>
      <x:c r="E652" s="62"/>
      <x:c r="F652" s="62"/>
      <x:c r="G652" s="66"/>
      <x:c r="H652" s="68"/>
      <x:c r="I652" s="68"/>
      <x:c r="J652" s="68"/>
      <x:c r="K652" s="68"/>
      <x:c r="L652" s="70"/>
      <x:c r="M652" s="64" t="str">
        <x:f>IF(A652="","",IF(AND(E652&lt;&gt;"",F652&lt;&gt;"",ABS(H652-I652)&lt;=0.01,ABS(J652-K652)&lt;=0.01,L652=1),"一致","检查"))</x:f>
      </x:c>
      <x:c r="N652" s="64" t="str">
        <x:f>IF(A652="","",IF(COUNTIF($A$5:$A$1204,A652)&gt;1,"重复",""))</x:f>
      </x:c>
    </x:row>
    <x:row r="653">
      <x:c r="A653" s="62"/>
      <x:c r="B653" s="62"/>
      <x:c r="C653" s="62"/>
      <x:c r="D653" s="62"/>
      <x:c r="E653" s="62"/>
      <x:c r="F653" s="62"/>
      <x:c r="G653" s="66"/>
      <x:c r="H653" s="68"/>
      <x:c r="I653" s="68"/>
      <x:c r="J653" s="68"/>
      <x:c r="K653" s="68"/>
      <x:c r="L653" s="70"/>
      <x:c r="M653" s="64" t="str">
        <x:f>IF(A653="","",IF(AND(E653&lt;&gt;"",F653&lt;&gt;"",ABS(H653-I653)&lt;=0.01,ABS(J653-K653)&lt;=0.01,L653=1),"一致","检查"))</x:f>
      </x:c>
      <x:c r="N653" s="64" t="str">
        <x:f>IF(A653="","",IF(COUNTIF($A$5:$A$1204,A653)&gt;1,"重复",""))</x:f>
      </x:c>
    </x:row>
    <x:row r="654">
      <x:c r="A654" s="62"/>
      <x:c r="B654" s="62"/>
      <x:c r="C654" s="62"/>
      <x:c r="D654" s="62"/>
      <x:c r="E654" s="62"/>
      <x:c r="F654" s="62"/>
      <x:c r="G654" s="66"/>
      <x:c r="H654" s="68"/>
      <x:c r="I654" s="68"/>
      <x:c r="J654" s="68"/>
      <x:c r="K654" s="68"/>
      <x:c r="L654" s="70"/>
      <x:c r="M654" s="64" t="str">
        <x:f>IF(A654="","",IF(AND(E654&lt;&gt;"",F654&lt;&gt;"",ABS(H654-I654)&lt;=0.01,ABS(J654-K654)&lt;=0.01,L654=1),"一致","检查"))</x:f>
      </x:c>
      <x:c r="N654" s="64" t="str">
        <x:f>IF(A654="","",IF(COUNTIF($A$5:$A$1204,A654)&gt;1,"重复",""))</x:f>
      </x:c>
    </x:row>
    <x:row r="655">
      <x:c r="A655" s="62"/>
      <x:c r="B655" s="62"/>
      <x:c r="C655" s="62"/>
      <x:c r="D655" s="62"/>
      <x:c r="E655" s="62"/>
      <x:c r="F655" s="62"/>
      <x:c r="G655" s="66"/>
      <x:c r="H655" s="68"/>
      <x:c r="I655" s="68"/>
      <x:c r="J655" s="68"/>
      <x:c r="K655" s="68"/>
      <x:c r="L655" s="70"/>
      <x:c r="M655" s="64" t="str">
        <x:f>IF(A655="","",IF(AND(E655&lt;&gt;"",F655&lt;&gt;"",ABS(H655-I655)&lt;=0.01,ABS(J655-K655)&lt;=0.01,L655=1),"一致","检查"))</x:f>
      </x:c>
      <x:c r="N655" s="64" t="str">
        <x:f>IF(A655="","",IF(COUNTIF($A$5:$A$1204,A655)&gt;1,"重复",""))</x:f>
      </x:c>
    </x:row>
    <x:row r="656">
      <x:c r="A656" s="62"/>
      <x:c r="B656" s="62"/>
      <x:c r="C656" s="62"/>
      <x:c r="D656" s="62"/>
      <x:c r="E656" s="62"/>
      <x:c r="F656" s="62"/>
      <x:c r="G656" s="66"/>
      <x:c r="H656" s="68"/>
      <x:c r="I656" s="68"/>
      <x:c r="J656" s="68"/>
      <x:c r="K656" s="68"/>
      <x:c r="L656" s="70"/>
      <x:c r="M656" s="64" t="str">
        <x:f>IF(A656="","",IF(AND(E656&lt;&gt;"",F656&lt;&gt;"",ABS(H656-I656)&lt;=0.01,ABS(J656-K656)&lt;=0.01,L656=1),"一致","检查"))</x:f>
      </x:c>
      <x:c r="N656" s="64" t="str">
        <x:f>IF(A656="","",IF(COUNTIF($A$5:$A$1204,A656)&gt;1,"重复",""))</x:f>
      </x:c>
    </x:row>
    <x:row r="657">
      <x:c r="A657" s="62"/>
      <x:c r="B657" s="62"/>
      <x:c r="C657" s="62"/>
      <x:c r="D657" s="62"/>
      <x:c r="E657" s="62"/>
      <x:c r="F657" s="62"/>
      <x:c r="G657" s="66"/>
      <x:c r="H657" s="68"/>
      <x:c r="I657" s="68"/>
      <x:c r="J657" s="68"/>
      <x:c r="K657" s="68"/>
      <x:c r="L657" s="70"/>
      <x:c r="M657" s="64" t="str">
        <x:f>IF(A657="","",IF(AND(E657&lt;&gt;"",F657&lt;&gt;"",ABS(H657-I657)&lt;=0.01,ABS(J657-K657)&lt;=0.01,L657=1),"一致","检查"))</x:f>
      </x:c>
      <x:c r="N657" s="64" t="str">
        <x:f>IF(A657="","",IF(COUNTIF($A$5:$A$1204,A657)&gt;1,"重复",""))</x:f>
      </x:c>
    </x:row>
    <x:row r="658">
      <x:c r="A658" s="62"/>
      <x:c r="B658" s="62"/>
      <x:c r="C658" s="62"/>
      <x:c r="D658" s="62"/>
      <x:c r="E658" s="62"/>
      <x:c r="F658" s="62"/>
      <x:c r="G658" s="66"/>
      <x:c r="H658" s="68"/>
      <x:c r="I658" s="68"/>
      <x:c r="J658" s="68"/>
      <x:c r="K658" s="68"/>
      <x:c r="L658" s="70"/>
      <x:c r="M658" s="64" t="str">
        <x:f>IF(A658="","",IF(AND(E658&lt;&gt;"",F658&lt;&gt;"",ABS(H658-I658)&lt;=0.01,ABS(J658-K658)&lt;=0.01,L658=1),"一致","检查"))</x:f>
      </x:c>
      <x:c r="N658" s="64" t="str">
        <x:f>IF(A658="","",IF(COUNTIF($A$5:$A$1204,A658)&gt;1,"重复",""))</x:f>
      </x:c>
    </x:row>
    <x:row r="659">
      <x:c r="A659" s="62"/>
      <x:c r="B659" s="62"/>
      <x:c r="C659" s="62"/>
      <x:c r="D659" s="62"/>
      <x:c r="E659" s="62"/>
      <x:c r="F659" s="62"/>
      <x:c r="G659" s="66"/>
      <x:c r="H659" s="68"/>
      <x:c r="I659" s="68"/>
      <x:c r="J659" s="68"/>
      <x:c r="K659" s="68"/>
      <x:c r="L659" s="70"/>
      <x:c r="M659" s="64" t="str">
        <x:f>IF(A659="","",IF(AND(E659&lt;&gt;"",F659&lt;&gt;"",ABS(H659-I659)&lt;=0.01,ABS(J659-K659)&lt;=0.01,L659=1),"一致","检查"))</x:f>
      </x:c>
      <x:c r="N659" s="64" t="str">
        <x:f>IF(A659="","",IF(COUNTIF($A$5:$A$1204,A659)&gt;1,"重复",""))</x:f>
      </x:c>
    </x:row>
    <x:row r="660">
      <x:c r="A660" s="62"/>
      <x:c r="B660" s="62"/>
      <x:c r="C660" s="62"/>
      <x:c r="D660" s="62"/>
      <x:c r="E660" s="62"/>
      <x:c r="F660" s="62"/>
      <x:c r="G660" s="66"/>
      <x:c r="H660" s="68"/>
      <x:c r="I660" s="68"/>
      <x:c r="J660" s="68"/>
      <x:c r="K660" s="68"/>
      <x:c r="L660" s="70"/>
      <x:c r="M660" s="64" t="str">
        <x:f>IF(A660="","",IF(AND(E660&lt;&gt;"",F660&lt;&gt;"",ABS(H660-I660)&lt;=0.01,ABS(J660-K660)&lt;=0.01,L660=1),"一致","检查"))</x:f>
      </x:c>
      <x:c r="N660" s="64" t="str">
        <x:f>IF(A660="","",IF(COUNTIF($A$5:$A$1204,A660)&gt;1,"重复",""))</x:f>
      </x:c>
    </x:row>
    <x:row r="661">
      <x:c r="A661" s="62"/>
      <x:c r="B661" s="62"/>
      <x:c r="C661" s="62"/>
      <x:c r="D661" s="62"/>
      <x:c r="E661" s="62"/>
      <x:c r="F661" s="62"/>
      <x:c r="G661" s="66"/>
      <x:c r="H661" s="68"/>
      <x:c r="I661" s="68"/>
      <x:c r="J661" s="68"/>
      <x:c r="K661" s="68"/>
      <x:c r="L661" s="70"/>
      <x:c r="M661" s="64" t="str">
        <x:f>IF(A661="","",IF(AND(E661&lt;&gt;"",F661&lt;&gt;"",ABS(H661-I661)&lt;=0.01,ABS(J661-K661)&lt;=0.01,L661=1),"一致","检查"))</x:f>
      </x:c>
      <x:c r="N661" s="64" t="str">
        <x:f>IF(A661="","",IF(COUNTIF($A$5:$A$1204,A661)&gt;1,"重复",""))</x:f>
      </x:c>
    </x:row>
    <x:row r="662">
      <x:c r="A662" s="62"/>
      <x:c r="B662" s="62"/>
      <x:c r="C662" s="62"/>
      <x:c r="D662" s="62"/>
      <x:c r="E662" s="62"/>
      <x:c r="F662" s="62"/>
      <x:c r="G662" s="66"/>
      <x:c r="H662" s="68"/>
      <x:c r="I662" s="68"/>
      <x:c r="J662" s="68"/>
      <x:c r="K662" s="68"/>
      <x:c r="L662" s="70"/>
      <x:c r="M662" s="64" t="str">
        <x:f>IF(A662="","",IF(AND(E662&lt;&gt;"",F662&lt;&gt;"",ABS(H662-I662)&lt;=0.01,ABS(J662-K662)&lt;=0.01,L662=1),"一致","检查"))</x:f>
      </x:c>
      <x:c r="N662" s="64" t="str">
        <x:f>IF(A662="","",IF(COUNTIF($A$5:$A$1204,A662)&gt;1,"重复",""))</x:f>
      </x:c>
    </x:row>
    <x:row r="663">
      <x:c r="A663" s="62"/>
      <x:c r="B663" s="62"/>
      <x:c r="C663" s="62"/>
      <x:c r="D663" s="62"/>
      <x:c r="E663" s="62"/>
      <x:c r="F663" s="62"/>
      <x:c r="G663" s="66"/>
      <x:c r="H663" s="68"/>
      <x:c r="I663" s="68"/>
      <x:c r="J663" s="68"/>
      <x:c r="K663" s="68"/>
      <x:c r="L663" s="70"/>
      <x:c r="M663" s="64" t="str">
        <x:f>IF(A663="","",IF(AND(E663&lt;&gt;"",F663&lt;&gt;"",ABS(H663-I663)&lt;=0.01,ABS(J663-K663)&lt;=0.01,L663=1),"一致","检查"))</x:f>
      </x:c>
      <x:c r="N663" s="64" t="str">
        <x:f>IF(A663="","",IF(COUNTIF($A$5:$A$1204,A663)&gt;1,"重复",""))</x:f>
      </x:c>
    </x:row>
    <x:row r="664">
      <x:c r="A664" s="62"/>
      <x:c r="B664" s="62"/>
      <x:c r="C664" s="62"/>
      <x:c r="D664" s="62"/>
      <x:c r="E664" s="62"/>
      <x:c r="F664" s="62"/>
      <x:c r="G664" s="66"/>
      <x:c r="H664" s="68"/>
      <x:c r="I664" s="68"/>
      <x:c r="J664" s="68"/>
      <x:c r="K664" s="68"/>
      <x:c r="L664" s="70"/>
      <x:c r="M664" s="64" t="str">
        <x:f>IF(A664="","",IF(AND(E664&lt;&gt;"",F664&lt;&gt;"",ABS(H664-I664)&lt;=0.01,ABS(J664-K664)&lt;=0.01,L664=1),"一致","检查"))</x:f>
      </x:c>
      <x:c r="N664" s="64" t="str">
        <x:f>IF(A664="","",IF(COUNTIF($A$5:$A$1204,A664)&gt;1,"重复",""))</x:f>
      </x:c>
    </x:row>
    <x:row r="665">
      <x:c r="A665" s="62"/>
      <x:c r="B665" s="62"/>
      <x:c r="C665" s="62"/>
      <x:c r="D665" s="62"/>
      <x:c r="E665" s="62"/>
      <x:c r="F665" s="62"/>
      <x:c r="G665" s="66"/>
      <x:c r="H665" s="68"/>
      <x:c r="I665" s="68"/>
      <x:c r="J665" s="68"/>
      <x:c r="K665" s="68"/>
      <x:c r="L665" s="70"/>
      <x:c r="M665" s="64" t="str">
        <x:f>IF(A665="","",IF(AND(E665&lt;&gt;"",F665&lt;&gt;"",ABS(H665-I665)&lt;=0.01,ABS(J665-K665)&lt;=0.01,L665=1),"一致","检查"))</x:f>
      </x:c>
      <x:c r="N665" s="64" t="str">
        <x:f>IF(A665="","",IF(COUNTIF($A$5:$A$1204,A665)&gt;1,"重复",""))</x:f>
      </x:c>
    </x:row>
    <x:row r="666">
      <x:c r="A666" s="62"/>
      <x:c r="B666" s="62"/>
      <x:c r="C666" s="62"/>
      <x:c r="D666" s="62"/>
      <x:c r="E666" s="62"/>
      <x:c r="F666" s="62"/>
      <x:c r="G666" s="66"/>
      <x:c r="H666" s="68"/>
      <x:c r="I666" s="68"/>
      <x:c r="J666" s="68"/>
      <x:c r="K666" s="68"/>
      <x:c r="L666" s="70"/>
      <x:c r="M666" s="64" t="str">
        <x:f>IF(A666="","",IF(AND(E666&lt;&gt;"",F666&lt;&gt;"",ABS(H666-I666)&lt;=0.01,ABS(J666-K666)&lt;=0.01,L666=1),"一致","检查"))</x:f>
      </x:c>
      <x:c r="N666" s="64" t="str">
        <x:f>IF(A666="","",IF(COUNTIF($A$5:$A$1204,A666)&gt;1,"重复",""))</x:f>
      </x:c>
    </x:row>
    <x:row r="667">
      <x:c r="A667" s="62"/>
      <x:c r="B667" s="62"/>
      <x:c r="C667" s="62"/>
      <x:c r="D667" s="62"/>
      <x:c r="E667" s="62"/>
      <x:c r="F667" s="62"/>
      <x:c r="G667" s="66"/>
      <x:c r="H667" s="68"/>
      <x:c r="I667" s="68"/>
      <x:c r="J667" s="68"/>
      <x:c r="K667" s="68"/>
      <x:c r="L667" s="70"/>
      <x:c r="M667" s="64" t="str">
        <x:f>IF(A667="","",IF(AND(E667&lt;&gt;"",F667&lt;&gt;"",ABS(H667-I667)&lt;=0.01,ABS(J667-K667)&lt;=0.01,L667=1),"一致","检查"))</x:f>
      </x:c>
      <x:c r="N667" s="64" t="str">
        <x:f>IF(A667="","",IF(COUNTIF($A$5:$A$1204,A667)&gt;1,"重复",""))</x:f>
      </x:c>
    </x:row>
    <x:row r="668">
      <x:c r="A668" s="62"/>
      <x:c r="B668" s="62"/>
      <x:c r="C668" s="62"/>
      <x:c r="D668" s="62"/>
      <x:c r="E668" s="62"/>
      <x:c r="F668" s="62"/>
      <x:c r="G668" s="66"/>
      <x:c r="H668" s="68"/>
      <x:c r="I668" s="68"/>
      <x:c r="J668" s="68"/>
      <x:c r="K668" s="68"/>
      <x:c r="L668" s="70"/>
      <x:c r="M668" s="64" t="str">
        <x:f>IF(A668="","",IF(AND(E668&lt;&gt;"",F668&lt;&gt;"",ABS(H668-I668)&lt;=0.01,ABS(J668-K668)&lt;=0.01,L668=1),"一致","检查"))</x:f>
      </x:c>
      <x:c r="N668" s="64" t="str">
        <x:f>IF(A668="","",IF(COUNTIF($A$5:$A$1204,A668)&gt;1,"重复",""))</x:f>
      </x:c>
    </x:row>
    <x:row r="669">
      <x:c r="A669" s="62"/>
      <x:c r="B669" s="62"/>
      <x:c r="C669" s="62"/>
      <x:c r="D669" s="62"/>
      <x:c r="E669" s="62"/>
      <x:c r="F669" s="62"/>
      <x:c r="G669" s="66"/>
      <x:c r="H669" s="68"/>
      <x:c r="I669" s="68"/>
      <x:c r="J669" s="68"/>
      <x:c r="K669" s="68"/>
      <x:c r="L669" s="70"/>
      <x:c r="M669" s="64" t="str">
        <x:f>IF(A669="","",IF(AND(E669&lt;&gt;"",F669&lt;&gt;"",ABS(H669-I669)&lt;=0.01,ABS(J669-K669)&lt;=0.01,L669=1),"一致","检查"))</x:f>
      </x:c>
      <x:c r="N669" s="64" t="str">
        <x:f>IF(A669="","",IF(COUNTIF($A$5:$A$1204,A669)&gt;1,"重复",""))</x:f>
      </x:c>
    </x:row>
    <x:row r="670">
      <x:c r="A670" s="62"/>
      <x:c r="B670" s="62"/>
      <x:c r="C670" s="62"/>
      <x:c r="D670" s="62"/>
      <x:c r="E670" s="62"/>
      <x:c r="F670" s="62"/>
      <x:c r="G670" s="66"/>
      <x:c r="H670" s="68"/>
      <x:c r="I670" s="68"/>
      <x:c r="J670" s="68"/>
      <x:c r="K670" s="68"/>
      <x:c r="L670" s="70"/>
      <x:c r="M670" s="64" t="str">
        <x:f>IF(A670="","",IF(AND(E670&lt;&gt;"",F670&lt;&gt;"",ABS(H670-I670)&lt;=0.01,ABS(J670-K670)&lt;=0.01,L670=1),"一致","检查"))</x:f>
      </x:c>
      <x:c r="N670" s="64" t="str">
        <x:f>IF(A670="","",IF(COUNTIF($A$5:$A$1204,A670)&gt;1,"重复",""))</x:f>
      </x:c>
    </x:row>
    <x:row r="671">
      <x:c r="A671" s="62"/>
      <x:c r="B671" s="62"/>
      <x:c r="C671" s="62"/>
      <x:c r="D671" s="62"/>
      <x:c r="E671" s="62"/>
      <x:c r="F671" s="62"/>
      <x:c r="G671" s="66"/>
      <x:c r="H671" s="68"/>
      <x:c r="I671" s="68"/>
      <x:c r="J671" s="68"/>
      <x:c r="K671" s="68"/>
      <x:c r="L671" s="70"/>
      <x:c r="M671" s="64" t="str">
        <x:f>IF(A671="","",IF(AND(E671&lt;&gt;"",F671&lt;&gt;"",ABS(H671-I671)&lt;=0.01,ABS(J671-K671)&lt;=0.01,L671=1),"一致","检查"))</x:f>
      </x:c>
      <x:c r="N671" s="64" t="str">
        <x:f>IF(A671="","",IF(COUNTIF($A$5:$A$1204,A671)&gt;1,"重复",""))</x:f>
      </x:c>
    </x:row>
    <x:row r="672">
      <x:c r="A672" s="62"/>
      <x:c r="B672" s="62"/>
      <x:c r="C672" s="62"/>
      <x:c r="D672" s="62"/>
      <x:c r="E672" s="62"/>
      <x:c r="F672" s="62"/>
      <x:c r="G672" s="66"/>
      <x:c r="H672" s="68"/>
      <x:c r="I672" s="68"/>
      <x:c r="J672" s="68"/>
      <x:c r="K672" s="68"/>
      <x:c r="L672" s="70"/>
      <x:c r="M672" s="64" t="str">
        <x:f>IF(A672="","",IF(AND(E672&lt;&gt;"",F672&lt;&gt;"",ABS(H672-I672)&lt;=0.01,ABS(J672-K672)&lt;=0.01,L672=1),"一致","检查"))</x:f>
      </x:c>
      <x:c r="N672" s="64" t="str">
        <x:f>IF(A672="","",IF(COUNTIF($A$5:$A$1204,A672)&gt;1,"重复",""))</x:f>
      </x:c>
    </x:row>
    <x:row r="673">
      <x:c r="A673" s="62"/>
      <x:c r="B673" s="62"/>
      <x:c r="C673" s="62"/>
      <x:c r="D673" s="62"/>
      <x:c r="E673" s="62"/>
      <x:c r="F673" s="62"/>
      <x:c r="G673" s="66"/>
      <x:c r="H673" s="68"/>
      <x:c r="I673" s="68"/>
      <x:c r="J673" s="68"/>
      <x:c r="K673" s="68"/>
      <x:c r="L673" s="70"/>
      <x:c r="M673" s="64" t="str">
        <x:f>IF(A673="","",IF(AND(E673&lt;&gt;"",F673&lt;&gt;"",ABS(H673-I673)&lt;=0.01,ABS(J673-K673)&lt;=0.01,L673=1),"一致","检查"))</x:f>
      </x:c>
      <x:c r="N673" s="64" t="str">
        <x:f>IF(A673="","",IF(COUNTIF($A$5:$A$1204,A673)&gt;1,"重复",""))</x:f>
      </x:c>
    </x:row>
    <x:row r="674">
      <x:c r="A674" s="62"/>
      <x:c r="B674" s="62"/>
      <x:c r="C674" s="62"/>
      <x:c r="D674" s="62"/>
      <x:c r="E674" s="62"/>
      <x:c r="F674" s="62"/>
      <x:c r="G674" s="66"/>
      <x:c r="H674" s="68"/>
      <x:c r="I674" s="68"/>
      <x:c r="J674" s="68"/>
      <x:c r="K674" s="68"/>
      <x:c r="L674" s="70"/>
      <x:c r="M674" s="64" t="str">
        <x:f>IF(A674="","",IF(AND(E674&lt;&gt;"",F674&lt;&gt;"",ABS(H674-I674)&lt;=0.01,ABS(J674-K674)&lt;=0.01,L674=1),"一致","检查"))</x:f>
      </x:c>
      <x:c r="N674" s="64" t="str">
        <x:f>IF(A674="","",IF(COUNTIF($A$5:$A$1204,A674)&gt;1,"重复",""))</x:f>
      </x:c>
    </x:row>
    <x:row r="675">
      <x:c r="A675" s="62"/>
      <x:c r="B675" s="62"/>
      <x:c r="C675" s="62"/>
      <x:c r="D675" s="62"/>
      <x:c r="E675" s="62"/>
      <x:c r="F675" s="62"/>
      <x:c r="G675" s="66"/>
      <x:c r="H675" s="68"/>
      <x:c r="I675" s="68"/>
      <x:c r="J675" s="68"/>
      <x:c r="K675" s="68"/>
      <x:c r="L675" s="70"/>
      <x:c r="M675" s="64" t="str">
        <x:f>IF(A675="","",IF(AND(E675&lt;&gt;"",F675&lt;&gt;"",ABS(H675-I675)&lt;=0.01,ABS(J675-K675)&lt;=0.01,L675=1),"一致","检查"))</x:f>
      </x:c>
      <x:c r="N675" s="64" t="str">
        <x:f>IF(A675="","",IF(COUNTIF($A$5:$A$1204,A675)&gt;1,"重复",""))</x:f>
      </x:c>
    </x:row>
    <x:row r="676">
      <x:c r="A676" s="62"/>
      <x:c r="B676" s="62"/>
      <x:c r="C676" s="62"/>
      <x:c r="D676" s="62"/>
      <x:c r="E676" s="62"/>
      <x:c r="F676" s="62"/>
      <x:c r="G676" s="66"/>
      <x:c r="H676" s="68"/>
      <x:c r="I676" s="68"/>
      <x:c r="J676" s="68"/>
      <x:c r="K676" s="68"/>
      <x:c r="L676" s="70"/>
      <x:c r="M676" s="64" t="str">
        <x:f>IF(A676="","",IF(AND(E676&lt;&gt;"",F676&lt;&gt;"",ABS(H676-I676)&lt;=0.01,ABS(J676-K676)&lt;=0.01,L676=1),"一致","检查"))</x:f>
      </x:c>
      <x:c r="N676" s="64" t="str">
        <x:f>IF(A676="","",IF(COUNTIF($A$5:$A$1204,A676)&gt;1,"重复",""))</x:f>
      </x:c>
    </x:row>
    <x:row r="677">
      <x:c r="A677" s="62"/>
      <x:c r="B677" s="62"/>
      <x:c r="C677" s="62"/>
      <x:c r="D677" s="62"/>
      <x:c r="E677" s="62"/>
      <x:c r="F677" s="62"/>
      <x:c r="G677" s="66"/>
      <x:c r="H677" s="68"/>
      <x:c r="I677" s="68"/>
      <x:c r="J677" s="68"/>
      <x:c r="K677" s="68"/>
      <x:c r="L677" s="70"/>
      <x:c r="M677" s="64" t="str">
        <x:f>IF(A677="","",IF(AND(E677&lt;&gt;"",F677&lt;&gt;"",ABS(H677-I677)&lt;=0.01,ABS(J677-K677)&lt;=0.01,L677=1),"一致","检查"))</x:f>
      </x:c>
      <x:c r="N677" s="64" t="str">
        <x:f>IF(A677="","",IF(COUNTIF($A$5:$A$1204,A677)&gt;1,"重复",""))</x:f>
      </x:c>
    </x:row>
    <x:row r="678">
      <x:c r="A678" s="62"/>
      <x:c r="B678" s="62"/>
      <x:c r="C678" s="62"/>
      <x:c r="D678" s="62"/>
      <x:c r="E678" s="62"/>
      <x:c r="F678" s="62"/>
      <x:c r="G678" s="66"/>
      <x:c r="H678" s="68"/>
      <x:c r="I678" s="68"/>
      <x:c r="J678" s="68"/>
      <x:c r="K678" s="68"/>
      <x:c r="L678" s="70"/>
      <x:c r="M678" s="64" t="str">
        <x:f>IF(A678="","",IF(AND(E678&lt;&gt;"",F678&lt;&gt;"",ABS(H678-I678)&lt;=0.01,ABS(J678-K678)&lt;=0.01,L678=1),"一致","检查"))</x:f>
      </x:c>
      <x:c r="N678" s="64" t="str">
        <x:f>IF(A678="","",IF(COUNTIF($A$5:$A$1204,A678)&gt;1,"重复",""))</x:f>
      </x:c>
    </x:row>
    <x:row r="679">
      <x:c r="A679" s="62"/>
      <x:c r="B679" s="62"/>
      <x:c r="C679" s="62"/>
      <x:c r="D679" s="62"/>
      <x:c r="E679" s="62"/>
      <x:c r="F679" s="62"/>
      <x:c r="G679" s="66"/>
      <x:c r="H679" s="68"/>
      <x:c r="I679" s="68"/>
      <x:c r="J679" s="68"/>
      <x:c r="K679" s="68"/>
      <x:c r="L679" s="70"/>
      <x:c r="M679" s="64" t="str">
        <x:f>IF(A679="","",IF(AND(E679&lt;&gt;"",F679&lt;&gt;"",ABS(H679-I679)&lt;=0.01,ABS(J679-K679)&lt;=0.01,L679=1),"一致","检查"))</x:f>
      </x:c>
      <x:c r="N679" s="64" t="str">
        <x:f>IF(A679="","",IF(COUNTIF($A$5:$A$1204,A679)&gt;1,"重复",""))</x:f>
      </x:c>
    </x:row>
    <x:row r="680">
      <x:c r="A680" s="62"/>
      <x:c r="B680" s="62"/>
      <x:c r="C680" s="62"/>
      <x:c r="D680" s="62"/>
      <x:c r="E680" s="62"/>
      <x:c r="F680" s="62"/>
      <x:c r="G680" s="66"/>
      <x:c r="H680" s="68"/>
      <x:c r="I680" s="68"/>
      <x:c r="J680" s="68"/>
      <x:c r="K680" s="68"/>
      <x:c r="L680" s="70"/>
      <x:c r="M680" s="64" t="str">
        <x:f>IF(A680="","",IF(AND(E680&lt;&gt;"",F680&lt;&gt;"",ABS(H680-I680)&lt;=0.01,ABS(J680-K680)&lt;=0.01,L680=1),"一致","检查"))</x:f>
      </x:c>
      <x:c r="N680" s="64" t="str">
        <x:f>IF(A680="","",IF(COUNTIF($A$5:$A$1204,A680)&gt;1,"重复",""))</x:f>
      </x:c>
    </x:row>
    <x:row r="681">
      <x:c r="A681" s="62"/>
      <x:c r="B681" s="62"/>
      <x:c r="C681" s="62"/>
      <x:c r="D681" s="62"/>
      <x:c r="E681" s="62"/>
      <x:c r="F681" s="62"/>
      <x:c r="G681" s="66"/>
      <x:c r="H681" s="68"/>
      <x:c r="I681" s="68"/>
      <x:c r="J681" s="68"/>
      <x:c r="K681" s="68"/>
      <x:c r="L681" s="70"/>
      <x:c r="M681" s="64" t="str">
        <x:f>IF(A681="","",IF(AND(E681&lt;&gt;"",F681&lt;&gt;"",ABS(H681-I681)&lt;=0.01,ABS(J681-K681)&lt;=0.01,L681=1),"一致","检查"))</x:f>
      </x:c>
      <x:c r="N681" s="64" t="str">
        <x:f>IF(A681="","",IF(COUNTIF($A$5:$A$1204,A681)&gt;1,"重复",""))</x:f>
      </x:c>
    </x:row>
    <x:row r="682">
      <x:c r="A682" s="62"/>
      <x:c r="B682" s="62"/>
      <x:c r="C682" s="62"/>
      <x:c r="D682" s="62"/>
      <x:c r="E682" s="62"/>
      <x:c r="F682" s="62"/>
      <x:c r="G682" s="66"/>
      <x:c r="H682" s="68"/>
      <x:c r="I682" s="68"/>
      <x:c r="J682" s="68"/>
      <x:c r="K682" s="68"/>
      <x:c r="L682" s="70"/>
      <x:c r="M682" s="64" t="str">
        <x:f>IF(A682="","",IF(AND(E682&lt;&gt;"",F682&lt;&gt;"",ABS(H682-I682)&lt;=0.01,ABS(J682-K682)&lt;=0.01,L682=1),"一致","检查"))</x:f>
      </x:c>
      <x:c r="N682" s="64" t="str">
        <x:f>IF(A682="","",IF(COUNTIF($A$5:$A$1204,A682)&gt;1,"重复",""))</x:f>
      </x:c>
    </x:row>
    <x:row r="683">
      <x:c r="A683" s="62"/>
      <x:c r="B683" s="62"/>
      <x:c r="C683" s="62"/>
      <x:c r="D683" s="62"/>
      <x:c r="E683" s="62"/>
      <x:c r="F683" s="62"/>
      <x:c r="G683" s="66"/>
      <x:c r="H683" s="68"/>
      <x:c r="I683" s="68"/>
      <x:c r="J683" s="68"/>
      <x:c r="K683" s="68"/>
      <x:c r="L683" s="70"/>
      <x:c r="M683" s="64" t="str">
        <x:f>IF(A683="","",IF(AND(E683&lt;&gt;"",F683&lt;&gt;"",ABS(H683-I683)&lt;=0.01,ABS(J683-K683)&lt;=0.01,L683=1),"一致","检查"))</x:f>
      </x:c>
      <x:c r="N683" s="64" t="str">
        <x:f>IF(A683="","",IF(COUNTIF($A$5:$A$1204,A683)&gt;1,"重复",""))</x:f>
      </x:c>
    </x:row>
    <x:row r="684">
      <x:c r="A684" s="62"/>
      <x:c r="B684" s="62"/>
      <x:c r="C684" s="62"/>
      <x:c r="D684" s="62"/>
      <x:c r="E684" s="62"/>
      <x:c r="F684" s="62"/>
      <x:c r="G684" s="66"/>
      <x:c r="H684" s="68"/>
      <x:c r="I684" s="68"/>
      <x:c r="J684" s="68"/>
      <x:c r="K684" s="68"/>
      <x:c r="L684" s="70"/>
      <x:c r="M684" s="64" t="str">
        <x:f>IF(A684="","",IF(AND(E684&lt;&gt;"",F684&lt;&gt;"",ABS(H684-I684)&lt;=0.01,ABS(J684-K684)&lt;=0.01,L684=1),"一致","检查"))</x:f>
      </x:c>
      <x:c r="N684" s="64" t="str">
        <x:f>IF(A684="","",IF(COUNTIF($A$5:$A$1204,A684)&gt;1,"重复",""))</x:f>
      </x:c>
    </x:row>
    <x:row r="685">
      <x:c r="A685" s="62"/>
      <x:c r="B685" s="62"/>
      <x:c r="C685" s="62"/>
      <x:c r="D685" s="62"/>
      <x:c r="E685" s="62"/>
      <x:c r="F685" s="62"/>
      <x:c r="G685" s="66"/>
      <x:c r="H685" s="68"/>
      <x:c r="I685" s="68"/>
      <x:c r="J685" s="68"/>
      <x:c r="K685" s="68"/>
      <x:c r="L685" s="70"/>
      <x:c r="M685" s="64" t="str">
        <x:f>IF(A685="","",IF(AND(E685&lt;&gt;"",F685&lt;&gt;"",ABS(H685-I685)&lt;=0.01,ABS(J685-K685)&lt;=0.01,L685=1),"一致","检查"))</x:f>
      </x:c>
      <x:c r="N685" s="64" t="str">
        <x:f>IF(A685="","",IF(COUNTIF($A$5:$A$1204,A685)&gt;1,"重复",""))</x:f>
      </x:c>
    </x:row>
    <x:row r="686">
      <x:c r="A686" s="62"/>
      <x:c r="B686" s="62"/>
      <x:c r="C686" s="62"/>
      <x:c r="D686" s="62"/>
      <x:c r="E686" s="62"/>
      <x:c r="F686" s="62"/>
      <x:c r="G686" s="66"/>
      <x:c r="H686" s="68"/>
      <x:c r="I686" s="68"/>
      <x:c r="J686" s="68"/>
      <x:c r="K686" s="68"/>
      <x:c r="L686" s="70"/>
      <x:c r="M686" s="64" t="str">
        <x:f>IF(A686="","",IF(AND(E686&lt;&gt;"",F686&lt;&gt;"",ABS(H686-I686)&lt;=0.01,ABS(J686-K686)&lt;=0.01,L686=1),"一致","检查"))</x:f>
      </x:c>
      <x:c r="N686" s="64" t="str">
        <x:f>IF(A686="","",IF(COUNTIF($A$5:$A$1204,A686)&gt;1,"重复",""))</x:f>
      </x:c>
    </x:row>
    <x:row r="687">
      <x:c r="A687" s="62"/>
      <x:c r="B687" s="62"/>
      <x:c r="C687" s="62"/>
      <x:c r="D687" s="62"/>
      <x:c r="E687" s="62"/>
      <x:c r="F687" s="62"/>
      <x:c r="G687" s="66"/>
      <x:c r="H687" s="68"/>
      <x:c r="I687" s="68"/>
      <x:c r="J687" s="68"/>
      <x:c r="K687" s="68"/>
      <x:c r="L687" s="70"/>
      <x:c r="M687" s="64" t="str">
        <x:f>IF(A687="","",IF(AND(E687&lt;&gt;"",F687&lt;&gt;"",ABS(H687-I687)&lt;=0.01,ABS(J687-K687)&lt;=0.01,L687=1),"一致","检查"))</x:f>
      </x:c>
      <x:c r="N687" s="64" t="str">
        <x:f>IF(A687="","",IF(COUNTIF($A$5:$A$1204,A687)&gt;1,"重复",""))</x:f>
      </x:c>
    </x:row>
    <x:row r="688">
      <x:c r="A688" s="62"/>
      <x:c r="B688" s="62"/>
      <x:c r="C688" s="62"/>
      <x:c r="D688" s="62"/>
      <x:c r="E688" s="62"/>
      <x:c r="F688" s="62"/>
      <x:c r="G688" s="66"/>
      <x:c r="H688" s="68"/>
      <x:c r="I688" s="68"/>
      <x:c r="J688" s="68"/>
      <x:c r="K688" s="68"/>
      <x:c r="L688" s="70"/>
      <x:c r="M688" s="64" t="str">
        <x:f>IF(A688="","",IF(AND(E688&lt;&gt;"",F688&lt;&gt;"",ABS(H688-I688)&lt;=0.01,ABS(J688-K688)&lt;=0.01,L688=1),"一致","检查"))</x:f>
      </x:c>
      <x:c r="N688" s="64" t="str">
        <x:f>IF(A688="","",IF(COUNTIF($A$5:$A$1204,A688)&gt;1,"重复",""))</x:f>
      </x:c>
    </x:row>
    <x:row r="689">
      <x:c r="A689" s="62"/>
      <x:c r="B689" s="62"/>
      <x:c r="C689" s="62"/>
      <x:c r="D689" s="62"/>
      <x:c r="E689" s="62"/>
      <x:c r="F689" s="62"/>
      <x:c r="G689" s="66"/>
      <x:c r="H689" s="68"/>
      <x:c r="I689" s="68"/>
      <x:c r="J689" s="68"/>
      <x:c r="K689" s="68"/>
      <x:c r="L689" s="70"/>
      <x:c r="M689" s="64" t="str">
        <x:f>IF(A689="","",IF(AND(E689&lt;&gt;"",F689&lt;&gt;"",ABS(H689-I689)&lt;=0.01,ABS(J689-K689)&lt;=0.01,L689=1),"一致","检查"))</x:f>
      </x:c>
      <x:c r="N689" s="64" t="str">
        <x:f>IF(A689="","",IF(COUNTIF($A$5:$A$1204,A689)&gt;1,"重复",""))</x:f>
      </x:c>
    </x:row>
    <x:row r="690">
      <x:c r="A690" s="62"/>
      <x:c r="B690" s="62"/>
      <x:c r="C690" s="62"/>
      <x:c r="D690" s="62"/>
      <x:c r="E690" s="62"/>
      <x:c r="F690" s="62"/>
      <x:c r="G690" s="66"/>
      <x:c r="H690" s="68"/>
      <x:c r="I690" s="68"/>
      <x:c r="J690" s="68"/>
      <x:c r="K690" s="68"/>
      <x:c r="L690" s="70"/>
      <x:c r="M690" s="64" t="str">
        <x:f>IF(A690="","",IF(AND(E690&lt;&gt;"",F690&lt;&gt;"",ABS(H690-I690)&lt;=0.01,ABS(J690-K690)&lt;=0.01,L690=1),"一致","检查"))</x:f>
      </x:c>
      <x:c r="N690" s="64" t="str">
        <x:f>IF(A690="","",IF(COUNTIF($A$5:$A$1204,A690)&gt;1,"重复",""))</x:f>
      </x:c>
    </x:row>
    <x:row r="691">
      <x:c r="A691" s="62"/>
      <x:c r="B691" s="62"/>
      <x:c r="C691" s="62"/>
      <x:c r="D691" s="62"/>
      <x:c r="E691" s="62"/>
      <x:c r="F691" s="62"/>
      <x:c r="G691" s="66"/>
      <x:c r="H691" s="68"/>
      <x:c r="I691" s="68"/>
      <x:c r="J691" s="68"/>
      <x:c r="K691" s="68"/>
      <x:c r="L691" s="70"/>
      <x:c r="M691" s="64" t="str">
        <x:f>IF(A691="","",IF(AND(E691&lt;&gt;"",F691&lt;&gt;"",ABS(H691-I691)&lt;=0.01,ABS(J691-K691)&lt;=0.01,L691=1),"一致","检查"))</x:f>
      </x:c>
      <x:c r="N691" s="64" t="str">
        <x:f>IF(A691="","",IF(COUNTIF($A$5:$A$1204,A691)&gt;1,"重复",""))</x:f>
      </x:c>
    </x:row>
    <x:row r="692">
      <x:c r="A692" s="62"/>
      <x:c r="B692" s="62"/>
      <x:c r="C692" s="62"/>
      <x:c r="D692" s="62"/>
      <x:c r="E692" s="62"/>
      <x:c r="F692" s="62"/>
      <x:c r="G692" s="66"/>
      <x:c r="H692" s="68"/>
      <x:c r="I692" s="68"/>
      <x:c r="J692" s="68"/>
      <x:c r="K692" s="68"/>
      <x:c r="L692" s="70"/>
      <x:c r="M692" s="64" t="str">
        <x:f>IF(A692="","",IF(AND(E692&lt;&gt;"",F692&lt;&gt;"",ABS(H692-I692)&lt;=0.01,ABS(J692-K692)&lt;=0.01,L692=1),"一致","检查"))</x:f>
      </x:c>
      <x:c r="N692" s="64" t="str">
        <x:f>IF(A692="","",IF(COUNTIF($A$5:$A$1204,A692)&gt;1,"重复",""))</x:f>
      </x:c>
    </x:row>
    <x:row r="693">
      <x:c r="A693" s="62"/>
      <x:c r="B693" s="62"/>
      <x:c r="C693" s="62"/>
      <x:c r="D693" s="62"/>
      <x:c r="E693" s="62"/>
      <x:c r="F693" s="62"/>
      <x:c r="G693" s="66"/>
      <x:c r="H693" s="68"/>
      <x:c r="I693" s="68"/>
      <x:c r="J693" s="68"/>
      <x:c r="K693" s="68"/>
      <x:c r="L693" s="70"/>
      <x:c r="M693" s="64" t="str">
        <x:f>IF(A693="","",IF(AND(E693&lt;&gt;"",F693&lt;&gt;"",ABS(H693-I693)&lt;=0.01,ABS(J693-K693)&lt;=0.01,L693=1),"一致","检查"))</x:f>
      </x:c>
      <x:c r="N693" s="64" t="str">
        <x:f>IF(A693="","",IF(COUNTIF($A$5:$A$1204,A693)&gt;1,"重复",""))</x:f>
      </x:c>
    </x:row>
    <x:row r="694">
      <x:c r="A694" s="62"/>
      <x:c r="B694" s="62"/>
      <x:c r="C694" s="62"/>
      <x:c r="D694" s="62"/>
      <x:c r="E694" s="62"/>
      <x:c r="F694" s="62"/>
      <x:c r="G694" s="66"/>
      <x:c r="H694" s="68"/>
      <x:c r="I694" s="68"/>
      <x:c r="J694" s="68"/>
      <x:c r="K694" s="68"/>
      <x:c r="L694" s="70"/>
      <x:c r="M694" s="64" t="str">
        <x:f>IF(A694="","",IF(AND(E694&lt;&gt;"",F694&lt;&gt;"",ABS(H694-I694)&lt;=0.01,ABS(J694-K694)&lt;=0.01,L694=1),"一致","检查"))</x:f>
      </x:c>
      <x:c r="N694" s="64" t="str">
        <x:f>IF(A694="","",IF(COUNTIF($A$5:$A$1204,A694)&gt;1,"重复",""))</x:f>
      </x:c>
    </x:row>
    <x:row r="695">
      <x:c r="A695" s="62"/>
      <x:c r="B695" s="62"/>
      <x:c r="C695" s="62"/>
      <x:c r="D695" s="62"/>
      <x:c r="E695" s="62"/>
      <x:c r="F695" s="62"/>
      <x:c r="G695" s="66"/>
      <x:c r="H695" s="68"/>
      <x:c r="I695" s="68"/>
      <x:c r="J695" s="68"/>
      <x:c r="K695" s="68"/>
      <x:c r="L695" s="70"/>
      <x:c r="M695" s="64" t="str">
        <x:f>IF(A695="","",IF(AND(E695&lt;&gt;"",F695&lt;&gt;"",ABS(H695-I695)&lt;=0.01,ABS(J695-K695)&lt;=0.01,L695=1),"一致","检查"))</x:f>
      </x:c>
      <x:c r="N695" s="64" t="str">
        <x:f>IF(A695="","",IF(COUNTIF($A$5:$A$1204,A695)&gt;1,"重复",""))</x:f>
      </x:c>
    </x:row>
    <x:row r="696">
      <x:c r="A696" s="62"/>
      <x:c r="B696" s="62"/>
      <x:c r="C696" s="62"/>
      <x:c r="D696" s="62"/>
      <x:c r="E696" s="62"/>
      <x:c r="F696" s="62"/>
      <x:c r="G696" s="66"/>
      <x:c r="H696" s="68"/>
      <x:c r="I696" s="68"/>
      <x:c r="J696" s="68"/>
      <x:c r="K696" s="68"/>
      <x:c r="L696" s="70"/>
      <x:c r="M696" s="64" t="str">
        <x:f>IF(A696="","",IF(AND(E696&lt;&gt;"",F696&lt;&gt;"",ABS(H696-I696)&lt;=0.01,ABS(J696-K696)&lt;=0.01,L696=1),"一致","检查"))</x:f>
      </x:c>
      <x:c r="N696" s="64" t="str">
        <x:f>IF(A696="","",IF(COUNTIF($A$5:$A$1204,A696)&gt;1,"重复",""))</x:f>
      </x:c>
    </x:row>
    <x:row r="697">
      <x:c r="A697" s="62"/>
      <x:c r="B697" s="62"/>
      <x:c r="C697" s="62"/>
      <x:c r="D697" s="62"/>
      <x:c r="E697" s="62"/>
      <x:c r="F697" s="62"/>
      <x:c r="G697" s="66"/>
      <x:c r="H697" s="68"/>
      <x:c r="I697" s="68"/>
      <x:c r="J697" s="68"/>
      <x:c r="K697" s="68"/>
      <x:c r="L697" s="70"/>
      <x:c r="M697" s="64" t="str">
        <x:f>IF(A697="","",IF(AND(E697&lt;&gt;"",F697&lt;&gt;"",ABS(H697-I697)&lt;=0.01,ABS(J697-K697)&lt;=0.01,L697=1),"一致","检查"))</x:f>
      </x:c>
      <x:c r="N697" s="64" t="str">
        <x:f>IF(A697="","",IF(COUNTIF($A$5:$A$1204,A697)&gt;1,"重复",""))</x:f>
      </x:c>
    </x:row>
    <x:row r="698">
      <x:c r="A698" s="62"/>
      <x:c r="B698" s="62"/>
      <x:c r="C698" s="62"/>
      <x:c r="D698" s="62"/>
      <x:c r="E698" s="62"/>
      <x:c r="F698" s="62"/>
      <x:c r="G698" s="66"/>
      <x:c r="H698" s="68"/>
      <x:c r="I698" s="68"/>
      <x:c r="J698" s="68"/>
      <x:c r="K698" s="68"/>
      <x:c r="L698" s="70"/>
      <x:c r="M698" s="64" t="str">
        <x:f>IF(A698="","",IF(AND(E698&lt;&gt;"",F698&lt;&gt;"",ABS(H698-I698)&lt;=0.01,ABS(J698-K698)&lt;=0.01,L698=1),"一致","检查"))</x:f>
      </x:c>
      <x:c r="N698" s="64" t="str">
        <x:f>IF(A698="","",IF(COUNTIF($A$5:$A$1204,A698)&gt;1,"重复",""))</x:f>
      </x:c>
    </x:row>
    <x:row r="699">
      <x:c r="A699" s="62"/>
      <x:c r="B699" s="62"/>
      <x:c r="C699" s="62"/>
      <x:c r="D699" s="62"/>
      <x:c r="E699" s="62"/>
      <x:c r="F699" s="62"/>
      <x:c r="G699" s="66"/>
      <x:c r="H699" s="68"/>
      <x:c r="I699" s="68"/>
      <x:c r="J699" s="68"/>
      <x:c r="K699" s="68"/>
      <x:c r="L699" s="70"/>
      <x:c r="M699" s="64" t="str">
        <x:f>IF(A699="","",IF(AND(E699&lt;&gt;"",F699&lt;&gt;"",ABS(H699-I699)&lt;=0.01,ABS(J699-K699)&lt;=0.01,L699=1),"一致","检查"))</x:f>
      </x:c>
      <x:c r="N699" s="64" t="str">
        <x:f>IF(A699="","",IF(COUNTIF($A$5:$A$1204,A699)&gt;1,"重复",""))</x:f>
      </x:c>
    </x:row>
    <x:row r="700">
      <x:c r="A700" s="62"/>
      <x:c r="B700" s="62"/>
      <x:c r="C700" s="62"/>
      <x:c r="D700" s="62"/>
      <x:c r="E700" s="62"/>
      <x:c r="F700" s="62"/>
      <x:c r="G700" s="66"/>
      <x:c r="H700" s="68"/>
      <x:c r="I700" s="68"/>
      <x:c r="J700" s="68"/>
      <x:c r="K700" s="68"/>
      <x:c r="L700" s="70"/>
      <x:c r="M700" s="64" t="str">
        <x:f>IF(A700="","",IF(AND(E700&lt;&gt;"",F700&lt;&gt;"",ABS(H700-I700)&lt;=0.01,ABS(J700-K700)&lt;=0.01,L700=1),"一致","检查"))</x:f>
      </x:c>
      <x:c r="N700" s="64" t="str">
        <x:f>IF(A700="","",IF(COUNTIF($A$5:$A$1204,A700)&gt;1,"重复",""))</x:f>
      </x:c>
    </x:row>
    <x:row r="701">
      <x:c r="A701" s="62"/>
      <x:c r="B701" s="62"/>
      <x:c r="C701" s="62"/>
      <x:c r="D701" s="62"/>
      <x:c r="E701" s="62"/>
      <x:c r="F701" s="62"/>
      <x:c r="G701" s="66"/>
      <x:c r="H701" s="68"/>
      <x:c r="I701" s="68"/>
      <x:c r="J701" s="68"/>
      <x:c r="K701" s="68"/>
      <x:c r="L701" s="70"/>
      <x:c r="M701" s="64" t="str">
        <x:f>IF(A701="","",IF(AND(E701&lt;&gt;"",F701&lt;&gt;"",ABS(H701-I701)&lt;=0.01,ABS(J701-K701)&lt;=0.01,L701=1),"一致","检查"))</x:f>
      </x:c>
      <x:c r="N701" s="64" t="str">
        <x:f>IF(A701="","",IF(COUNTIF($A$5:$A$1204,A701)&gt;1,"重复",""))</x:f>
      </x:c>
    </x:row>
    <x:row r="702">
      <x:c r="A702" s="62"/>
      <x:c r="B702" s="62"/>
      <x:c r="C702" s="62"/>
      <x:c r="D702" s="62"/>
      <x:c r="E702" s="62"/>
      <x:c r="F702" s="62"/>
      <x:c r="G702" s="66"/>
      <x:c r="H702" s="68"/>
      <x:c r="I702" s="68"/>
      <x:c r="J702" s="68"/>
      <x:c r="K702" s="68"/>
      <x:c r="L702" s="70"/>
      <x:c r="M702" s="64" t="str">
        <x:f>IF(A702="","",IF(AND(E702&lt;&gt;"",F702&lt;&gt;"",ABS(H702-I702)&lt;=0.01,ABS(J702-K702)&lt;=0.01,L702=1),"一致","检查"))</x:f>
      </x:c>
      <x:c r="N702" s="64" t="str">
        <x:f>IF(A702="","",IF(COUNTIF($A$5:$A$1204,A702)&gt;1,"重复",""))</x:f>
      </x:c>
    </x:row>
    <x:row r="703">
      <x:c r="A703" s="62"/>
      <x:c r="B703" s="62"/>
      <x:c r="C703" s="62"/>
      <x:c r="D703" s="62"/>
      <x:c r="E703" s="62"/>
      <x:c r="F703" s="62"/>
      <x:c r="G703" s="66"/>
      <x:c r="H703" s="68"/>
      <x:c r="I703" s="68"/>
      <x:c r="J703" s="68"/>
      <x:c r="K703" s="68"/>
      <x:c r="L703" s="70"/>
      <x:c r="M703" s="64" t="str">
        <x:f>IF(A703="","",IF(AND(E703&lt;&gt;"",F703&lt;&gt;"",ABS(H703-I703)&lt;=0.01,ABS(J703-K703)&lt;=0.01,L703=1),"一致","检查"))</x:f>
      </x:c>
      <x:c r="N703" s="64" t="str">
        <x:f>IF(A703="","",IF(COUNTIF($A$5:$A$1204,A703)&gt;1,"重复",""))</x:f>
      </x:c>
    </x:row>
    <x:row r="704">
      <x:c r="A704" s="62"/>
      <x:c r="B704" s="62"/>
      <x:c r="C704" s="62"/>
      <x:c r="D704" s="62"/>
      <x:c r="E704" s="62"/>
      <x:c r="F704" s="62"/>
      <x:c r="G704" s="66"/>
      <x:c r="H704" s="68"/>
      <x:c r="I704" s="68"/>
      <x:c r="J704" s="68"/>
      <x:c r="K704" s="68"/>
      <x:c r="L704" s="70"/>
      <x:c r="M704" s="64" t="str">
        <x:f>IF(A704="","",IF(AND(E704&lt;&gt;"",F704&lt;&gt;"",ABS(H704-I704)&lt;=0.01,ABS(J704-K704)&lt;=0.01,L704=1),"一致","检查"))</x:f>
      </x:c>
      <x:c r="N704" s="64" t="str">
        <x:f>IF(A704="","",IF(COUNTIF($A$5:$A$1204,A704)&gt;1,"重复",""))</x:f>
      </x:c>
    </x:row>
    <x:row r="705">
      <x:c r="A705" s="62"/>
      <x:c r="B705" s="62"/>
      <x:c r="C705" s="62"/>
      <x:c r="D705" s="62"/>
      <x:c r="E705" s="62"/>
      <x:c r="F705" s="62"/>
      <x:c r="G705" s="66"/>
      <x:c r="H705" s="68"/>
      <x:c r="I705" s="68"/>
      <x:c r="J705" s="68"/>
      <x:c r="K705" s="68"/>
      <x:c r="L705" s="70"/>
      <x:c r="M705" s="64" t="str">
        <x:f>IF(A705="","",IF(AND(E705&lt;&gt;"",F705&lt;&gt;"",ABS(H705-I705)&lt;=0.01,ABS(J705-K705)&lt;=0.01,L705=1),"一致","检查"))</x:f>
      </x:c>
      <x:c r="N705" s="64" t="str">
        <x:f>IF(A705="","",IF(COUNTIF($A$5:$A$1204,A705)&gt;1,"重复",""))</x:f>
      </x:c>
    </x:row>
    <x:row r="706">
      <x:c r="A706" s="62"/>
      <x:c r="B706" s="62"/>
      <x:c r="C706" s="62"/>
      <x:c r="D706" s="62"/>
      <x:c r="E706" s="62"/>
      <x:c r="F706" s="62"/>
      <x:c r="G706" s="66"/>
      <x:c r="H706" s="68"/>
      <x:c r="I706" s="68"/>
      <x:c r="J706" s="68"/>
      <x:c r="K706" s="68"/>
      <x:c r="L706" s="70"/>
      <x:c r="M706" s="64" t="str">
        <x:f>IF(A706="","",IF(AND(E706&lt;&gt;"",F706&lt;&gt;"",ABS(H706-I706)&lt;=0.01,ABS(J706-K706)&lt;=0.01,L706=1),"一致","检查"))</x:f>
      </x:c>
      <x:c r="N706" s="64" t="str">
        <x:f>IF(A706="","",IF(COUNTIF($A$5:$A$1204,A706)&gt;1,"重复",""))</x:f>
      </x:c>
    </x:row>
    <x:row r="707">
      <x:c r="A707" s="62"/>
      <x:c r="B707" s="62"/>
      <x:c r="C707" s="62"/>
      <x:c r="D707" s="62"/>
      <x:c r="E707" s="62"/>
      <x:c r="F707" s="62"/>
      <x:c r="G707" s="66"/>
      <x:c r="H707" s="68"/>
      <x:c r="I707" s="68"/>
      <x:c r="J707" s="68"/>
      <x:c r="K707" s="68"/>
      <x:c r="L707" s="70"/>
      <x:c r="M707" s="64" t="str">
        <x:f>IF(A707="","",IF(AND(E707&lt;&gt;"",F707&lt;&gt;"",ABS(H707-I707)&lt;=0.01,ABS(J707-K707)&lt;=0.01,L707=1),"一致","检查"))</x:f>
      </x:c>
      <x:c r="N707" s="64" t="str">
        <x:f>IF(A707="","",IF(COUNTIF($A$5:$A$1204,A707)&gt;1,"重复",""))</x:f>
      </x:c>
    </x:row>
    <x:row r="708">
      <x:c r="A708" s="62"/>
      <x:c r="B708" s="62"/>
      <x:c r="C708" s="62"/>
      <x:c r="D708" s="62"/>
      <x:c r="E708" s="62"/>
      <x:c r="F708" s="62"/>
      <x:c r="G708" s="66"/>
      <x:c r="H708" s="68"/>
      <x:c r="I708" s="68"/>
      <x:c r="J708" s="68"/>
      <x:c r="K708" s="68"/>
      <x:c r="L708" s="70"/>
      <x:c r="M708" s="64" t="str">
        <x:f>IF(A708="","",IF(AND(E708&lt;&gt;"",F708&lt;&gt;"",ABS(H708-I708)&lt;=0.01,ABS(J708-K708)&lt;=0.01,L708=1),"一致","检查"))</x:f>
      </x:c>
      <x:c r="N708" s="64" t="str">
        <x:f>IF(A708="","",IF(COUNTIF($A$5:$A$1204,A708)&gt;1,"重复",""))</x:f>
      </x:c>
    </x:row>
    <x:row r="709">
      <x:c r="A709" s="62"/>
      <x:c r="B709" s="62"/>
      <x:c r="C709" s="62"/>
      <x:c r="D709" s="62"/>
      <x:c r="E709" s="62"/>
      <x:c r="F709" s="62"/>
      <x:c r="G709" s="66"/>
      <x:c r="H709" s="68"/>
      <x:c r="I709" s="68"/>
      <x:c r="J709" s="68"/>
      <x:c r="K709" s="68"/>
      <x:c r="L709" s="70"/>
      <x:c r="M709" s="64" t="str">
        <x:f>IF(A709="","",IF(AND(E709&lt;&gt;"",F709&lt;&gt;"",ABS(H709-I709)&lt;=0.01,ABS(J709-K709)&lt;=0.01,L709=1),"一致","检查"))</x:f>
      </x:c>
      <x:c r="N709" s="64" t="str">
        <x:f>IF(A709="","",IF(COUNTIF($A$5:$A$1204,A709)&gt;1,"重复",""))</x:f>
      </x:c>
    </x:row>
    <x:row r="710">
      <x:c r="A710" s="62"/>
      <x:c r="B710" s="62"/>
      <x:c r="C710" s="62"/>
      <x:c r="D710" s="62"/>
      <x:c r="E710" s="62"/>
      <x:c r="F710" s="62"/>
      <x:c r="G710" s="66"/>
      <x:c r="H710" s="68"/>
      <x:c r="I710" s="68"/>
      <x:c r="J710" s="68"/>
      <x:c r="K710" s="68"/>
      <x:c r="L710" s="70"/>
      <x:c r="M710" s="64" t="str">
        <x:f>IF(A710="","",IF(AND(E710&lt;&gt;"",F710&lt;&gt;"",ABS(H710-I710)&lt;=0.01,ABS(J710-K710)&lt;=0.01,L710=1),"一致","检查"))</x:f>
      </x:c>
      <x:c r="N710" s="64" t="str">
        <x:f>IF(A710="","",IF(COUNTIF($A$5:$A$1204,A710)&gt;1,"重复",""))</x:f>
      </x:c>
    </x:row>
    <x:row r="711">
      <x:c r="A711" s="62"/>
      <x:c r="B711" s="62"/>
      <x:c r="C711" s="62"/>
      <x:c r="D711" s="62"/>
      <x:c r="E711" s="62"/>
      <x:c r="F711" s="62"/>
      <x:c r="G711" s="66"/>
      <x:c r="H711" s="68"/>
      <x:c r="I711" s="68"/>
      <x:c r="J711" s="68"/>
      <x:c r="K711" s="68"/>
      <x:c r="L711" s="70"/>
      <x:c r="M711" s="64" t="str">
        <x:f>IF(A711="","",IF(AND(E711&lt;&gt;"",F711&lt;&gt;"",ABS(H711-I711)&lt;=0.01,ABS(J711-K711)&lt;=0.01,L711=1),"一致","检查"))</x:f>
      </x:c>
      <x:c r="N711" s="64" t="str">
        <x:f>IF(A711="","",IF(COUNTIF($A$5:$A$1204,A711)&gt;1,"重复",""))</x:f>
      </x:c>
    </x:row>
    <x:row r="712">
      <x:c r="A712" s="62"/>
      <x:c r="B712" s="62"/>
      <x:c r="C712" s="62"/>
      <x:c r="D712" s="62"/>
      <x:c r="E712" s="62"/>
      <x:c r="F712" s="62"/>
      <x:c r="G712" s="66"/>
      <x:c r="H712" s="68"/>
      <x:c r="I712" s="68"/>
      <x:c r="J712" s="68"/>
      <x:c r="K712" s="68"/>
      <x:c r="L712" s="70"/>
      <x:c r="M712" s="64" t="str">
        <x:f>IF(A712="","",IF(AND(E712&lt;&gt;"",F712&lt;&gt;"",ABS(H712-I712)&lt;=0.01,ABS(J712-K712)&lt;=0.01,L712=1),"一致","检查"))</x:f>
      </x:c>
      <x:c r="N712" s="64" t="str">
        <x:f>IF(A712="","",IF(COUNTIF($A$5:$A$1204,A712)&gt;1,"重复",""))</x:f>
      </x:c>
    </x:row>
    <x:row r="713">
      <x:c r="A713" s="62"/>
      <x:c r="B713" s="62"/>
      <x:c r="C713" s="62"/>
      <x:c r="D713" s="62"/>
      <x:c r="E713" s="62"/>
      <x:c r="F713" s="62"/>
      <x:c r="G713" s="66"/>
      <x:c r="H713" s="68"/>
      <x:c r="I713" s="68"/>
      <x:c r="J713" s="68"/>
      <x:c r="K713" s="68"/>
      <x:c r="L713" s="70"/>
      <x:c r="M713" s="64" t="str">
        <x:f>IF(A713="","",IF(AND(E713&lt;&gt;"",F713&lt;&gt;"",ABS(H713-I713)&lt;=0.01,ABS(J713-K713)&lt;=0.01,L713=1),"一致","检查"))</x:f>
      </x:c>
      <x:c r="N713" s="64" t="str">
        <x:f>IF(A713="","",IF(COUNTIF($A$5:$A$1204,A713)&gt;1,"重复",""))</x:f>
      </x:c>
    </x:row>
    <x:row r="714">
      <x:c r="A714" s="62"/>
      <x:c r="B714" s="62"/>
      <x:c r="C714" s="62"/>
      <x:c r="D714" s="62"/>
      <x:c r="E714" s="62"/>
      <x:c r="F714" s="62"/>
      <x:c r="G714" s="66"/>
      <x:c r="H714" s="68"/>
      <x:c r="I714" s="68"/>
      <x:c r="J714" s="68"/>
      <x:c r="K714" s="68"/>
      <x:c r="L714" s="70"/>
      <x:c r="M714" s="64" t="str">
        <x:f>IF(A714="","",IF(AND(E714&lt;&gt;"",F714&lt;&gt;"",ABS(H714-I714)&lt;=0.01,ABS(J714-K714)&lt;=0.01,L714=1),"一致","检查"))</x:f>
      </x:c>
      <x:c r="N714" s="64" t="str">
        <x:f>IF(A714="","",IF(COUNTIF($A$5:$A$1204,A714)&gt;1,"重复",""))</x:f>
      </x:c>
    </x:row>
    <x:row r="715">
      <x:c r="A715" s="62"/>
      <x:c r="B715" s="62"/>
      <x:c r="C715" s="62"/>
      <x:c r="D715" s="62"/>
      <x:c r="E715" s="62"/>
      <x:c r="F715" s="62"/>
      <x:c r="G715" s="66"/>
      <x:c r="H715" s="68"/>
      <x:c r="I715" s="68"/>
      <x:c r="J715" s="68"/>
      <x:c r="K715" s="68"/>
      <x:c r="L715" s="70"/>
      <x:c r="M715" s="64" t="str">
        <x:f>IF(A715="","",IF(AND(E715&lt;&gt;"",F715&lt;&gt;"",ABS(H715-I715)&lt;=0.01,ABS(J715-K715)&lt;=0.01,L715=1),"一致","检查"))</x:f>
      </x:c>
      <x:c r="N715" s="64" t="str">
        <x:f>IF(A715="","",IF(COUNTIF($A$5:$A$1204,A715)&gt;1,"重复",""))</x:f>
      </x:c>
    </x:row>
    <x:row r="716">
      <x:c r="A716" s="62"/>
      <x:c r="B716" s="62"/>
      <x:c r="C716" s="62"/>
      <x:c r="D716" s="62"/>
      <x:c r="E716" s="62"/>
      <x:c r="F716" s="62"/>
      <x:c r="G716" s="66"/>
      <x:c r="H716" s="68"/>
      <x:c r="I716" s="68"/>
      <x:c r="J716" s="68"/>
      <x:c r="K716" s="68"/>
      <x:c r="L716" s="70"/>
      <x:c r="M716" s="64" t="str">
        <x:f>IF(A716="","",IF(AND(E716&lt;&gt;"",F716&lt;&gt;"",ABS(H716-I716)&lt;=0.01,ABS(J716-K716)&lt;=0.01,L716=1),"一致","检查"))</x:f>
      </x:c>
      <x:c r="N716" s="64" t="str">
        <x:f>IF(A716="","",IF(COUNTIF($A$5:$A$1204,A716)&gt;1,"重复",""))</x:f>
      </x:c>
    </x:row>
    <x:row r="717">
      <x:c r="A717" s="62"/>
      <x:c r="B717" s="62"/>
      <x:c r="C717" s="62"/>
      <x:c r="D717" s="62"/>
      <x:c r="E717" s="62"/>
      <x:c r="F717" s="62"/>
      <x:c r="G717" s="66"/>
      <x:c r="H717" s="68"/>
      <x:c r="I717" s="68"/>
      <x:c r="J717" s="68"/>
      <x:c r="K717" s="68"/>
      <x:c r="L717" s="70"/>
      <x:c r="M717" s="64" t="str">
        <x:f>IF(A717="","",IF(AND(E717&lt;&gt;"",F717&lt;&gt;"",ABS(H717-I717)&lt;=0.01,ABS(J717-K717)&lt;=0.01,L717=1),"一致","检查"))</x:f>
      </x:c>
      <x:c r="N717" s="64" t="str">
        <x:f>IF(A717="","",IF(COUNTIF($A$5:$A$1204,A717)&gt;1,"重复",""))</x:f>
      </x:c>
    </x:row>
    <x:row r="718">
      <x:c r="A718" s="62"/>
      <x:c r="B718" s="62"/>
      <x:c r="C718" s="62"/>
      <x:c r="D718" s="62"/>
      <x:c r="E718" s="62"/>
      <x:c r="F718" s="62"/>
      <x:c r="G718" s="66"/>
      <x:c r="H718" s="68"/>
      <x:c r="I718" s="68"/>
      <x:c r="J718" s="68"/>
      <x:c r="K718" s="68"/>
      <x:c r="L718" s="70"/>
      <x:c r="M718" s="64" t="str">
        <x:f>IF(A718="","",IF(AND(E718&lt;&gt;"",F718&lt;&gt;"",ABS(H718-I718)&lt;=0.01,ABS(J718-K718)&lt;=0.01,L718=1),"一致","检查"))</x:f>
      </x:c>
      <x:c r="N718" s="64" t="str">
        <x:f>IF(A718="","",IF(COUNTIF($A$5:$A$1204,A718)&gt;1,"重复",""))</x:f>
      </x:c>
    </x:row>
    <x:row r="719">
      <x:c r="A719" s="62"/>
      <x:c r="B719" s="62"/>
      <x:c r="C719" s="62"/>
      <x:c r="D719" s="62"/>
      <x:c r="E719" s="62"/>
      <x:c r="F719" s="62"/>
      <x:c r="G719" s="66"/>
      <x:c r="H719" s="68"/>
      <x:c r="I719" s="68"/>
      <x:c r="J719" s="68"/>
      <x:c r="K719" s="68"/>
      <x:c r="L719" s="70"/>
      <x:c r="M719" s="64" t="str">
        <x:f>IF(A719="","",IF(AND(E719&lt;&gt;"",F719&lt;&gt;"",ABS(H719-I719)&lt;=0.01,ABS(J719-K719)&lt;=0.01,L719=1),"一致","检查"))</x:f>
      </x:c>
      <x:c r="N719" s="64" t="str">
        <x:f>IF(A719="","",IF(COUNTIF($A$5:$A$1204,A719)&gt;1,"重复",""))</x:f>
      </x:c>
    </x:row>
    <x:row r="720">
      <x:c r="A720" s="62"/>
      <x:c r="B720" s="62"/>
      <x:c r="C720" s="62"/>
      <x:c r="D720" s="62"/>
      <x:c r="E720" s="62"/>
      <x:c r="F720" s="62"/>
      <x:c r="G720" s="66"/>
      <x:c r="H720" s="68"/>
      <x:c r="I720" s="68"/>
      <x:c r="J720" s="68"/>
      <x:c r="K720" s="68"/>
      <x:c r="L720" s="70"/>
      <x:c r="M720" s="64" t="str">
        <x:f>IF(A720="","",IF(AND(E720&lt;&gt;"",F720&lt;&gt;"",ABS(H720-I720)&lt;=0.01,ABS(J720-K720)&lt;=0.01,L720=1),"一致","检查"))</x:f>
      </x:c>
      <x:c r="N720" s="64" t="str">
        <x:f>IF(A720="","",IF(COUNTIF($A$5:$A$1204,A720)&gt;1,"重复",""))</x:f>
      </x:c>
    </x:row>
    <x:row r="721">
      <x:c r="A721" s="62"/>
      <x:c r="B721" s="62"/>
      <x:c r="C721" s="62"/>
      <x:c r="D721" s="62"/>
      <x:c r="E721" s="62"/>
      <x:c r="F721" s="62"/>
      <x:c r="G721" s="66"/>
      <x:c r="H721" s="68"/>
      <x:c r="I721" s="68"/>
      <x:c r="J721" s="68"/>
      <x:c r="K721" s="68"/>
      <x:c r="L721" s="70"/>
      <x:c r="M721" s="64" t="str">
        <x:f>IF(A721="","",IF(AND(E721&lt;&gt;"",F721&lt;&gt;"",ABS(H721-I721)&lt;=0.01,ABS(J721-K721)&lt;=0.01,L721=1),"一致","检查"))</x:f>
      </x:c>
      <x:c r="N721" s="64" t="str">
        <x:f>IF(A721="","",IF(COUNTIF($A$5:$A$1204,A721)&gt;1,"重复",""))</x:f>
      </x:c>
    </x:row>
    <x:row r="722">
      <x:c r="A722" s="62"/>
      <x:c r="B722" s="62"/>
      <x:c r="C722" s="62"/>
      <x:c r="D722" s="62"/>
      <x:c r="E722" s="62"/>
      <x:c r="F722" s="62"/>
      <x:c r="G722" s="66"/>
      <x:c r="H722" s="68"/>
      <x:c r="I722" s="68"/>
      <x:c r="J722" s="68"/>
      <x:c r="K722" s="68"/>
      <x:c r="L722" s="70"/>
      <x:c r="M722" s="64" t="str">
        <x:f>IF(A722="","",IF(AND(E722&lt;&gt;"",F722&lt;&gt;"",ABS(H722-I722)&lt;=0.01,ABS(J722-K722)&lt;=0.01,L722=1),"一致","检查"))</x:f>
      </x:c>
      <x:c r="N722" s="64" t="str">
        <x:f>IF(A722="","",IF(COUNTIF($A$5:$A$1204,A722)&gt;1,"重复",""))</x:f>
      </x:c>
    </x:row>
    <x:row r="723">
      <x:c r="A723" s="62"/>
      <x:c r="B723" s="62"/>
      <x:c r="C723" s="62"/>
      <x:c r="D723" s="62"/>
      <x:c r="E723" s="62"/>
      <x:c r="F723" s="62"/>
      <x:c r="G723" s="66"/>
      <x:c r="H723" s="68"/>
      <x:c r="I723" s="68"/>
      <x:c r="J723" s="68"/>
      <x:c r="K723" s="68"/>
      <x:c r="L723" s="70"/>
      <x:c r="M723" s="64" t="str">
        <x:f>IF(A723="","",IF(AND(E723&lt;&gt;"",F723&lt;&gt;"",ABS(H723-I723)&lt;=0.01,ABS(J723-K723)&lt;=0.01,L723=1),"一致","检查"))</x:f>
      </x:c>
      <x:c r="N723" s="64" t="str">
        <x:f>IF(A723="","",IF(COUNTIF($A$5:$A$1204,A723)&gt;1,"重复",""))</x:f>
      </x:c>
    </x:row>
    <x:row r="724">
      <x:c r="A724" s="62"/>
      <x:c r="B724" s="62"/>
      <x:c r="C724" s="62"/>
      <x:c r="D724" s="62"/>
      <x:c r="E724" s="62"/>
      <x:c r="F724" s="62"/>
      <x:c r="G724" s="66"/>
      <x:c r="H724" s="68"/>
      <x:c r="I724" s="68"/>
      <x:c r="J724" s="68"/>
      <x:c r="K724" s="68"/>
      <x:c r="L724" s="70"/>
      <x:c r="M724" s="64" t="str">
        <x:f>IF(A724="","",IF(AND(E724&lt;&gt;"",F724&lt;&gt;"",ABS(H724-I724)&lt;=0.01,ABS(J724-K724)&lt;=0.01,L724=1),"一致","检查"))</x:f>
      </x:c>
      <x:c r="N724" s="64" t="str">
        <x:f>IF(A724="","",IF(COUNTIF($A$5:$A$1204,A724)&gt;1,"重复",""))</x:f>
      </x:c>
    </x:row>
    <x:row r="725">
      <x:c r="A725" s="62"/>
      <x:c r="B725" s="62"/>
      <x:c r="C725" s="62"/>
      <x:c r="D725" s="62"/>
      <x:c r="E725" s="62"/>
      <x:c r="F725" s="62"/>
      <x:c r="G725" s="66"/>
      <x:c r="H725" s="68"/>
      <x:c r="I725" s="68"/>
      <x:c r="J725" s="68"/>
      <x:c r="K725" s="68"/>
      <x:c r="L725" s="70"/>
      <x:c r="M725" s="64" t="str">
        <x:f>IF(A725="","",IF(AND(E725&lt;&gt;"",F725&lt;&gt;"",ABS(H725-I725)&lt;=0.01,ABS(J725-K725)&lt;=0.01,L725=1),"一致","检查"))</x:f>
      </x:c>
      <x:c r="N725" s="64" t="str">
        <x:f>IF(A725="","",IF(COUNTIF($A$5:$A$1204,A725)&gt;1,"重复",""))</x:f>
      </x:c>
    </x:row>
    <x:row r="726">
      <x:c r="A726" s="62"/>
      <x:c r="B726" s="62"/>
      <x:c r="C726" s="62"/>
      <x:c r="D726" s="62"/>
      <x:c r="E726" s="62"/>
      <x:c r="F726" s="62"/>
      <x:c r="G726" s="66"/>
      <x:c r="H726" s="68"/>
      <x:c r="I726" s="68"/>
      <x:c r="J726" s="68"/>
      <x:c r="K726" s="68"/>
      <x:c r="L726" s="70"/>
      <x:c r="M726" s="64" t="str">
        <x:f>IF(A726="","",IF(AND(E726&lt;&gt;"",F726&lt;&gt;"",ABS(H726-I726)&lt;=0.01,ABS(J726-K726)&lt;=0.01,L726=1),"一致","检查"))</x:f>
      </x:c>
      <x:c r="N726" s="64" t="str">
        <x:f>IF(A726="","",IF(COUNTIF($A$5:$A$1204,A726)&gt;1,"重复",""))</x:f>
      </x:c>
    </x:row>
    <x:row r="727">
      <x:c r="A727" s="62"/>
      <x:c r="B727" s="62"/>
      <x:c r="C727" s="62"/>
      <x:c r="D727" s="62"/>
      <x:c r="E727" s="62"/>
      <x:c r="F727" s="62"/>
      <x:c r="G727" s="66"/>
      <x:c r="H727" s="68"/>
      <x:c r="I727" s="68"/>
      <x:c r="J727" s="68"/>
      <x:c r="K727" s="68"/>
      <x:c r="L727" s="70"/>
      <x:c r="M727" s="64" t="str">
        <x:f>IF(A727="","",IF(AND(E727&lt;&gt;"",F727&lt;&gt;"",ABS(H727-I727)&lt;=0.01,ABS(J727-K727)&lt;=0.01,L727=1),"一致","检查"))</x:f>
      </x:c>
      <x:c r="N727" s="64" t="str">
        <x:f>IF(A727="","",IF(COUNTIF($A$5:$A$1204,A727)&gt;1,"重复",""))</x:f>
      </x:c>
    </x:row>
    <x:row r="728">
      <x:c r="A728" s="62"/>
      <x:c r="B728" s="62"/>
      <x:c r="C728" s="62"/>
      <x:c r="D728" s="62"/>
      <x:c r="E728" s="62"/>
      <x:c r="F728" s="62"/>
      <x:c r="G728" s="66"/>
      <x:c r="H728" s="68"/>
      <x:c r="I728" s="68"/>
      <x:c r="J728" s="68"/>
      <x:c r="K728" s="68"/>
      <x:c r="L728" s="70"/>
      <x:c r="M728" s="64" t="str">
        <x:f>IF(A728="","",IF(AND(E728&lt;&gt;"",F728&lt;&gt;"",ABS(H728-I728)&lt;=0.01,ABS(J728-K728)&lt;=0.01,L728=1),"一致","检查"))</x:f>
      </x:c>
      <x:c r="N728" s="64" t="str">
        <x:f>IF(A728="","",IF(COUNTIF($A$5:$A$1204,A728)&gt;1,"重复",""))</x:f>
      </x:c>
    </x:row>
    <x:row r="729">
      <x:c r="A729" s="62"/>
      <x:c r="B729" s="62"/>
      <x:c r="C729" s="62"/>
      <x:c r="D729" s="62"/>
      <x:c r="E729" s="62"/>
      <x:c r="F729" s="62"/>
      <x:c r="G729" s="66"/>
      <x:c r="H729" s="68"/>
      <x:c r="I729" s="68"/>
      <x:c r="J729" s="68"/>
      <x:c r="K729" s="68"/>
      <x:c r="L729" s="70"/>
      <x:c r="M729" s="64" t="str">
        <x:f>IF(A729="","",IF(AND(E729&lt;&gt;"",F729&lt;&gt;"",ABS(H729-I729)&lt;=0.01,ABS(J729-K729)&lt;=0.01,L729=1),"一致","检查"))</x:f>
      </x:c>
      <x:c r="N729" s="64" t="str">
        <x:f>IF(A729="","",IF(COUNTIF($A$5:$A$1204,A729)&gt;1,"重复",""))</x:f>
      </x:c>
    </x:row>
    <x:row r="730">
      <x:c r="A730" s="62"/>
      <x:c r="B730" s="62"/>
      <x:c r="C730" s="62"/>
      <x:c r="D730" s="62"/>
      <x:c r="E730" s="62"/>
      <x:c r="F730" s="62"/>
      <x:c r="G730" s="66"/>
      <x:c r="H730" s="68"/>
      <x:c r="I730" s="68"/>
      <x:c r="J730" s="68"/>
      <x:c r="K730" s="68"/>
      <x:c r="L730" s="70"/>
      <x:c r="M730" s="64" t="str">
        <x:f>IF(A730="","",IF(AND(E730&lt;&gt;"",F730&lt;&gt;"",ABS(H730-I730)&lt;=0.01,ABS(J730-K730)&lt;=0.01,L730=1),"一致","检查"))</x:f>
      </x:c>
      <x:c r="N730" s="64" t="str">
        <x:f>IF(A730="","",IF(COUNTIF($A$5:$A$1204,A730)&gt;1,"重复",""))</x:f>
      </x:c>
    </x:row>
    <x:row r="731">
      <x:c r="A731" s="62"/>
      <x:c r="B731" s="62"/>
      <x:c r="C731" s="62"/>
      <x:c r="D731" s="62"/>
      <x:c r="E731" s="62"/>
      <x:c r="F731" s="62"/>
      <x:c r="G731" s="66"/>
      <x:c r="H731" s="68"/>
      <x:c r="I731" s="68"/>
      <x:c r="J731" s="68"/>
      <x:c r="K731" s="68"/>
      <x:c r="L731" s="70"/>
      <x:c r="M731" s="64" t="str">
        <x:f>IF(A731="","",IF(AND(E731&lt;&gt;"",F731&lt;&gt;"",ABS(H731-I731)&lt;=0.01,ABS(J731-K731)&lt;=0.01,L731=1),"一致","检查"))</x:f>
      </x:c>
      <x:c r="N731" s="64" t="str">
        <x:f>IF(A731="","",IF(COUNTIF($A$5:$A$1204,A731)&gt;1,"重复",""))</x:f>
      </x:c>
    </x:row>
    <x:row r="732">
      <x:c r="A732" s="62"/>
      <x:c r="B732" s="62"/>
      <x:c r="C732" s="62"/>
      <x:c r="D732" s="62"/>
      <x:c r="E732" s="62"/>
      <x:c r="F732" s="62"/>
      <x:c r="G732" s="66"/>
      <x:c r="H732" s="68"/>
      <x:c r="I732" s="68"/>
      <x:c r="J732" s="68"/>
      <x:c r="K732" s="68"/>
      <x:c r="L732" s="70"/>
      <x:c r="M732" s="64" t="str">
        <x:f>IF(A732="","",IF(AND(E732&lt;&gt;"",F732&lt;&gt;"",ABS(H732-I732)&lt;=0.01,ABS(J732-K732)&lt;=0.01,L732=1),"一致","检查"))</x:f>
      </x:c>
      <x:c r="N732" s="64" t="str">
        <x:f>IF(A732="","",IF(COUNTIF($A$5:$A$1204,A732)&gt;1,"重复",""))</x:f>
      </x:c>
    </x:row>
    <x:row r="733">
      <x:c r="A733" s="62"/>
      <x:c r="B733" s="62"/>
      <x:c r="C733" s="62"/>
      <x:c r="D733" s="62"/>
      <x:c r="E733" s="62"/>
      <x:c r="F733" s="62"/>
      <x:c r="G733" s="66"/>
      <x:c r="H733" s="68"/>
      <x:c r="I733" s="68"/>
      <x:c r="J733" s="68"/>
      <x:c r="K733" s="68"/>
      <x:c r="L733" s="70"/>
      <x:c r="M733" s="64" t="str">
        <x:f>IF(A733="","",IF(AND(E733&lt;&gt;"",F733&lt;&gt;"",ABS(H733-I733)&lt;=0.01,ABS(J733-K733)&lt;=0.01,L733=1),"一致","检查"))</x:f>
      </x:c>
      <x:c r="N733" s="64" t="str">
        <x:f>IF(A733="","",IF(COUNTIF($A$5:$A$1204,A733)&gt;1,"重复",""))</x:f>
      </x:c>
    </x:row>
    <x:row r="734">
      <x:c r="A734" s="62"/>
      <x:c r="B734" s="62"/>
      <x:c r="C734" s="62"/>
      <x:c r="D734" s="62"/>
      <x:c r="E734" s="62"/>
      <x:c r="F734" s="62"/>
      <x:c r="G734" s="66"/>
      <x:c r="H734" s="68"/>
      <x:c r="I734" s="68"/>
      <x:c r="J734" s="68"/>
      <x:c r="K734" s="68"/>
      <x:c r="L734" s="70"/>
      <x:c r="M734" s="64" t="str">
        <x:f>IF(A734="","",IF(AND(E734&lt;&gt;"",F734&lt;&gt;"",ABS(H734-I734)&lt;=0.01,ABS(J734-K734)&lt;=0.01,L734=1),"一致","检查"))</x:f>
      </x:c>
      <x:c r="N734" s="64" t="str">
        <x:f>IF(A734="","",IF(COUNTIF($A$5:$A$1204,A734)&gt;1,"重复",""))</x:f>
      </x:c>
    </x:row>
    <x:row r="735">
      <x:c r="A735" s="62"/>
      <x:c r="B735" s="62"/>
      <x:c r="C735" s="62"/>
      <x:c r="D735" s="62"/>
      <x:c r="E735" s="62"/>
      <x:c r="F735" s="62"/>
      <x:c r="G735" s="66"/>
      <x:c r="H735" s="68"/>
      <x:c r="I735" s="68"/>
      <x:c r="J735" s="68"/>
      <x:c r="K735" s="68"/>
      <x:c r="L735" s="70"/>
      <x:c r="M735" s="64" t="str">
        <x:f>IF(A735="","",IF(AND(E735&lt;&gt;"",F735&lt;&gt;"",ABS(H735-I735)&lt;=0.01,ABS(J735-K735)&lt;=0.01,L735=1),"一致","检查"))</x:f>
      </x:c>
      <x:c r="N735" s="64" t="str">
        <x:f>IF(A735="","",IF(COUNTIF($A$5:$A$1204,A735)&gt;1,"重复",""))</x:f>
      </x:c>
    </x:row>
    <x:row r="736">
      <x:c r="A736" s="62"/>
      <x:c r="B736" s="62"/>
      <x:c r="C736" s="62"/>
      <x:c r="D736" s="62"/>
      <x:c r="E736" s="62"/>
      <x:c r="F736" s="62"/>
      <x:c r="G736" s="66"/>
      <x:c r="H736" s="68"/>
      <x:c r="I736" s="68"/>
      <x:c r="J736" s="68"/>
      <x:c r="K736" s="68"/>
      <x:c r="L736" s="70"/>
      <x:c r="M736" s="64" t="str">
        <x:f>IF(A736="","",IF(AND(E736&lt;&gt;"",F736&lt;&gt;"",ABS(H736-I736)&lt;=0.01,ABS(J736-K736)&lt;=0.01,L736=1),"一致","检查"))</x:f>
      </x:c>
      <x:c r="N736" s="64" t="str">
        <x:f>IF(A736="","",IF(COUNTIF($A$5:$A$1204,A736)&gt;1,"重复",""))</x:f>
      </x:c>
    </x:row>
    <x:row r="737">
      <x:c r="A737" s="62"/>
      <x:c r="B737" s="62"/>
      <x:c r="C737" s="62"/>
      <x:c r="D737" s="62"/>
      <x:c r="E737" s="62"/>
      <x:c r="F737" s="62"/>
      <x:c r="G737" s="66"/>
      <x:c r="H737" s="68"/>
      <x:c r="I737" s="68"/>
      <x:c r="J737" s="68"/>
      <x:c r="K737" s="68"/>
      <x:c r="L737" s="70"/>
      <x:c r="M737" s="64" t="str">
        <x:f>IF(A737="","",IF(AND(E737&lt;&gt;"",F737&lt;&gt;"",ABS(H737-I737)&lt;=0.01,ABS(J737-K737)&lt;=0.01,L737=1),"一致","检查"))</x:f>
      </x:c>
      <x:c r="N737" s="64" t="str">
        <x:f>IF(A737="","",IF(COUNTIF($A$5:$A$1204,A737)&gt;1,"重复",""))</x:f>
      </x:c>
    </x:row>
    <x:row r="738">
      <x:c r="A738" s="62"/>
      <x:c r="B738" s="62"/>
      <x:c r="C738" s="62"/>
      <x:c r="D738" s="62"/>
      <x:c r="E738" s="62"/>
      <x:c r="F738" s="62"/>
      <x:c r="G738" s="66"/>
      <x:c r="H738" s="68"/>
      <x:c r="I738" s="68"/>
      <x:c r="J738" s="68"/>
      <x:c r="K738" s="68"/>
      <x:c r="L738" s="70"/>
      <x:c r="M738" s="64" t="str">
        <x:f>IF(A738="","",IF(AND(E738&lt;&gt;"",F738&lt;&gt;"",ABS(H738-I738)&lt;=0.01,ABS(J738-K738)&lt;=0.01,L738=1),"一致","检查"))</x:f>
      </x:c>
      <x:c r="N738" s="64" t="str">
        <x:f>IF(A738="","",IF(COUNTIF($A$5:$A$1204,A738)&gt;1,"重复",""))</x:f>
      </x:c>
    </x:row>
    <x:row r="739">
      <x:c r="A739" s="62"/>
      <x:c r="B739" s="62"/>
      <x:c r="C739" s="62"/>
      <x:c r="D739" s="62"/>
      <x:c r="E739" s="62"/>
      <x:c r="F739" s="62"/>
      <x:c r="G739" s="66"/>
      <x:c r="H739" s="68"/>
      <x:c r="I739" s="68"/>
      <x:c r="J739" s="68"/>
      <x:c r="K739" s="68"/>
      <x:c r="L739" s="70"/>
      <x:c r="M739" s="64" t="str">
        <x:f>IF(A739="","",IF(AND(E739&lt;&gt;"",F739&lt;&gt;"",ABS(H739-I739)&lt;=0.01,ABS(J739-K739)&lt;=0.01,L739=1),"一致","检查"))</x:f>
      </x:c>
      <x:c r="N739" s="64" t="str">
        <x:f>IF(A739="","",IF(COUNTIF($A$5:$A$1204,A739)&gt;1,"重复",""))</x:f>
      </x:c>
    </x:row>
    <x:row r="740">
      <x:c r="A740" s="62"/>
      <x:c r="B740" s="62"/>
      <x:c r="C740" s="62"/>
      <x:c r="D740" s="62"/>
      <x:c r="E740" s="62"/>
      <x:c r="F740" s="62"/>
      <x:c r="G740" s="66"/>
      <x:c r="H740" s="68"/>
      <x:c r="I740" s="68"/>
      <x:c r="J740" s="68"/>
      <x:c r="K740" s="68"/>
      <x:c r="L740" s="70"/>
      <x:c r="M740" s="64" t="str">
        <x:f>IF(A740="","",IF(AND(E740&lt;&gt;"",F740&lt;&gt;"",ABS(H740-I740)&lt;=0.01,ABS(J740-K740)&lt;=0.01,L740=1),"一致","检查"))</x:f>
      </x:c>
      <x:c r="N740" s="64" t="str">
        <x:f>IF(A740="","",IF(COUNTIF($A$5:$A$1204,A740)&gt;1,"重复",""))</x:f>
      </x:c>
    </x:row>
    <x:row r="741">
      <x:c r="A741" s="62"/>
      <x:c r="B741" s="62"/>
      <x:c r="C741" s="62"/>
      <x:c r="D741" s="62"/>
      <x:c r="E741" s="62"/>
      <x:c r="F741" s="62"/>
      <x:c r="G741" s="66"/>
      <x:c r="H741" s="68"/>
      <x:c r="I741" s="68"/>
      <x:c r="J741" s="68"/>
      <x:c r="K741" s="68"/>
      <x:c r="L741" s="70"/>
      <x:c r="M741" s="64" t="str">
        <x:f>IF(A741="","",IF(AND(E741&lt;&gt;"",F741&lt;&gt;"",ABS(H741-I741)&lt;=0.01,ABS(J741-K741)&lt;=0.01,L741=1),"一致","检查"))</x:f>
      </x:c>
      <x:c r="N741" s="64" t="str">
        <x:f>IF(A741="","",IF(COUNTIF($A$5:$A$1204,A741)&gt;1,"重复",""))</x:f>
      </x:c>
    </x:row>
    <x:row r="742">
      <x:c r="A742" s="62"/>
      <x:c r="B742" s="62"/>
      <x:c r="C742" s="62"/>
      <x:c r="D742" s="62"/>
      <x:c r="E742" s="62"/>
      <x:c r="F742" s="62"/>
      <x:c r="G742" s="66"/>
      <x:c r="H742" s="68"/>
      <x:c r="I742" s="68"/>
      <x:c r="J742" s="68"/>
      <x:c r="K742" s="68"/>
      <x:c r="L742" s="70"/>
      <x:c r="M742" s="64" t="str">
        <x:f>IF(A742="","",IF(AND(E742&lt;&gt;"",F742&lt;&gt;"",ABS(H742-I742)&lt;=0.01,ABS(J742-K742)&lt;=0.01,L742=1),"一致","检查"))</x:f>
      </x:c>
      <x:c r="N742" s="64" t="str">
        <x:f>IF(A742="","",IF(COUNTIF($A$5:$A$1204,A742)&gt;1,"重复",""))</x:f>
      </x:c>
    </x:row>
    <x:row r="743">
      <x:c r="A743" s="62"/>
      <x:c r="B743" s="62"/>
      <x:c r="C743" s="62"/>
      <x:c r="D743" s="62"/>
      <x:c r="E743" s="62"/>
      <x:c r="F743" s="62"/>
      <x:c r="G743" s="66"/>
      <x:c r="H743" s="68"/>
      <x:c r="I743" s="68"/>
      <x:c r="J743" s="68"/>
      <x:c r="K743" s="68"/>
      <x:c r="L743" s="70"/>
      <x:c r="M743" s="64" t="str">
        <x:f>IF(A743="","",IF(AND(E743&lt;&gt;"",F743&lt;&gt;"",ABS(H743-I743)&lt;=0.01,ABS(J743-K743)&lt;=0.01,L743=1),"一致","检查"))</x:f>
      </x:c>
      <x:c r="N743" s="64" t="str">
        <x:f>IF(A743="","",IF(COUNTIF($A$5:$A$1204,A743)&gt;1,"重复",""))</x:f>
      </x:c>
    </x:row>
    <x:row r="744">
      <x:c r="A744" s="62"/>
      <x:c r="B744" s="62"/>
      <x:c r="C744" s="62"/>
      <x:c r="D744" s="62"/>
      <x:c r="E744" s="62"/>
      <x:c r="F744" s="62"/>
      <x:c r="G744" s="66"/>
      <x:c r="H744" s="68"/>
      <x:c r="I744" s="68"/>
      <x:c r="J744" s="68"/>
      <x:c r="K744" s="68"/>
      <x:c r="L744" s="70"/>
      <x:c r="M744" s="64" t="str">
        <x:f>IF(A744="","",IF(AND(E744&lt;&gt;"",F744&lt;&gt;"",ABS(H744-I744)&lt;=0.01,ABS(J744-K744)&lt;=0.01,L744=1),"一致","检查"))</x:f>
      </x:c>
      <x:c r="N744" s="64" t="str">
        <x:f>IF(A744="","",IF(COUNTIF($A$5:$A$1204,A744)&gt;1,"重复",""))</x:f>
      </x:c>
    </x:row>
    <x:row r="745">
      <x:c r="A745" s="62"/>
      <x:c r="B745" s="62"/>
      <x:c r="C745" s="62"/>
      <x:c r="D745" s="62"/>
      <x:c r="E745" s="62"/>
      <x:c r="F745" s="62"/>
      <x:c r="G745" s="66"/>
      <x:c r="H745" s="68"/>
      <x:c r="I745" s="68"/>
      <x:c r="J745" s="68"/>
      <x:c r="K745" s="68"/>
      <x:c r="L745" s="70"/>
      <x:c r="M745" s="64" t="str">
        <x:f>IF(A745="","",IF(AND(E745&lt;&gt;"",F745&lt;&gt;"",ABS(H745-I745)&lt;=0.01,ABS(J745-K745)&lt;=0.01,L745=1),"一致","检查"))</x:f>
      </x:c>
      <x:c r="N745" s="64" t="str">
        <x:f>IF(A745="","",IF(COUNTIF($A$5:$A$1204,A745)&gt;1,"重复",""))</x:f>
      </x:c>
    </x:row>
    <x:row r="746">
      <x:c r="A746" s="62"/>
      <x:c r="B746" s="62"/>
      <x:c r="C746" s="62"/>
      <x:c r="D746" s="62"/>
      <x:c r="E746" s="62"/>
      <x:c r="F746" s="62"/>
      <x:c r="G746" s="66"/>
      <x:c r="H746" s="68"/>
      <x:c r="I746" s="68"/>
      <x:c r="J746" s="68"/>
      <x:c r="K746" s="68"/>
      <x:c r="L746" s="70"/>
      <x:c r="M746" s="64" t="str">
        <x:f>IF(A746="","",IF(AND(E746&lt;&gt;"",F746&lt;&gt;"",ABS(H746-I746)&lt;=0.01,ABS(J746-K746)&lt;=0.01,L746=1),"一致","检查"))</x:f>
      </x:c>
      <x:c r="N746" s="64" t="str">
        <x:f>IF(A746="","",IF(COUNTIF($A$5:$A$1204,A746)&gt;1,"重复",""))</x:f>
      </x:c>
    </x:row>
    <x:row r="747">
      <x:c r="A747" s="62"/>
      <x:c r="B747" s="62"/>
      <x:c r="C747" s="62"/>
      <x:c r="D747" s="62"/>
      <x:c r="E747" s="62"/>
      <x:c r="F747" s="62"/>
      <x:c r="G747" s="66"/>
      <x:c r="H747" s="68"/>
      <x:c r="I747" s="68"/>
      <x:c r="J747" s="68"/>
      <x:c r="K747" s="68"/>
      <x:c r="L747" s="70"/>
      <x:c r="M747" s="64" t="str">
        <x:f>IF(A747="","",IF(AND(E747&lt;&gt;"",F747&lt;&gt;"",ABS(H747-I747)&lt;=0.01,ABS(J747-K747)&lt;=0.01,L747=1),"一致","检查"))</x:f>
      </x:c>
      <x:c r="N747" s="64" t="str">
        <x:f>IF(A747="","",IF(COUNTIF($A$5:$A$1204,A747)&gt;1,"重复",""))</x:f>
      </x:c>
    </x:row>
    <x:row r="748">
      <x:c r="A748" s="62"/>
      <x:c r="B748" s="62"/>
      <x:c r="C748" s="62"/>
      <x:c r="D748" s="62"/>
      <x:c r="E748" s="62"/>
      <x:c r="F748" s="62"/>
      <x:c r="G748" s="66"/>
      <x:c r="H748" s="68"/>
      <x:c r="I748" s="68"/>
      <x:c r="J748" s="68"/>
      <x:c r="K748" s="68"/>
      <x:c r="L748" s="70"/>
      <x:c r="M748" s="64" t="str">
        <x:f>IF(A748="","",IF(AND(E748&lt;&gt;"",F748&lt;&gt;"",ABS(H748-I748)&lt;=0.01,ABS(J748-K748)&lt;=0.01,L748=1),"一致","检查"))</x:f>
      </x:c>
      <x:c r="N748" s="64" t="str">
        <x:f>IF(A748="","",IF(COUNTIF($A$5:$A$1204,A748)&gt;1,"重复",""))</x:f>
      </x:c>
    </x:row>
    <x:row r="749">
      <x:c r="A749" s="62"/>
      <x:c r="B749" s="62"/>
      <x:c r="C749" s="62"/>
      <x:c r="D749" s="62"/>
      <x:c r="E749" s="62"/>
      <x:c r="F749" s="62"/>
      <x:c r="G749" s="66"/>
      <x:c r="H749" s="68"/>
      <x:c r="I749" s="68"/>
      <x:c r="J749" s="68"/>
      <x:c r="K749" s="68"/>
      <x:c r="L749" s="70"/>
      <x:c r="M749" s="64" t="str">
        <x:f>IF(A749="","",IF(AND(E749&lt;&gt;"",F749&lt;&gt;"",ABS(H749-I749)&lt;=0.01,ABS(J749-K749)&lt;=0.01,L749=1),"一致","检查"))</x:f>
      </x:c>
      <x:c r="N749" s="64" t="str">
        <x:f>IF(A749="","",IF(COUNTIF($A$5:$A$1204,A749)&gt;1,"重复",""))</x:f>
      </x:c>
    </x:row>
    <x:row r="750">
      <x:c r="A750" s="62"/>
      <x:c r="B750" s="62"/>
      <x:c r="C750" s="62"/>
      <x:c r="D750" s="62"/>
      <x:c r="E750" s="62"/>
      <x:c r="F750" s="62"/>
      <x:c r="G750" s="66"/>
      <x:c r="H750" s="68"/>
      <x:c r="I750" s="68"/>
      <x:c r="J750" s="68"/>
      <x:c r="K750" s="68"/>
      <x:c r="L750" s="70"/>
      <x:c r="M750" s="64" t="str">
        <x:f>IF(A750="","",IF(AND(E750&lt;&gt;"",F750&lt;&gt;"",ABS(H750-I750)&lt;=0.01,ABS(J750-K750)&lt;=0.01,L750=1),"一致","检查"))</x:f>
      </x:c>
      <x:c r="N750" s="64" t="str">
        <x:f>IF(A750="","",IF(COUNTIF($A$5:$A$1204,A750)&gt;1,"重复",""))</x:f>
      </x:c>
    </x:row>
    <x:row r="751">
      <x:c r="A751" s="62"/>
      <x:c r="B751" s="62"/>
      <x:c r="C751" s="62"/>
      <x:c r="D751" s="62"/>
      <x:c r="E751" s="62"/>
      <x:c r="F751" s="62"/>
      <x:c r="G751" s="66"/>
      <x:c r="H751" s="68"/>
      <x:c r="I751" s="68"/>
      <x:c r="J751" s="68"/>
      <x:c r="K751" s="68"/>
      <x:c r="L751" s="70"/>
      <x:c r="M751" s="64" t="str">
        <x:f>IF(A751="","",IF(AND(E751&lt;&gt;"",F751&lt;&gt;"",ABS(H751-I751)&lt;=0.01,ABS(J751-K751)&lt;=0.01,L751=1),"一致","检查"))</x:f>
      </x:c>
      <x:c r="N751" s="64" t="str">
        <x:f>IF(A751="","",IF(COUNTIF($A$5:$A$1204,A751)&gt;1,"重复",""))</x:f>
      </x:c>
    </x:row>
    <x:row r="752">
      <x:c r="A752" s="62"/>
      <x:c r="B752" s="62"/>
      <x:c r="C752" s="62"/>
      <x:c r="D752" s="62"/>
      <x:c r="E752" s="62"/>
      <x:c r="F752" s="62"/>
      <x:c r="G752" s="66"/>
      <x:c r="H752" s="68"/>
      <x:c r="I752" s="68"/>
      <x:c r="J752" s="68"/>
      <x:c r="K752" s="68"/>
      <x:c r="L752" s="70"/>
      <x:c r="M752" s="64" t="str">
        <x:f>IF(A752="","",IF(AND(E752&lt;&gt;"",F752&lt;&gt;"",ABS(H752-I752)&lt;=0.01,ABS(J752-K752)&lt;=0.01,L752=1),"一致","检查"))</x:f>
      </x:c>
      <x:c r="N752" s="64" t="str">
        <x:f>IF(A752="","",IF(COUNTIF($A$5:$A$1204,A752)&gt;1,"重复",""))</x:f>
      </x:c>
    </x:row>
    <x:row r="753">
      <x:c r="A753" s="62"/>
      <x:c r="B753" s="62"/>
      <x:c r="C753" s="62"/>
      <x:c r="D753" s="62"/>
      <x:c r="E753" s="62"/>
      <x:c r="F753" s="62"/>
      <x:c r="G753" s="66"/>
      <x:c r="H753" s="68"/>
      <x:c r="I753" s="68"/>
      <x:c r="J753" s="68"/>
      <x:c r="K753" s="68"/>
      <x:c r="L753" s="70"/>
      <x:c r="M753" s="64" t="str">
        <x:f>IF(A753="","",IF(AND(E753&lt;&gt;"",F753&lt;&gt;"",ABS(H753-I753)&lt;=0.01,ABS(J753-K753)&lt;=0.01,L753=1),"一致","检查"))</x:f>
      </x:c>
      <x:c r="N753" s="64" t="str">
        <x:f>IF(A753="","",IF(COUNTIF($A$5:$A$1204,A753)&gt;1,"重复",""))</x:f>
      </x:c>
    </x:row>
    <x:row r="754">
      <x:c r="A754" s="62"/>
      <x:c r="B754" s="62"/>
      <x:c r="C754" s="62"/>
      <x:c r="D754" s="62"/>
      <x:c r="E754" s="62"/>
      <x:c r="F754" s="62"/>
      <x:c r="G754" s="66"/>
      <x:c r="H754" s="68"/>
      <x:c r="I754" s="68"/>
      <x:c r="J754" s="68"/>
      <x:c r="K754" s="68"/>
      <x:c r="L754" s="70"/>
      <x:c r="M754" s="64" t="str">
        <x:f>IF(A754="","",IF(AND(E754&lt;&gt;"",F754&lt;&gt;"",ABS(H754-I754)&lt;=0.01,ABS(J754-K754)&lt;=0.01,L754=1),"一致","检查"))</x:f>
      </x:c>
      <x:c r="N754" s="64" t="str">
        <x:f>IF(A754="","",IF(COUNTIF($A$5:$A$1204,A754)&gt;1,"重复",""))</x:f>
      </x:c>
    </x:row>
    <x:row r="755">
      <x:c r="A755" s="62"/>
      <x:c r="B755" s="62"/>
      <x:c r="C755" s="62"/>
      <x:c r="D755" s="62"/>
      <x:c r="E755" s="62"/>
      <x:c r="F755" s="62"/>
      <x:c r="G755" s="66"/>
      <x:c r="H755" s="68"/>
      <x:c r="I755" s="68"/>
      <x:c r="J755" s="68"/>
      <x:c r="K755" s="68"/>
      <x:c r="L755" s="70"/>
      <x:c r="M755" s="64" t="str">
        <x:f>IF(A755="","",IF(AND(E755&lt;&gt;"",F755&lt;&gt;"",ABS(H755-I755)&lt;=0.01,ABS(J755-K755)&lt;=0.01,L755=1),"一致","检查"))</x:f>
      </x:c>
      <x:c r="N755" s="64" t="str">
        <x:f>IF(A755="","",IF(COUNTIF($A$5:$A$1204,A755)&gt;1,"重复",""))</x:f>
      </x:c>
    </x:row>
    <x:row r="756">
      <x:c r="A756" s="62"/>
      <x:c r="B756" s="62"/>
      <x:c r="C756" s="62"/>
      <x:c r="D756" s="62"/>
      <x:c r="E756" s="62"/>
      <x:c r="F756" s="62"/>
      <x:c r="G756" s="66"/>
      <x:c r="H756" s="68"/>
      <x:c r="I756" s="68"/>
      <x:c r="J756" s="68"/>
      <x:c r="K756" s="68"/>
      <x:c r="L756" s="70"/>
      <x:c r="M756" s="64" t="str">
        <x:f>IF(A756="","",IF(AND(E756&lt;&gt;"",F756&lt;&gt;"",ABS(H756-I756)&lt;=0.01,ABS(J756-K756)&lt;=0.01,L756=1),"一致","检查"))</x:f>
      </x:c>
      <x:c r="N756" s="64" t="str">
        <x:f>IF(A756="","",IF(COUNTIF($A$5:$A$1204,A756)&gt;1,"重复",""))</x:f>
      </x:c>
    </x:row>
    <x:row r="757">
      <x:c r="A757" s="62"/>
      <x:c r="B757" s="62"/>
      <x:c r="C757" s="62"/>
      <x:c r="D757" s="62"/>
      <x:c r="E757" s="62"/>
      <x:c r="F757" s="62"/>
      <x:c r="G757" s="66"/>
      <x:c r="H757" s="68"/>
      <x:c r="I757" s="68"/>
      <x:c r="J757" s="68"/>
      <x:c r="K757" s="68"/>
      <x:c r="L757" s="70"/>
      <x:c r="M757" s="64" t="str">
        <x:f>IF(A757="","",IF(AND(E757&lt;&gt;"",F757&lt;&gt;"",ABS(H757-I757)&lt;=0.01,ABS(J757-K757)&lt;=0.01,L757=1),"一致","检查"))</x:f>
      </x:c>
      <x:c r="N757" s="64" t="str">
        <x:f>IF(A757="","",IF(COUNTIF($A$5:$A$1204,A757)&gt;1,"重复",""))</x:f>
      </x:c>
    </x:row>
    <x:row r="758">
      <x:c r="A758" s="62"/>
      <x:c r="B758" s="62"/>
      <x:c r="C758" s="62"/>
      <x:c r="D758" s="62"/>
      <x:c r="E758" s="62"/>
      <x:c r="F758" s="62"/>
      <x:c r="G758" s="66"/>
      <x:c r="H758" s="68"/>
      <x:c r="I758" s="68"/>
      <x:c r="J758" s="68"/>
      <x:c r="K758" s="68"/>
      <x:c r="L758" s="70"/>
      <x:c r="M758" s="64" t="str">
        <x:f>IF(A758="","",IF(AND(E758&lt;&gt;"",F758&lt;&gt;"",ABS(H758-I758)&lt;=0.01,ABS(J758-K758)&lt;=0.01,L758=1),"一致","检查"))</x:f>
      </x:c>
      <x:c r="N758" s="64" t="str">
        <x:f>IF(A758="","",IF(COUNTIF($A$5:$A$1204,A758)&gt;1,"重复",""))</x:f>
      </x:c>
    </x:row>
    <x:row r="759">
      <x:c r="A759" s="62"/>
      <x:c r="B759" s="62"/>
      <x:c r="C759" s="62"/>
      <x:c r="D759" s="62"/>
      <x:c r="E759" s="62"/>
      <x:c r="F759" s="62"/>
      <x:c r="G759" s="66"/>
      <x:c r="H759" s="68"/>
      <x:c r="I759" s="68"/>
      <x:c r="J759" s="68"/>
      <x:c r="K759" s="68"/>
      <x:c r="L759" s="70"/>
      <x:c r="M759" s="64" t="str">
        <x:f>IF(A759="","",IF(AND(E759&lt;&gt;"",F759&lt;&gt;"",ABS(H759-I759)&lt;=0.01,ABS(J759-K759)&lt;=0.01,L759=1),"一致","检查"))</x:f>
      </x:c>
      <x:c r="N759" s="64" t="str">
        <x:f>IF(A759="","",IF(COUNTIF($A$5:$A$1204,A759)&gt;1,"重复",""))</x:f>
      </x:c>
    </x:row>
    <x:row r="760">
      <x:c r="A760" s="62"/>
      <x:c r="B760" s="62"/>
      <x:c r="C760" s="62"/>
      <x:c r="D760" s="62"/>
      <x:c r="E760" s="62"/>
      <x:c r="F760" s="62"/>
      <x:c r="G760" s="66"/>
      <x:c r="H760" s="68"/>
      <x:c r="I760" s="68"/>
      <x:c r="J760" s="68"/>
      <x:c r="K760" s="68"/>
      <x:c r="L760" s="70"/>
      <x:c r="M760" s="64" t="str">
        <x:f>IF(A760="","",IF(AND(E760&lt;&gt;"",F760&lt;&gt;"",ABS(H760-I760)&lt;=0.01,ABS(J760-K760)&lt;=0.01,L760=1),"一致","检查"))</x:f>
      </x:c>
      <x:c r="N760" s="64" t="str">
        <x:f>IF(A760="","",IF(COUNTIF($A$5:$A$1204,A760)&gt;1,"重复",""))</x:f>
      </x:c>
    </x:row>
    <x:row r="761">
      <x:c r="A761" s="62"/>
      <x:c r="B761" s="62"/>
      <x:c r="C761" s="62"/>
      <x:c r="D761" s="62"/>
      <x:c r="E761" s="62"/>
      <x:c r="F761" s="62"/>
      <x:c r="G761" s="66"/>
      <x:c r="H761" s="68"/>
      <x:c r="I761" s="68"/>
      <x:c r="J761" s="68"/>
      <x:c r="K761" s="68"/>
      <x:c r="L761" s="70"/>
      <x:c r="M761" s="64" t="str">
        <x:f>IF(A761="","",IF(AND(E761&lt;&gt;"",F761&lt;&gt;"",ABS(H761-I761)&lt;=0.01,ABS(J761-K761)&lt;=0.01,L761=1),"一致","检查"))</x:f>
      </x:c>
      <x:c r="N761" s="64" t="str">
        <x:f>IF(A761="","",IF(COUNTIF($A$5:$A$1204,A761)&gt;1,"重复",""))</x:f>
      </x:c>
    </x:row>
    <x:row r="762">
      <x:c r="A762" s="62"/>
      <x:c r="B762" s="62"/>
      <x:c r="C762" s="62"/>
      <x:c r="D762" s="62"/>
      <x:c r="E762" s="62"/>
      <x:c r="F762" s="62"/>
      <x:c r="G762" s="66"/>
      <x:c r="H762" s="68"/>
      <x:c r="I762" s="68"/>
      <x:c r="J762" s="68"/>
      <x:c r="K762" s="68"/>
      <x:c r="L762" s="70"/>
      <x:c r="M762" s="64" t="str">
        <x:f>IF(A762="","",IF(AND(E762&lt;&gt;"",F762&lt;&gt;"",ABS(H762-I762)&lt;=0.01,ABS(J762-K762)&lt;=0.01,L762=1),"一致","检查"))</x:f>
      </x:c>
      <x:c r="N762" s="64" t="str">
        <x:f>IF(A762="","",IF(COUNTIF($A$5:$A$1204,A762)&gt;1,"重复",""))</x:f>
      </x:c>
    </x:row>
    <x:row r="763">
      <x:c r="A763" s="62"/>
      <x:c r="B763" s="62"/>
      <x:c r="C763" s="62"/>
      <x:c r="D763" s="62"/>
      <x:c r="E763" s="62"/>
      <x:c r="F763" s="62"/>
      <x:c r="G763" s="66"/>
      <x:c r="H763" s="68"/>
      <x:c r="I763" s="68"/>
      <x:c r="J763" s="68"/>
      <x:c r="K763" s="68"/>
      <x:c r="L763" s="70"/>
      <x:c r="M763" s="64" t="str">
        <x:f>IF(A763="","",IF(AND(E763&lt;&gt;"",F763&lt;&gt;"",ABS(H763-I763)&lt;=0.01,ABS(J763-K763)&lt;=0.01,L763=1),"一致","检查"))</x:f>
      </x:c>
      <x:c r="N763" s="64" t="str">
        <x:f>IF(A763="","",IF(COUNTIF($A$5:$A$1204,A763)&gt;1,"重复",""))</x:f>
      </x:c>
    </x:row>
    <x:row r="764">
      <x:c r="A764" s="62"/>
      <x:c r="B764" s="62"/>
      <x:c r="C764" s="62"/>
      <x:c r="D764" s="62"/>
      <x:c r="E764" s="62"/>
      <x:c r="F764" s="62"/>
      <x:c r="G764" s="66"/>
      <x:c r="H764" s="68"/>
      <x:c r="I764" s="68"/>
      <x:c r="J764" s="68"/>
      <x:c r="K764" s="68"/>
      <x:c r="L764" s="70"/>
      <x:c r="M764" s="64" t="str">
        <x:f>IF(A764="","",IF(AND(E764&lt;&gt;"",F764&lt;&gt;"",ABS(H764-I764)&lt;=0.01,ABS(J764-K764)&lt;=0.01,L764=1),"一致","检查"))</x:f>
      </x:c>
      <x:c r="N764" s="64" t="str">
        <x:f>IF(A764="","",IF(COUNTIF($A$5:$A$1204,A764)&gt;1,"重复",""))</x:f>
      </x:c>
    </x:row>
    <x:row r="765">
      <x:c r="A765" s="62"/>
      <x:c r="B765" s="62"/>
      <x:c r="C765" s="62"/>
      <x:c r="D765" s="62"/>
      <x:c r="E765" s="62"/>
      <x:c r="F765" s="62"/>
      <x:c r="G765" s="66"/>
      <x:c r="H765" s="68"/>
      <x:c r="I765" s="68"/>
      <x:c r="J765" s="68"/>
      <x:c r="K765" s="68"/>
      <x:c r="L765" s="70"/>
      <x:c r="M765" s="64" t="str">
        <x:f>IF(A765="","",IF(AND(E765&lt;&gt;"",F765&lt;&gt;"",ABS(H765-I765)&lt;=0.01,ABS(J765-K765)&lt;=0.01,L765=1),"一致","检查"))</x:f>
      </x:c>
      <x:c r="N765" s="64" t="str">
        <x:f>IF(A765="","",IF(COUNTIF($A$5:$A$1204,A765)&gt;1,"重复",""))</x:f>
      </x:c>
    </x:row>
    <x:row r="766">
      <x:c r="A766" s="62"/>
      <x:c r="B766" s="62"/>
      <x:c r="C766" s="62"/>
      <x:c r="D766" s="62"/>
      <x:c r="E766" s="62"/>
      <x:c r="F766" s="62"/>
      <x:c r="G766" s="66"/>
      <x:c r="H766" s="68"/>
      <x:c r="I766" s="68"/>
      <x:c r="J766" s="68"/>
      <x:c r="K766" s="68"/>
      <x:c r="L766" s="70"/>
      <x:c r="M766" s="64" t="str">
        <x:f>IF(A766="","",IF(AND(E766&lt;&gt;"",F766&lt;&gt;"",ABS(H766-I766)&lt;=0.01,ABS(J766-K766)&lt;=0.01,L766=1),"一致","检查"))</x:f>
      </x:c>
      <x:c r="N766" s="64" t="str">
        <x:f>IF(A766="","",IF(COUNTIF($A$5:$A$1204,A766)&gt;1,"重复",""))</x:f>
      </x:c>
    </x:row>
    <x:row r="767">
      <x:c r="A767" s="62"/>
      <x:c r="B767" s="62"/>
      <x:c r="C767" s="62"/>
      <x:c r="D767" s="62"/>
      <x:c r="E767" s="62"/>
      <x:c r="F767" s="62"/>
      <x:c r="G767" s="66"/>
      <x:c r="H767" s="68"/>
      <x:c r="I767" s="68"/>
      <x:c r="J767" s="68"/>
      <x:c r="K767" s="68"/>
      <x:c r="L767" s="70"/>
      <x:c r="M767" s="64" t="str">
        <x:f>IF(A767="","",IF(AND(E767&lt;&gt;"",F767&lt;&gt;"",ABS(H767-I767)&lt;=0.01,ABS(J767-K767)&lt;=0.01,L767=1),"一致","检查"))</x:f>
      </x:c>
      <x:c r="N767" s="64" t="str">
        <x:f>IF(A767="","",IF(COUNTIF($A$5:$A$1204,A767)&gt;1,"重复",""))</x:f>
      </x:c>
    </x:row>
    <x:row r="768">
      <x:c r="A768" s="62"/>
      <x:c r="B768" s="62"/>
      <x:c r="C768" s="62"/>
      <x:c r="D768" s="62"/>
      <x:c r="E768" s="62"/>
      <x:c r="F768" s="62"/>
      <x:c r="G768" s="66"/>
      <x:c r="H768" s="68"/>
      <x:c r="I768" s="68"/>
      <x:c r="J768" s="68"/>
      <x:c r="K768" s="68"/>
      <x:c r="L768" s="70"/>
      <x:c r="M768" s="64" t="str">
        <x:f>IF(A768="","",IF(AND(E768&lt;&gt;"",F768&lt;&gt;"",ABS(H768-I768)&lt;=0.01,ABS(J768-K768)&lt;=0.01,L768=1),"一致","检查"))</x:f>
      </x:c>
      <x:c r="N768" s="64" t="str">
        <x:f>IF(A768="","",IF(COUNTIF($A$5:$A$1204,A768)&gt;1,"重复",""))</x:f>
      </x:c>
    </x:row>
    <x:row r="769">
      <x:c r="A769" s="62"/>
      <x:c r="B769" s="62"/>
      <x:c r="C769" s="62"/>
      <x:c r="D769" s="62"/>
      <x:c r="E769" s="62"/>
      <x:c r="F769" s="62"/>
      <x:c r="G769" s="66"/>
      <x:c r="H769" s="68"/>
      <x:c r="I769" s="68"/>
      <x:c r="J769" s="68"/>
      <x:c r="K769" s="68"/>
      <x:c r="L769" s="70"/>
      <x:c r="M769" s="64" t="str">
        <x:f>IF(A769="","",IF(AND(E769&lt;&gt;"",F769&lt;&gt;"",ABS(H769-I769)&lt;=0.01,ABS(J769-K769)&lt;=0.01,L769=1),"一致","检查"))</x:f>
      </x:c>
      <x:c r="N769" s="64" t="str">
        <x:f>IF(A769="","",IF(COUNTIF($A$5:$A$1204,A769)&gt;1,"重复",""))</x:f>
      </x:c>
    </x:row>
    <x:row r="770">
      <x:c r="A770" s="62"/>
      <x:c r="B770" s="62"/>
      <x:c r="C770" s="62"/>
      <x:c r="D770" s="62"/>
      <x:c r="E770" s="62"/>
      <x:c r="F770" s="62"/>
      <x:c r="G770" s="66"/>
      <x:c r="H770" s="68"/>
      <x:c r="I770" s="68"/>
      <x:c r="J770" s="68"/>
      <x:c r="K770" s="68"/>
      <x:c r="L770" s="70"/>
      <x:c r="M770" s="64" t="str">
        <x:f>IF(A770="","",IF(AND(E770&lt;&gt;"",F770&lt;&gt;"",ABS(H770-I770)&lt;=0.01,ABS(J770-K770)&lt;=0.01,L770=1),"一致","检查"))</x:f>
      </x:c>
      <x:c r="N770" s="64" t="str">
        <x:f>IF(A770="","",IF(COUNTIF($A$5:$A$1204,A770)&gt;1,"重复",""))</x:f>
      </x:c>
    </x:row>
    <x:row r="771">
      <x:c r="A771" s="62"/>
      <x:c r="B771" s="62"/>
      <x:c r="C771" s="62"/>
      <x:c r="D771" s="62"/>
      <x:c r="E771" s="62"/>
      <x:c r="F771" s="62"/>
      <x:c r="G771" s="66"/>
      <x:c r="H771" s="68"/>
      <x:c r="I771" s="68"/>
      <x:c r="J771" s="68"/>
      <x:c r="K771" s="68"/>
      <x:c r="L771" s="70"/>
      <x:c r="M771" s="64" t="str">
        <x:f>IF(A771="","",IF(AND(E771&lt;&gt;"",F771&lt;&gt;"",ABS(H771-I771)&lt;=0.01,ABS(J771-K771)&lt;=0.01,L771=1),"一致","检查"))</x:f>
      </x:c>
      <x:c r="N771" s="64" t="str">
        <x:f>IF(A771="","",IF(COUNTIF($A$5:$A$1204,A771)&gt;1,"重复",""))</x:f>
      </x:c>
    </x:row>
    <x:row r="772">
      <x:c r="A772" s="62"/>
      <x:c r="B772" s="62"/>
      <x:c r="C772" s="62"/>
      <x:c r="D772" s="62"/>
      <x:c r="E772" s="62"/>
      <x:c r="F772" s="62"/>
      <x:c r="G772" s="66"/>
      <x:c r="H772" s="68"/>
      <x:c r="I772" s="68"/>
      <x:c r="J772" s="68"/>
      <x:c r="K772" s="68"/>
      <x:c r="L772" s="70"/>
      <x:c r="M772" s="64" t="str">
        <x:f>IF(A772="","",IF(AND(E772&lt;&gt;"",F772&lt;&gt;"",ABS(H772-I772)&lt;=0.01,ABS(J772-K772)&lt;=0.01,L772=1),"一致","检查"))</x:f>
      </x:c>
      <x:c r="N772" s="64" t="str">
        <x:f>IF(A772="","",IF(COUNTIF($A$5:$A$1204,A772)&gt;1,"重复",""))</x:f>
      </x:c>
    </x:row>
    <x:row r="773">
      <x:c r="A773" s="62"/>
      <x:c r="B773" s="62"/>
      <x:c r="C773" s="62"/>
      <x:c r="D773" s="62"/>
      <x:c r="E773" s="62"/>
      <x:c r="F773" s="62"/>
      <x:c r="G773" s="66"/>
      <x:c r="H773" s="68"/>
      <x:c r="I773" s="68"/>
      <x:c r="J773" s="68"/>
      <x:c r="K773" s="68"/>
      <x:c r="L773" s="70"/>
      <x:c r="M773" s="64" t="str">
        <x:f>IF(A773="","",IF(AND(E773&lt;&gt;"",F773&lt;&gt;"",ABS(H773-I773)&lt;=0.01,ABS(J773-K773)&lt;=0.01,L773=1),"一致","检查"))</x:f>
      </x:c>
      <x:c r="N773" s="64" t="str">
        <x:f>IF(A773="","",IF(COUNTIF($A$5:$A$1204,A773)&gt;1,"重复",""))</x:f>
      </x:c>
    </x:row>
    <x:row r="774">
      <x:c r="A774" s="62"/>
      <x:c r="B774" s="62"/>
      <x:c r="C774" s="62"/>
      <x:c r="D774" s="62"/>
      <x:c r="E774" s="62"/>
      <x:c r="F774" s="62"/>
      <x:c r="G774" s="66"/>
      <x:c r="H774" s="68"/>
      <x:c r="I774" s="68"/>
      <x:c r="J774" s="68"/>
      <x:c r="K774" s="68"/>
      <x:c r="L774" s="70"/>
      <x:c r="M774" s="64" t="str">
        <x:f>IF(A774="","",IF(AND(E774&lt;&gt;"",F774&lt;&gt;"",ABS(H774-I774)&lt;=0.01,ABS(J774-K774)&lt;=0.01,L774=1),"一致","检查"))</x:f>
      </x:c>
      <x:c r="N774" s="64" t="str">
        <x:f>IF(A774="","",IF(COUNTIF($A$5:$A$1204,A774)&gt;1,"重复",""))</x:f>
      </x:c>
    </x:row>
    <x:row r="775">
      <x:c r="A775" s="62"/>
      <x:c r="B775" s="62"/>
      <x:c r="C775" s="62"/>
      <x:c r="D775" s="62"/>
      <x:c r="E775" s="62"/>
      <x:c r="F775" s="62"/>
      <x:c r="G775" s="66"/>
      <x:c r="H775" s="68"/>
      <x:c r="I775" s="68"/>
      <x:c r="J775" s="68"/>
      <x:c r="K775" s="68"/>
      <x:c r="L775" s="70"/>
      <x:c r="M775" s="64" t="str">
        <x:f>IF(A775="","",IF(AND(E775&lt;&gt;"",F775&lt;&gt;"",ABS(H775-I775)&lt;=0.01,ABS(J775-K775)&lt;=0.01,L775=1),"一致","检查"))</x:f>
      </x:c>
      <x:c r="N775" s="64" t="str">
        <x:f>IF(A775="","",IF(COUNTIF($A$5:$A$1204,A775)&gt;1,"重复",""))</x:f>
      </x:c>
    </x:row>
    <x:row r="776">
      <x:c r="A776" s="62"/>
      <x:c r="B776" s="62"/>
      <x:c r="C776" s="62"/>
      <x:c r="D776" s="62"/>
      <x:c r="E776" s="62"/>
      <x:c r="F776" s="62"/>
      <x:c r="G776" s="66"/>
      <x:c r="H776" s="68"/>
      <x:c r="I776" s="68"/>
      <x:c r="J776" s="68"/>
      <x:c r="K776" s="68"/>
      <x:c r="L776" s="70"/>
      <x:c r="M776" s="64" t="str">
        <x:f>IF(A776="","",IF(AND(E776&lt;&gt;"",F776&lt;&gt;"",ABS(H776-I776)&lt;=0.01,ABS(J776-K776)&lt;=0.01,L776=1),"一致","检查"))</x:f>
      </x:c>
      <x:c r="N776" s="64" t="str">
        <x:f>IF(A776="","",IF(COUNTIF($A$5:$A$1204,A776)&gt;1,"重复",""))</x:f>
      </x:c>
    </x:row>
    <x:row r="777">
      <x:c r="A777" s="62"/>
      <x:c r="B777" s="62"/>
      <x:c r="C777" s="62"/>
      <x:c r="D777" s="62"/>
      <x:c r="E777" s="62"/>
      <x:c r="F777" s="62"/>
      <x:c r="G777" s="66"/>
      <x:c r="H777" s="68"/>
      <x:c r="I777" s="68"/>
      <x:c r="J777" s="68"/>
      <x:c r="K777" s="68"/>
      <x:c r="L777" s="70"/>
      <x:c r="M777" s="64" t="str">
        <x:f>IF(A777="","",IF(AND(E777&lt;&gt;"",F777&lt;&gt;"",ABS(H777-I777)&lt;=0.01,ABS(J777-K777)&lt;=0.01,L777=1),"一致","检查"))</x:f>
      </x:c>
      <x:c r="N777" s="64" t="str">
        <x:f>IF(A777="","",IF(COUNTIF($A$5:$A$1204,A777)&gt;1,"重复",""))</x:f>
      </x:c>
    </x:row>
    <x:row r="778">
      <x:c r="A778" s="62"/>
      <x:c r="B778" s="62"/>
      <x:c r="C778" s="62"/>
      <x:c r="D778" s="62"/>
      <x:c r="E778" s="62"/>
      <x:c r="F778" s="62"/>
      <x:c r="G778" s="66"/>
      <x:c r="H778" s="68"/>
      <x:c r="I778" s="68"/>
      <x:c r="J778" s="68"/>
      <x:c r="K778" s="68"/>
      <x:c r="L778" s="70"/>
      <x:c r="M778" s="64" t="str">
        <x:f>IF(A778="","",IF(AND(E778&lt;&gt;"",F778&lt;&gt;"",ABS(H778-I778)&lt;=0.01,ABS(J778-K778)&lt;=0.01,L778=1),"一致","检查"))</x:f>
      </x:c>
      <x:c r="N778" s="64" t="str">
        <x:f>IF(A778="","",IF(COUNTIF($A$5:$A$1204,A778)&gt;1,"重复",""))</x:f>
      </x:c>
    </x:row>
    <x:row r="779">
      <x:c r="A779" s="62"/>
      <x:c r="B779" s="62"/>
      <x:c r="C779" s="62"/>
      <x:c r="D779" s="62"/>
      <x:c r="E779" s="62"/>
      <x:c r="F779" s="62"/>
      <x:c r="G779" s="66"/>
      <x:c r="H779" s="68"/>
      <x:c r="I779" s="68"/>
      <x:c r="J779" s="68"/>
      <x:c r="K779" s="68"/>
      <x:c r="L779" s="70"/>
      <x:c r="M779" s="64" t="str">
        <x:f>IF(A779="","",IF(AND(E779&lt;&gt;"",F779&lt;&gt;"",ABS(H779-I779)&lt;=0.01,ABS(J779-K779)&lt;=0.01,L779=1),"一致","检查"))</x:f>
      </x:c>
      <x:c r="N779" s="64" t="str">
        <x:f>IF(A779="","",IF(COUNTIF($A$5:$A$1204,A779)&gt;1,"重复",""))</x:f>
      </x:c>
    </x:row>
    <x:row r="780">
      <x:c r="A780" s="62"/>
      <x:c r="B780" s="62"/>
      <x:c r="C780" s="62"/>
      <x:c r="D780" s="62"/>
      <x:c r="E780" s="62"/>
      <x:c r="F780" s="62"/>
      <x:c r="G780" s="66"/>
      <x:c r="H780" s="68"/>
      <x:c r="I780" s="68"/>
      <x:c r="J780" s="68"/>
      <x:c r="K780" s="68"/>
      <x:c r="L780" s="70"/>
      <x:c r="M780" s="64" t="str">
        <x:f>IF(A780="","",IF(AND(E780&lt;&gt;"",F780&lt;&gt;"",ABS(H780-I780)&lt;=0.01,ABS(J780-K780)&lt;=0.01,L780=1),"一致","检查"))</x:f>
      </x:c>
      <x:c r="N780" s="64" t="str">
        <x:f>IF(A780="","",IF(COUNTIF($A$5:$A$1204,A780)&gt;1,"重复",""))</x:f>
      </x:c>
    </x:row>
    <x:row r="781">
      <x:c r="A781" s="62"/>
      <x:c r="B781" s="62"/>
      <x:c r="C781" s="62"/>
      <x:c r="D781" s="62"/>
      <x:c r="E781" s="62"/>
      <x:c r="F781" s="62"/>
      <x:c r="G781" s="66"/>
      <x:c r="H781" s="68"/>
      <x:c r="I781" s="68"/>
      <x:c r="J781" s="68"/>
      <x:c r="K781" s="68"/>
      <x:c r="L781" s="70"/>
      <x:c r="M781" s="64" t="str">
        <x:f>IF(A781="","",IF(AND(E781&lt;&gt;"",F781&lt;&gt;"",ABS(H781-I781)&lt;=0.01,ABS(J781-K781)&lt;=0.01,L781=1),"一致","检查"))</x:f>
      </x:c>
      <x:c r="N781" s="64" t="str">
        <x:f>IF(A781="","",IF(COUNTIF($A$5:$A$1204,A781)&gt;1,"重复",""))</x:f>
      </x:c>
    </x:row>
    <x:row r="782">
      <x:c r="A782" s="62"/>
      <x:c r="B782" s="62"/>
      <x:c r="C782" s="62"/>
      <x:c r="D782" s="62"/>
      <x:c r="E782" s="62"/>
      <x:c r="F782" s="62"/>
      <x:c r="G782" s="66"/>
      <x:c r="H782" s="68"/>
      <x:c r="I782" s="68"/>
      <x:c r="J782" s="68"/>
      <x:c r="K782" s="68"/>
      <x:c r="L782" s="70"/>
      <x:c r="M782" s="64" t="str">
        <x:f>IF(A782="","",IF(AND(E782&lt;&gt;"",F782&lt;&gt;"",ABS(H782-I782)&lt;=0.01,ABS(J782-K782)&lt;=0.01,L782=1),"一致","检查"))</x:f>
      </x:c>
      <x:c r="N782" s="64" t="str">
        <x:f>IF(A782="","",IF(COUNTIF($A$5:$A$1204,A782)&gt;1,"重复",""))</x:f>
      </x:c>
    </x:row>
    <x:row r="783">
      <x:c r="A783" s="62"/>
      <x:c r="B783" s="62"/>
      <x:c r="C783" s="62"/>
      <x:c r="D783" s="62"/>
      <x:c r="E783" s="62"/>
      <x:c r="F783" s="62"/>
      <x:c r="G783" s="66"/>
      <x:c r="H783" s="68"/>
      <x:c r="I783" s="68"/>
      <x:c r="J783" s="68"/>
      <x:c r="K783" s="68"/>
      <x:c r="L783" s="70"/>
      <x:c r="M783" s="64" t="str">
        <x:f>IF(A783="","",IF(AND(E783&lt;&gt;"",F783&lt;&gt;"",ABS(H783-I783)&lt;=0.01,ABS(J783-K783)&lt;=0.01,L783=1),"一致","检查"))</x:f>
      </x:c>
      <x:c r="N783" s="64" t="str">
        <x:f>IF(A783="","",IF(COUNTIF($A$5:$A$1204,A783)&gt;1,"重复",""))</x:f>
      </x:c>
    </x:row>
    <x:row r="784">
      <x:c r="A784" s="62"/>
      <x:c r="B784" s="62"/>
      <x:c r="C784" s="62"/>
      <x:c r="D784" s="62"/>
      <x:c r="E784" s="62"/>
      <x:c r="F784" s="62"/>
      <x:c r="G784" s="66"/>
      <x:c r="H784" s="68"/>
      <x:c r="I784" s="68"/>
      <x:c r="J784" s="68"/>
      <x:c r="K784" s="68"/>
      <x:c r="L784" s="70"/>
      <x:c r="M784" s="64" t="str">
        <x:f>IF(A784="","",IF(AND(E784&lt;&gt;"",F784&lt;&gt;"",ABS(H784-I784)&lt;=0.01,ABS(J784-K784)&lt;=0.01,L784=1),"一致","检查"))</x:f>
      </x:c>
      <x:c r="N784" s="64" t="str">
        <x:f>IF(A784="","",IF(COUNTIF($A$5:$A$1204,A784)&gt;1,"重复",""))</x:f>
      </x:c>
    </x:row>
    <x:row r="785">
      <x:c r="A785" s="62"/>
      <x:c r="B785" s="62"/>
      <x:c r="C785" s="62"/>
      <x:c r="D785" s="62"/>
      <x:c r="E785" s="62"/>
      <x:c r="F785" s="62"/>
      <x:c r="G785" s="66"/>
      <x:c r="H785" s="68"/>
      <x:c r="I785" s="68"/>
      <x:c r="J785" s="68"/>
      <x:c r="K785" s="68"/>
      <x:c r="L785" s="70"/>
      <x:c r="M785" s="64" t="str">
        <x:f>IF(A785="","",IF(AND(E785&lt;&gt;"",F785&lt;&gt;"",ABS(H785-I785)&lt;=0.01,ABS(J785-K785)&lt;=0.01,L785=1),"一致","检查"))</x:f>
      </x:c>
      <x:c r="N785" s="64" t="str">
        <x:f>IF(A785="","",IF(COUNTIF($A$5:$A$1204,A785)&gt;1,"重复",""))</x:f>
      </x:c>
    </x:row>
    <x:row r="786">
      <x:c r="A786" s="62"/>
      <x:c r="B786" s="62"/>
      <x:c r="C786" s="62"/>
      <x:c r="D786" s="62"/>
      <x:c r="E786" s="62"/>
      <x:c r="F786" s="62"/>
      <x:c r="G786" s="66"/>
      <x:c r="H786" s="68"/>
      <x:c r="I786" s="68"/>
      <x:c r="J786" s="68"/>
      <x:c r="K786" s="68"/>
      <x:c r="L786" s="70"/>
      <x:c r="M786" s="64" t="str">
        <x:f>IF(A786="","",IF(AND(E786&lt;&gt;"",F786&lt;&gt;"",ABS(H786-I786)&lt;=0.01,ABS(J786-K786)&lt;=0.01,L786=1),"一致","检查"))</x:f>
      </x:c>
      <x:c r="N786" s="64" t="str">
        <x:f>IF(A786="","",IF(COUNTIF($A$5:$A$1204,A786)&gt;1,"重复",""))</x:f>
      </x:c>
    </x:row>
    <x:row r="787">
      <x:c r="A787" s="62"/>
      <x:c r="B787" s="62"/>
      <x:c r="C787" s="62"/>
      <x:c r="D787" s="62"/>
      <x:c r="E787" s="62"/>
      <x:c r="F787" s="62"/>
      <x:c r="G787" s="66"/>
      <x:c r="H787" s="68"/>
      <x:c r="I787" s="68"/>
      <x:c r="J787" s="68"/>
      <x:c r="K787" s="68"/>
      <x:c r="L787" s="70"/>
      <x:c r="M787" s="64" t="str">
        <x:f>IF(A787="","",IF(AND(E787&lt;&gt;"",F787&lt;&gt;"",ABS(H787-I787)&lt;=0.01,ABS(J787-K787)&lt;=0.01,L787=1),"一致","检查"))</x:f>
      </x:c>
      <x:c r="N787" s="64" t="str">
        <x:f>IF(A787="","",IF(COUNTIF($A$5:$A$1204,A787)&gt;1,"重复",""))</x:f>
      </x:c>
    </x:row>
    <x:row r="788">
      <x:c r="A788" s="62"/>
      <x:c r="B788" s="62"/>
      <x:c r="C788" s="62"/>
      <x:c r="D788" s="62"/>
      <x:c r="E788" s="62"/>
      <x:c r="F788" s="62"/>
      <x:c r="G788" s="66"/>
      <x:c r="H788" s="68"/>
      <x:c r="I788" s="68"/>
      <x:c r="J788" s="68"/>
      <x:c r="K788" s="68"/>
      <x:c r="L788" s="70"/>
      <x:c r="M788" s="64" t="str">
        <x:f>IF(A788="","",IF(AND(E788&lt;&gt;"",F788&lt;&gt;"",ABS(H788-I788)&lt;=0.01,ABS(J788-K788)&lt;=0.01,L788=1),"一致","检查"))</x:f>
      </x:c>
      <x:c r="N788" s="64" t="str">
        <x:f>IF(A788="","",IF(COUNTIF($A$5:$A$1204,A788)&gt;1,"重复",""))</x:f>
      </x:c>
    </x:row>
    <x:row r="789">
      <x:c r="A789" s="62"/>
      <x:c r="B789" s="62"/>
      <x:c r="C789" s="62"/>
      <x:c r="D789" s="62"/>
      <x:c r="E789" s="62"/>
      <x:c r="F789" s="62"/>
      <x:c r="G789" s="66"/>
      <x:c r="H789" s="68"/>
      <x:c r="I789" s="68"/>
      <x:c r="J789" s="68"/>
      <x:c r="K789" s="68"/>
      <x:c r="L789" s="70"/>
      <x:c r="M789" s="64" t="str">
        <x:f>IF(A789="","",IF(AND(E789&lt;&gt;"",F789&lt;&gt;"",ABS(H789-I789)&lt;=0.01,ABS(J789-K789)&lt;=0.01,L789=1),"一致","检查"))</x:f>
      </x:c>
      <x:c r="N789" s="64" t="str">
        <x:f>IF(A789="","",IF(COUNTIF($A$5:$A$1204,A789)&gt;1,"重复",""))</x:f>
      </x:c>
    </x:row>
    <x:row r="790">
      <x:c r="A790" s="62"/>
      <x:c r="B790" s="62"/>
      <x:c r="C790" s="62"/>
      <x:c r="D790" s="62"/>
      <x:c r="E790" s="62"/>
      <x:c r="F790" s="62"/>
      <x:c r="G790" s="66"/>
      <x:c r="H790" s="68"/>
      <x:c r="I790" s="68"/>
      <x:c r="J790" s="68"/>
      <x:c r="K790" s="68"/>
      <x:c r="L790" s="70"/>
      <x:c r="M790" s="64" t="str">
        <x:f>IF(A790="","",IF(AND(E790&lt;&gt;"",F790&lt;&gt;"",ABS(H790-I790)&lt;=0.01,ABS(J790-K790)&lt;=0.01,L790=1),"一致","检查"))</x:f>
      </x:c>
      <x:c r="N790" s="64" t="str">
        <x:f>IF(A790="","",IF(COUNTIF($A$5:$A$1204,A790)&gt;1,"重复",""))</x:f>
      </x:c>
    </x:row>
    <x:row r="791">
      <x:c r="A791" s="62"/>
      <x:c r="B791" s="62"/>
      <x:c r="C791" s="62"/>
      <x:c r="D791" s="62"/>
      <x:c r="E791" s="62"/>
      <x:c r="F791" s="62"/>
      <x:c r="G791" s="66"/>
      <x:c r="H791" s="68"/>
      <x:c r="I791" s="68"/>
      <x:c r="J791" s="68"/>
      <x:c r="K791" s="68"/>
      <x:c r="L791" s="70"/>
      <x:c r="M791" s="64" t="str">
        <x:f>IF(A791="","",IF(AND(E791&lt;&gt;"",F791&lt;&gt;"",ABS(H791-I791)&lt;=0.01,ABS(J791-K791)&lt;=0.01,L791=1),"一致","检查"))</x:f>
      </x:c>
      <x:c r="N791" s="64" t="str">
        <x:f>IF(A791="","",IF(COUNTIF($A$5:$A$1204,A791)&gt;1,"重复",""))</x:f>
      </x:c>
    </x:row>
    <x:row r="792">
      <x:c r="A792" s="62"/>
      <x:c r="B792" s="62"/>
      <x:c r="C792" s="62"/>
      <x:c r="D792" s="62"/>
      <x:c r="E792" s="62"/>
      <x:c r="F792" s="62"/>
      <x:c r="G792" s="66"/>
      <x:c r="H792" s="68"/>
      <x:c r="I792" s="68"/>
      <x:c r="J792" s="68"/>
      <x:c r="K792" s="68"/>
      <x:c r="L792" s="70"/>
      <x:c r="M792" s="64" t="str">
        <x:f>IF(A792="","",IF(AND(E792&lt;&gt;"",F792&lt;&gt;"",ABS(H792-I792)&lt;=0.01,ABS(J792-K792)&lt;=0.01,L792=1),"一致","检查"))</x:f>
      </x:c>
      <x:c r="N792" s="64" t="str">
        <x:f>IF(A792="","",IF(COUNTIF($A$5:$A$1204,A792)&gt;1,"重复",""))</x:f>
      </x:c>
    </x:row>
    <x:row r="793">
      <x:c r="A793" s="62"/>
      <x:c r="B793" s="62"/>
      <x:c r="C793" s="62"/>
      <x:c r="D793" s="62"/>
      <x:c r="E793" s="62"/>
      <x:c r="F793" s="62"/>
      <x:c r="G793" s="66"/>
      <x:c r="H793" s="68"/>
      <x:c r="I793" s="68"/>
      <x:c r="J793" s="68"/>
      <x:c r="K793" s="68"/>
      <x:c r="L793" s="70"/>
      <x:c r="M793" s="64" t="str">
        <x:f>IF(A793="","",IF(AND(E793&lt;&gt;"",F793&lt;&gt;"",ABS(H793-I793)&lt;=0.01,ABS(J793-K793)&lt;=0.01,L793=1),"一致","检查"))</x:f>
      </x:c>
      <x:c r="N793" s="64" t="str">
        <x:f>IF(A793="","",IF(COUNTIF($A$5:$A$1204,A793)&gt;1,"重复",""))</x:f>
      </x:c>
    </x:row>
    <x:row r="794">
      <x:c r="A794" s="62"/>
      <x:c r="B794" s="62"/>
      <x:c r="C794" s="62"/>
      <x:c r="D794" s="62"/>
      <x:c r="E794" s="62"/>
      <x:c r="F794" s="62"/>
      <x:c r="G794" s="66"/>
      <x:c r="H794" s="68"/>
      <x:c r="I794" s="68"/>
      <x:c r="J794" s="68"/>
      <x:c r="K794" s="68"/>
      <x:c r="L794" s="70"/>
      <x:c r="M794" s="64" t="str">
        <x:f>IF(A794="","",IF(AND(E794&lt;&gt;"",F794&lt;&gt;"",ABS(H794-I794)&lt;=0.01,ABS(J794-K794)&lt;=0.01,L794=1),"一致","检查"))</x:f>
      </x:c>
      <x:c r="N794" s="64" t="str">
        <x:f>IF(A794="","",IF(COUNTIF($A$5:$A$1204,A794)&gt;1,"重复",""))</x:f>
      </x:c>
    </x:row>
    <x:row r="795">
      <x:c r="A795" s="62"/>
      <x:c r="B795" s="62"/>
      <x:c r="C795" s="62"/>
      <x:c r="D795" s="62"/>
      <x:c r="E795" s="62"/>
      <x:c r="F795" s="62"/>
      <x:c r="G795" s="66"/>
      <x:c r="H795" s="68"/>
      <x:c r="I795" s="68"/>
      <x:c r="J795" s="68"/>
      <x:c r="K795" s="68"/>
      <x:c r="L795" s="70"/>
      <x:c r="M795" s="64" t="str">
        <x:f>IF(A795="","",IF(AND(E795&lt;&gt;"",F795&lt;&gt;"",ABS(H795-I795)&lt;=0.01,ABS(J795-K795)&lt;=0.01,L795=1),"一致","检查"))</x:f>
      </x:c>
      <x:c r="N795" s="64" t="str">
        <x:f>IF(A795="","",IF(COUNTIF($A$5:$A$1204,A795)&gt;1,"重复",""))</x:f>
      </x:c>
    </x:row>
    <x:row r="796">
      <x:c r="A796" s="62"/>
      <x:c r="B796" s="62"/>
      <x:c r="C796" s="62"/>
      <x:c r="D796" s="62"/>
      <x:c r="E796" s="62"/>
      <x:c r="F796" s="62"/>
      <x:c r="G796" s="66"/>
      <x:c r="H796" s="68"/>
      <x:c r="I796" s="68"/>
      <x:c r="J796" s="68"/>
      <x:c r="K796" s="68"/>
      <x:c r="L796" s="70"/>
      <x:c r="M796" s="64" t="str">
        <x:f>IF(A796="","",IF(AND(E796&lt;&gt;"",F796&lt;&gt;"",ABS(H796-I796)&lt;=0.01,ABS(J796-K796)&lt;=0.01,L796=1),"一致","检查"))</x:f>
      </x:c>
      <x:c r="N796" s="64" t="str">
        <x:f>IF(A796="","",IF(COUNTIF($A$5:$A$1204,A796)&gt;1,"重复",""))</x:f>
      </x:c>
    </x:row>
    <x:row r="797">
      <x:c r="A797" s="62"/>
      <x:c r="B797" s="62"/>
      <x:c r="C797" s="62"/>
      <x:c r="D797" s="62"/>
      <x:c r="E797" s="62"/>
      <x:c r="F797" s="62"/>
      <x:c r="G797" s="66"/>
      <x:c r="H797" s="68"/>
      <x:c r="I797" s="68"/>
      <x:c r="J797" s="68"/>
      <x:c r="K797" s="68"/>
      <x:c r="L797" s="70"/>
      <x:c r="M797" s="64" t="str">
        <x:f>IF(A797="","",IF(AND(E797&lt;&gt;"",F797&lt;&gt;"",ABS(H797-I797)&lt;=0.01,ABS(J797-K797)&lt;=0.01,L797=1),"一致","检查"))</x:f>
      </x:c>
      <x:c r="N797" s="64" t="str">
        <x:f>IF(A797="","",IF(COUNTIF($A$5:$A$1204,A797)&gt;1,"重复",""))</x:f>
      </x:c>
    </x:row>
    <x:row r="798">
      <x:c r="A798" s="62"/>
      <x:c r="B798" s="62"/>
      <x:c r="C798" s="62"/>
      <x:c r="D798" s="62"/>
      <x:c r="E798" s="62"/>
      <x:c r="F798" s="62"/>
      <x:c r="G798" s="66"/>
      <x:c r="H798" s="68"/>
      <x:c r="I798" s="68"/>
      <x:c r="J798" s="68"/>
      <x:c r="K798" s="68"/>
      <x:c r="L798" s="70"/>
      <x:c r="M798" s="64" t="str">
        <x:f>IF(A798="","",IF(AND(E798&lt;&gt;"",F798&lt;&gt;"",ABS(H798-I798)&lt;=0.01,ABS(J798-K798)&lt;=0.01,L798=1),"一致","检查"))</x:f>
      </x:c>
      <x:c r="N798" s="64" t="str">
        <x:f>IF(A798="","",IF(COUNTIF($A$5:$A$1204,A798)&gt;1,"重复",""))</x:f>
      </x:c>
    </x:row>
    <x:row r="799">
      <x:c r="A799" s="62"/>
      <x:c r="B799" s="62"/>
      <x:c r="C799" s="62"/>
      <x:c r="D799" s="62"/>
      <x:c r="E799" s="62"/>
      <x:c r="F799" s="62"/>
      <x:c r="G799" s="66"/>
      <x:c r="H799" s="68"/>
      <x:c r="I799" s="68"/>
      <x:c r="J799" s="68"/>
      <x:c r="K799" s="68"/>
      <x:c r="L799" s="70"/>
      <x:c r="M799" s="64" t="str">
        <x:f>IF(A799="","",IF(AND(E799&lt;&gt;"",F799&lt;&gt;"",ABS(H799-I799)&lt;=0.01,ABS(J799-K799)&lt;=0.01,L799=1),"一致","检查"))</x:f>
      </x:c>
      <x:c r="N799" s="64" t="str">
        <x:f>IF(A799="","",IF(COUNTIF($A$5:$A$1204,A799)&gt;1,"重复",""))</x:f>
      </x:c>
    </x:row>
    <x:row r="800">
      <x:c r="A800" s="62"/>
      <x:c r="B800" s="62"/>
      <x:c r="C800" s="62"/>
      <x:c r="D800" s="62"/>
      <x:c r="E800" s="62"/>
      <x:c r="F800" s="62"/>
      <x:c r="G800" s="66"/>
      <x:c r="H800" s="68"/>
      <x:c r="I800" s="68"/>
      <x:c r="J800" s="68"/>
      <x:c r="K800" s="68"/>
      <x:c r="L800" s="70"/>
      <x:c r="M800" s="64" t="str">
        <x:f>IF(A800="","",IF(AND(E800&lt;&gt;"",F800&lt;&gt;"",ABS(H800-I800)&lt;=0.01,ABS(J800-K800)&lt;=0.01,L800=1),"一致","检查"))</x:f>
      </x:c>
      <x:c r="N800" s="64" t="str">
        <x:f>IF(A800="","",IF(COUNTIF($A$5:$A$1204,A800)&gt;1,"重复",""))</x:f>
      </x:c>
    </x:row>
    <x:row r="801">
      <x:c r="A801" s="62"/>
      <x:c r="B801" s="62"/>
      <x:c r="C801" s="62"/>
      <x:c r="D801" s="62"/>
      <x:c r="E801" s="62"/>
      <x:c r="F801" s="62"/>
      <x:c r="G801" s="66"/>
      <x:c r="H801" s="68"/>
      <x:c r="I801" s="68"/>
      <x:c r="J801" s="68"/>
      <x:c r="K801" s="68"/>
      <x:c r="L801" s="70"/>
      <x:c r="M801" s="64" t="str">
        <x:f>IF(A801="","",IF(AND(E801&lt;&gt;"",F801&lt;&gt;"",ABS(H801-I801)&lt;=0.01,ABS(J801-K801)&lt;=0.01,L801=1),"一致","检查"))</x:f>
      </x:c>
      <x:c r="N801" s="64" t="str">
        <x:f>IF(A801="","",IF(COUNTIF($A$5:$A$1204,A801)&gt;1,"重复",""))</x:f>
      </x:c>
    </x:row>
    <x:row r="802">
      <x:c r="A802" s="62"/>
      <x:c r="B802" s="62"/>
      <x:c r="C802" s="62"/>
      <x:c r="D802" s="62"/>
      <x:c r="E802" s="62"/>
      <x:c r="F802" s="62"/>
      <x:c r="G802" s="66"/>
      <x:c r="H802" s="68"/>
      <x:c r="I802" s="68"/>
      <x:c r="J802" s="68"/>
      <x:c r="K802" s="68"/>
      <x:c r="L802" s="70"/>
      <x:c r="M802" s="64" t="str">
        <x:f>IF(A802="","",IF(AND(E802&lt;&gt;"",F802&lt;&gt;"",ABS(H802-I802)&lt;=0.01,ABS(J802-K802)&lt;=0.01,L802=1),"一致","检查"))</x:f>
      </x:c>
      <x:c r="N802" s="64" t="str">
        <x:f>IF(A802="","",IF(COUNTIF($A$5:$A$1204,A802)&gt;1,"重复",""))</x:f>
      </x:c>
    </x:row>
    <x:row r="803">
      <x:c r="A803" s="62"/>
      <x:c r="B803" s="62"/>
      <x:c r="C803" s="62"/>
      <x:c r="D803" s="62"/>
      <x:c r="E803" s="62"/>
      <x:c r="F803" s="62"/>
      <x:c r="G803" s="66"/>
      <x:c r="H803" s="68"/>
      <x:c r="I803" s="68"/>
      <x:c r="J803" s="68"/>
      <x:c r="K803" s="68"/>
      <x:c r="L803" s="70"/>
      <x:c r="M803" s="64" t="str">
        <x:f>IF(A803="","",IF(AND(E803&lt;&gt;"",F803&lt;&gt;"",ABS(H803-I803)&lt;=0.01,ABS(J803-K803)&lt;=0.01,L803=1),"一致","检查"))</x:f>
      </x:c>
      <x:c r="N803" s="64" t="str">
        <x:f>IF(A803="","",IF(COUNTIF($A$5:$A$1204,A803)&gt;1,"重复",""))</x:f>
      </x:c>
    </x:row>
    <x:row r="804">
      <x:c r="A804" s="62"/>
      <x:c r="B804" s="62"/>
      <x:c r="C804" s="62"/>
      <x:c r="D804" s="62"/>
      <x:c r="E804" s="62"/>
      <x:c r="F804" s="62"/>
      <x:c r="G804" s="66"/>
      <x:c r="H804" s="68"/>
      <x:c r="I804" s="68"/>
      <x:c r="J804" s="68"/>
      <x:c r="K804" s="68"/>
      <x:c r="L804" s="70"/>
      <x:c r="M804" s="64" t="str">
        <x:f>IF(A804="","",IF(AND(E804&lt;&gt;"",F804&lt;&gt;"",ABS(H804-I804)&lt;=0.01,ABS(J804-K804)&lt;=0.01,L804=1),"一致","检查"))</x:f>
      </x:c>
      <x:c r="N804" s="64" t="str">
        <x:f>IF(A804="","",IF(COUNTIF($A$5:$A$1204,A804)&gt;1,"重复",""))</x:f>
      </x:c>
    </x:row>
    <x:row r="805">
      <x:c r="A805" s="62"/>
      <x:c r="B805" s="62"/>
      <x:c r="C805" s="62"/>
      <x:c r="D805" s="62"/>
      <x:c r="E805" s="62"/>
      <x:c r="F805" s="62"/>
      <x:c r="G805" s="66"/>
      <x:c r="H805" s="68"/>
      <x:c r="I805" s="68"/>
      <x:c r="J805" s="68"/>
      <x:c r="K805" s="68"/>
      <x:c r="L805" s="70"/>
      <x:c r="M805" s="64" t="str">
        <x:f>IF(A805="","",IF(AND(E805&lt;&gt;"",F805&lt;&gt;"",ABS(H805-I805)&lt;=0.01,ABS(J805-K805)&lt;=0.01,L805=1),"一致","检查"))</x:f>
      </x:c>
      <x:c r="N805" s="64" t="str">
        <x:f>IF(A805="","",IF(COUNTIF($A$5:$A$1204,A805)&gt;1,"重复",""))</x:f>
      </x:c>
    </x:row>
    <x:row r="806">
      <x:c r="A806" s="62"/>
      <x:c r="B806" s="62"/>
      <x:c r="C806" s="62"/>
      <x:c r="D806" s="62"/>
      <x:c r="E806" s="62"/>
      <x:c r="F806" s="62"/>
      <x:c r="G806" s="66"/>
      <x:c r="H806" s="68"/>
      <x:c r="I806" s="68"/>
      <x:c r="J806" s="68"/>
      <x:c r="K806" s="68"/>
      <x:c r="L806" s="70"/>
      <x:c r="M806" s="64" t="str">
        <x:f>IF(A806="","",IF(AND(E806&lt;&gt;"",F806&lt;&gt;"",ABS(H806-I806)&lt;=0.01,ABS(J806-K806)&lt;=0.01,L806=1),"一致","检查"))</x:f>
      </x:c>
      <x:c r="N806" s="64" t="str">
        <x:f>IF(A806="","",IF(COUNTIF($A$5:$A$1204,A806)&gt;1,"重复",""))</x:f>
      </x:c>
    </x:row>
    <x:row r="807">
      <x:c r="A807" s="62"/>
      <x:c r="B807" s="62"/>
      <x:c r="C807" s="62"/>
      <x:c r="D807" s="62"/>
      <x:c r="E807" s="62"/>
      <x:c r="F807" s="62"/>
      <x:c r="G807" s="66"/>
      <x:c r="H807" s="68"/>
      <x:c r="I807" s="68"/>
      <x:c r="J807" s="68"/>
      <x:c r="K807" s="68"/>
      <x:c r="L807" s="70"/>
      <x:c r="M807" s="64" t="str">
        <x:f>IF(A807="","",IF(AND(E807&lt;&gt;"",F807&lt;&gt;"",ABS(H807-I807)&lt;=0.01,ABS(J807-K807)&lt;=0.01,L807=1),"一致","检查"))</x:f>
      </x:c>
      <x:c r="N807" s="64" t="str">
        <x:f>IF(A807="","",IF(COUNTIF($A$5:$A$1204,A807)&gt;1,"重复",""))</x:f>
      </x:c>
    </x:row>
    <x:row r="808">
      <x:c r="A808" s="62"/>
      <x:c r="B808" s="62"/>
      <x:c r="C808" s="62"/>
      <x:c r="D808" s="62"/>
      <x:c r="E808" s="62"/>
      <x:c r="F808" s="62"/>
      <x:c r="G808" s="66"/>
      <x:c r="H808" s="68"/>
      <x:c r="I808" s="68"/>
      <x:c r="J808" s="68"/>
      <x:c r="K808" s="68"/>
      <x:c r="L808" s="70"/>
      <x:c r="M808" s="64" t="str">
        <x:f>IF(A808="","",IF(AND(E808&lt;&gt;"",F808&lt;&gt;"",ABS(H808-I808)&lt;=0.01,ABS(J808-K808)&lt;=0.01,L808=1),"一致","检查"))</x:f>
      </x:c>
      <x:c r="N808" s="64" t="str">
        <x:f>IF(A808="","",IF(COUNTIF($A$5:$A$1204,A808)&gt;1,"重复",""))</x:f>
      </x:c>
    </x:row>
    <x:row r="809">
      <x:c r="A809" s="62"/>
      <x:c r="B809" s="62"/>
      <x:c r="C809" s="62"/>
      <x:c r="D809" s="62"/>
      <x:c r="E809" s="62"/>
      <x:c r="F809" s="62"/>
      <x:c r="G809" s="66"/>
      <x:c r="H809" s="68"/>
      <x:c r="I809" s="68"/>
      <x:c r="J809" s="68"/>
      <x:c r="K809" s="68"/>
      <x:c r="L809" s="70"/>
      <x:c r="M809" s="64" t="str">
        <x:f>IF(A809="","",IF(AND(E809&lt;&gt;"",F809&lt;&gt;"",ABS(H809-I809)&lt;=0.01,ABS(J809-K809)&lt;=0.01,L809=1),"一致","检查"))</x:f>
      </x:c>
      <x:c r="N809" s="64" t="str">
        <x:f>IF(A809="","",IF(COUNTIF($A$5:$A$1204,A809)&gt;1,"重复",""))</x:f>
      </x:c>
    </x:row>
    <x:row r="810">
      <x:c r="A810" s="62"/>
      <x:c r="B810" s="62"/>
      <x:c r="C810" s="62"/>
      <x:c r="D810" s="62"/>
      <x:c r="E810" s="62"/>
      <x:c r="F810" s="62"/>
      <x:c r="G810" s="66"/>
      <x:c r="H810" s="68"/>
      <x:c r="I810" s="68"/>
      <x:c r="J810" s="68"/>
      <x:c r="K810" s="68"/>
      <x:c r="L810" s="70"/>
      <x:c r="M810" s="64" t="str">
        <x:f>IF(A810="","",IF(AND(E810&lt;&gt;"",F810&lt;&gt;"",ABS(H810-I810)&lt;=0.01,ABS(J810-K810)&lt;=0.01,L810=1),"一致","检查"))</x:f>
      </x:c>
      <x:c r="N810" s="64" t="str">
        <x:f>IF(A810="","",IF(COUNTIF($A$5:$A$1204,A810)&gt;1,"重复",""))</x:f>
      </x:c>
    </x:row>
    <x:row r="811">
      <x:c r="A811" s="62"/>
      <x:c r="B811" s="62"/>
      <x:c r="C811" s="62"/>
      <x:c r="D811" s="62"/>
      <x:c r="E811" s="62"/>
      <x:c r="F811" s="62"/>
      <x:c r="G811" s="66"/>
      <x:c r="H811" s="68"/>
      <x:c r="I811" s="68"/>
      <x:c r="J811" s="68"/>
      <x:c r="K811" s="68"/>
      <x:c r="L811" s="70"/>
      <x:c r="M811" s="64" t="str">
        <x:f>IF(A811="","",IF(AND(E811&lt;&gt;"",F811&lt;&gt;"",ABS(H811-I811)&lt;=0.01,ABS(J811-K811)&lt;=0.01,L811=1),"一致","检查"))</x:f>
      </x:c>
      <x:c r="N811" s="64" t="str">
        <x:f>IF(A811="","",IF(COUNTIF($A$5:$A$1204,A811)&gt;1,"重复",""))</x:f>
      </x:c>
    </x:row>
    <x:row r="812">
      <x:c r="A812" s="62"/>
      <x:c r="B812" s="62"/>
      <x:c r="C812" s="62"/>
      <x:c r="D812" s="62"/>
      <x:c r="E812" s="62"/>
      <x:c r="F812" s="62"/>
      <x:c r="G812" s="66"/>
      <x:c r="H812" s="68"/>
      <x:c r="I812" s="68"/>
      <x:c r="J812" s="68"/>
      <x:c r="K812" s="68"/>
      <x:c r="L812" s="70"/>
      <x:c r="M812" s="64" t="str">
        <x:f>IF(A812="","",IF(AND(E812&lt;&gt;"",F812&lt;&gt;"",ABS(H812-I812)&lt;=0.01,ABS(J812-K812)&lt;=0.01,L812=1),"一致","检查"))</x:f>
      </x:c>
      <x:c r="N812" s="64" t="str">
        <x:f>IF(A812="","",IF(COUNTIF($A$5:$A$1204,A812)&gt;1,"重复",""))</x:f>
      </x:c>
    </x:row>
    <x:row r="813">
      <x:c r="A813" s="62"/>
      <x:c r="B813" s="62"/>
      <x:c r="C813" s="62"/>
      <x:c r="D813" s="62"/>
      <x:c r="E813" s="62"/>
      <x:c r="F813" s="62"/>
      <x:c r="G813" s="66"/>
      <x:c r="H813" s="68"/>
      <x:c r="I813" s="68"/>
      <x:c r="J813" s="68"/>
      <x:c r="K813" s="68"/>
      <x:c r="L813" s="70"/>
      <x:c r="M813" s="64" t="str">
        <x:f>IF(A813="","",IF(AND(E813&lt;&gt;"",F813&lt;&gt;"",ABS(H813-I813)&lt;=0.01,ABS(J813-K813)&lt;=0.01,L813=1),"一致","检查"))</x:f>
      </x:c>
      <x:c r="N813" s="64" t="str">
        <x:f>IF(A813="","",IF(COUNTIF($A$5:$A$1204,A813)&gt;1,"重复",""))</x:f>
      </x:c>
    </x:row>
    <x:row r="814">
      <x:c r="A814" s="62"/>
      <x:c r="B814" s="62"/>
      <x:c r="C814" s="62"/>
      <x:c r="D814" s="62"/>
      <x:c r="E814" s="62"/>
      <x:c r="F814" s="62"/>
      <x:c r="G814" s="66"/>
      <x:c r="H814" s="68"/>
      <x:c r="I814" s="68"/>
      <x:c r="J814" s="68"/>
      <x:c r="K814" s="68"/>
      <x:c r="L814" s="70"/>
      <x:c r="M814" s="64" t="str">
        <x:f>IF(A814="","",IF(AND(E814&lt;&gt;"",F814&lt;&gt;"",ABS(H814-I814)&lt;=0.01,ABS(J814-K814)&lt;=0.01,L814=1),"一致","检查"))</x:f>
      </x:c>
      <x:c r="N814" s="64" t="str">
        <x:f>IF(A814="","",IF(COUNTIF($A$5:$A$1204,A814)&gt;1,"重复",""))</x:f>
      </x:c>
    </x:row>
    <x:row r="815">
      <x:c r="A815" s="62"/>
      <x:c r="B815" s="62"/>
      <x:c r="C815" s="62"/>
      <x:c r="D815" s="62"/>
      <x:c r="E815" s="62"/>
      <x:c r="F815" s="62"/>
      <x:c r="G815" s="66"/>
      <x:c r="H815" s="68"/>
      <x:c r="I815" s="68"/>
      <x:c r="J815" s="68"/>
      <x:c r="K815" s="68"/>
      <x:c r="L815" s="70"/>
      <x:c r="M815" s="64" t="str">
        <x:f>IF(A815="","",IF(AND(E815&lt;&gt;"",F815&lt;&gt;"",ABS(H815-I815)&lt;=0.01,ABS(J815-K815)&lt;=0.01,L815=1),"一致","检查"))</x:f>
      </x:c>
      <x:c r="N815" s="64" t="str">
        <x:f>IF(A815="","",IF(COUNTIF($A$5:$A$1204,A815)&gt;1,"重复",""))</x:f>
      </x:c>
    </x:row>
    <x:row r="816">
      <x:c r="A816" s="62"/>
      <x:c r="B816" s="62"/>
      <x:c r="C816" s="62"/>
      <x:c r="D816" s="62"/>
      <x:c r="E816" s="62"/>
      <x:c r="F816" s="62"/>
      <x:c r="G816" s="66"/>
      <x:c r="H816" s="68"/>
      <x:c r="I816" s="68"/>
      <x:c r="J816" s="68"/>
      <x:c r="K816" s="68"/>
      <x:c r="L816" s="70"/>
      <x:c r="M816" s="64" t="str">
        <x:f>IF(A816="","",IF(AND(E816&lt;&gt;"",F816&lt;&gt;"",ABS(H816-I816)&lt;=0.01,ABS(J816-K816)&lt;=0.01,L816=1),"一致","检查"))</x:f>
      </x:c>
      <x:c r="N816" s="64" t="str">
        <x:f>IF(A816="","",IF(COUNTIF($A$5:$A$1204,A816)&gt;1,"重复",""))</x:f>
      </x:c>
    </x:row>
    <x:row r="817">
      <x:c r="A817" s="62"/>
      <x:c r="B817" s="62"/>
      <x:c r="C817" s="62"/>
      <x:c r="D817" s="62"/>
      <x:c r="E817" s="62"/>
      <x:c r="F817" s="62"/>
      <x:c r="G817" s="66"/>
      <x:c r="H817" s="68"/>
      <x:c r="I817" s="68"/>
      <x:c r="J817" s="68"/>
      <x:c r="K817" s="68"/>
      <x:c r="L817" s="70"/>
      <x:c r="M817" s="64" t="str">
        <x:f>IF(A817="","",IF(AND(E817&lt;&gt;"",F817&lt;&gt;"",ABS(H817-I817)&lt;=0.01,ABS(J817-K817)&lt;=0.01,L817=1),"一致","检查"))</x:f>
      </x:c>
      <x:c r="N817" s="64" t="str">
        <x:f>IF(A817="","",IF(COUNTIF($A$5:$A$1204,A817)&gt;1,"重复",""))</x:f>
      </x:c>
    </x:row>
    <x:row r="818">
      <x:c r="A818" s="62"/>
      <x:c r="B818" s="62"/>
      <x:c r="C818" s="62"/>
      <x:c r="D818" s="62"/>
      <x:c r="E818" s="62"/>
      <x:c r="F818" s="62"/>
      <x:c r="G818" s="66"/>
      <x:c r="H818" s="68"/>
      <x:c r="I818" s="68"/>
      <x:c r="J818" s="68"/>
      <x:c r="K818" s="68"/>
      <x:c r="L818" s="70"/>
      <x:c r="M818" s="64" t="str">
        <x:f>IF(A818="","",IF(AND(E818&lt;&gt;"",F818&lt;&gt;"",ABS(H818-I818)&lt;=0.01,ABS(J818-K818)&lt;=0.01,L818=1),"一致","检查"))</x:f>
      </x:c>
      <x:c r="N818" s="64" t="str">
        <x:f>IF(A818="","",IF(COUNTIF($A$5:$A$1204,A818)&gt;1,"重复",""))</x:f>
      </x:c>
    </x:row>
    <x:row r="819">
      <x:c r="A819" s="62"/>
      <x:c r="B819" s="62"/>
      <x:c r="C819" s="62"/>
      <x:c r="D819" s="62"/>
      <x:c r="E819" s="62"/>
      <x:c r="F819" s="62"/>
      <x:c r="G819" s="66"/>
      <x:c r="H819" s="68"/>
      <x:c r="I819" s="68"/>
      <x:c r="J819" s="68"/>
      <x:c r="K819" s="68"/>
      <x:c r="L819" s="70"/>
      <x:c r="M819" s="64" t="str">
        <x:f>IF(A819="","",IF(AND(E819&lt;&gt;"",F819&lt;&gt;"",ABS(H819-I819)&lt;=0.01,ABS(J819-K819)&lt;=0.01,L819=1),"一致","检查"))</x:f>
      </x:c>
      <x:c r="N819" s="64" t="str">
        <x:f>IF(A819="","",IF(COUNTIF($A$5:$A$1204,A819)&gt;1,"重复",""))</x:f>
      </x:c>
    </x:row>
    <x:row r="820">
      <x:c r="A820" s="62"/>
      <x:c r="B820" s="62"/>
      <x:c r="C820" s="62"/>
      <x:c r="D820" s="62"/>
      <x:c r="E820" s="62"/>
      <x:c r="F820" s="62"/>
      <x:c r="G820" s="66"/>
      <x:c r="H820" s="68"/>
      <x:c r="I820" s="68"/>
      <x:c r="J820" s="68"/>
      <x:c r="K820" s="68"/>
      <x:c r="L820" s="70"/>
      <x:c r="M820" s="64" t="str">
        <x:f>IF(A820="","",IF(AND(E820&lt;&gt;"",F820&lt;&gt;"",ABS(H820-I820)&lt;=0.01,ABS(J820-K820)&lt;=0.01,L820=1),"一致","检查"))</x:f>
      </x:c>
      <x:c r="N820" s="64" t="str">
        <x:f>IF(A820="","",IF(COUNTIF($A$5:$A$1204,A820)&gt;1,"重复",""))</x:f>
      </x:c>
    </x:row>
    <x:row r="821">
      <x:c r="A821" s="62"/>
      <x:c r="B821" s="62"/>
      <x:c r="C821" s="62"/>
      <x:c r="D821" s="62"/>
      <x:c r="E821" s="62"/>
      <x:c r="F821" s="62"/>
      <x:c r="G821" s="66"/>
      <x:c r="H821" s="68"/>
      <x:c r="I821" s="68"/>
      <x:c r="J821" s="68"/>
      <x:c r="K821" s="68"/>
      <x:c r="L821" s="70"/>
      <x:c r="M821" s="64" t="str">
        <x:f>IF(A821="","",IF(AND(E821&lt;&gt;"",F821&lt;&gt;"",ABS(H821-I821)&lt;=0.01,ABS(J821-K821)&lt;=0.01,L821=1),"一致","检查"))</x:f>
      </x:c>
      <x:c r="N821" s="64" t="str">
        <x:f>IF(A821="","",IF(COUNTIF($A$5:$A$1204,A821)&gt;1,"重复",""))</x:f>
      </x:c>
    </x:row>
    <x:row r="822">
      <x:c r="A822" s="62"/>
      <x:c r="B822" s="62"/>
      <x:c r="C822" s="62"/>
      <x:c r="D822" s="62"/>
      <x:c r="E822" s="62"/>
      <x:c r="F822" s="62"/>
      <x:c r="G822" s="66"/>
      <x:c r="H822" s="68"/>
      <x:c r="I822" s="68"/>
      <x:c r="J822" s="68"/>
      <x:c r="K822" s="68"/>
      <x:c r="L822" s="70"/>
      <x:c r="M822" s="64" t="str">
        <x:f>IF(A822="","",IF(AND(E822&lt;&gt;"",F822&lt;&gt;"",ABS(H822-I822)&lt;=0.01,ABS(J822-K822)&lt;=0.01,L822=1),"一致","检查"))</x:f>
      </x:c>
      <x:c r="N822" s="64" t="str">
        <x:f>IF(A822="","",IF(COUNTIF($A$5:$A$1204,A822)&gt;1,"重复",""))</x:f>
      </x:c>
    </x:row>
    <x:row r="823">
      <x:c r="A823" s="62"/>
      <x:c r="B823" s="62"/>
      <x:c r="C823" s="62"/>
      <x:c r="D823" s="62"/>
      <x:c r="E823" s="62"/>
      <x:c r="F823" s="62"/>
      <x:c r="G823" s="66"/>
      <x:c r="H823" s="68"/>
      <x:c r="I823" s="68"/>
      <x:c r="J823" s="68"/>
      <x:c r="K823" s="68"/>
      <x:c r="L823" s="70"/>
      <x:c r="M823" s="64" t="str">
        <x:f>IF(A823="","",IF(AND(E823&lt;&gt;"",F823&lt;&gt;"",ABS(H823-I823)&lt;=0.01,ABS(J823-K823)&lt;=0.01,L823=1),"一致","检查"))</x:f>
      </x:c>
      <x:c r="N823" s="64" t="str">
        <x:f>IF(A823="","",IF(COUNTIF($A$5:$A$1204,A823)&gt;1,"重复",""))</x:f>
      </x:c>
    </x:row>
    <x:row r="824">
      <x:c r="A824" s="62"/>
      <x:c r="B824" s="62"/>
      <x:c r="C824" s="62"/>
      <x:c r="D824" s="62"/>
      <x:c r="E824" s="62"/>
      <x:c r="F824" s="62"/>
      <x:c r="G824" s="66"/>
      <x:c r="H824" s="68"/>
      <x:c r="I824" s="68"/>
      <x:c r="J824" s="68"/>
      <x:c r="K824" s="68"/>
      <x:c r="L824" s="70"/>
      <x:c r="M824" s="64" t="str">
        <x:f>IF(A824="","",IF(AND(E824&lt;&gt;"",F824&lt;&gt;"",ABS(H824-I824)&lt;=0.01,ABS(J824-K824)&lt;=0.01,L824=1),"一致","检查"))</x:f>
      </x:c>
      <x:c r="N824" s="64" t="str">
        <x:f>IF(A824="","",IF(COUNTIF($A$5:$A$1204,A824)&gt;1,"重复",""))</x:f>
      </x:c>
    </x:row>
    <x:row r="825">
      <x:c r="A825" s="62"/>
      <x:c r="B825" s="62"/>
      <x:c r="C825" s="62"/>
      <x:c r="D825" s="62"/>
      <x:c r="E825" s="62"/>
      <x:c r="F825" s="62"/>
      <x:c r="G825" s="66"/>
      <x:c r="H825" s="68"/>
      <x:c r="I825" s="68"/>
      <x:c r="J825" s="68"/>
      <x:c r="K825" s="68"/>
      <x:c r="L825" s="70"/>
      <x:c r="M825" s="64" t="str">
        <x:f>IF(A825="","",IF(AND(E825&lt;&gt;"",F825&lt;&gt;"",ABS(H825-I825)&lt;=0.01,ABS(J825-K825)&lt;=0.01,L825=1),"一致","检查"))</x:f>
      </x:c>
      <x:c r="N825" s="64" t="str">
        <x:f>IF(A825="","",IF(COUNTIF($A$5:$A$1204,A825)&gt;1,"重复",""))</x:f>
      </x:c>
    </x:row>
    <x:row r="826">
      <x:c r="A826" s="62"/>
      <x:c r="B826" s="62"/>
      <x:c r="C826" s="62"/>
      <x:c r="D826" s="62"/>
      <x:c r="E826" s="62"/>
      <x:c r="F826" s="62"/>
      <x:c r="G826" s="66"/>
      <x:c r="H826" s="68"/>
      <x:c r="I826" s="68"/>
      <x:c r="J826" s="68"/>
      <x:c r="K826" s="68"/>
      <x:c r="L826" s="70"/>
      <x:c r="M826" s="64" t="str">
        <x:f>IF(A826="","",IF(AND(E826&lt;&gt;"",F826&lt;&gt;"",ABS(H826-I826)&lt;=0.01,ABS(J826-K826)&lt;=0.01,L826=1),"一致","检查"))</x:f>
      </x:c>
      <x:c r="N826" s="64" t="str">
        <x:f>IF(A826="","",IF(COUNTIF($A$5:$A$1204,A826)&gt;1,"重复",""))</x:f>
      </x:c>
    </x:row>
    <x:row r="827">
      <x:c r="A827" s="62"/>
      <x:c r="B827" s="62"/>
      <x:c r="C827" s="62"/>
      <x:c r="D827" s="62"/>
      <x:c r="E827" s="62"/>
      <x:c r="F827" s="62"/>
      <x:c r="G827" s="66"/>
      <x:c r="H827" s="68"/>
      <x:c r="I827" s="68"/>
      <x:c r="J827" s="68"/>
      <x:c r="K827" s="68"/>
      <x:c r="L827" s="70"/>
      <x:c r="M827" s="64" t="str">
        <x:f>IF(A827="","",IF(AND(E827&lt;&gt;"",F827&lt;&gt;"",ABS(H827-I827)&lt;=0.01,ABS(J827-K827)&lt;=0.01,L827=1),"一致","检查"))</x:f>
      </x:c>
      <x:c r="N827" s="64" t="str">
        <x:f>IF(A827="","",IF(COUNTIF($A$5:$A$1204,A827)&gt;1,"重复",""))</x:f>
      </x:c>
    </x:row>
    <x:row r="828">
      <x:c r="A828" s="62"/>
      <x:c r="B828" s="62"/>
      <x:c r="C828" s="62"/>
      <x:c r="D828" s="62"/>
      <x:c r="E828" s="62"/>
      <x:c r="F828" s="62"/>
      <x:c r="G828" s="66"/>
      <x:c r="H828" s="68"/>
      <x:c r="I828" s="68"/>
      <x:c r="J828" s="68"/>
      <x:c r="K828" s="68"/>
      <x:c r="L828" s="70"/>
      <x:c r="M828" s="64" t="str">
        <x:f>IF(A828="","",IF(AND(E828&lt;&gt;"",F828&lt;&gt;"",ABS(H828-I828)&lt;=0.01,ABS(J828-K828)&lt;=0.01,L828=1),"一致","检查"))</x:f>
      </x:c>
      <x:c r="N828" s="64" t="str">
        <x:f>IF(A828="","",IF(COUNTIF($A$5:$A$1204,A828)&gt;1,"重复",""))</x:f>
      </x:c>
    </x:row>
    <x:row r="829">
      <x:c r="A829" s="62"/>
      <x:c r="B829" s="62"/>
      <x:c r="C829" s="62"/>
      <x:c r="D829" s="62"/>
      <x:c r="E829" s="62"/>
      <x:c r="F829" s="62"/>
      <x:c r="G829" s="66"/>
      <x:c r="H829" s="68"/>
      <x:c r="I829" s="68"/>
      <x:c r="J829" s="68"/>
      <x:c r="K829" s="68"/>
      <x:c r="L829" s="70"/>
      <x:c r="M829" s="64" t="str">
        <x:f>IF(A829="","",IF(AND(E829&lt;&gt;"",F829&lt;&gt;"",ABS(H829-I829)&lt;=0.01,ABS(J829-K829)&lt;=0.01,L829=1),"一致","检查"))</x:f>
      </x:c>
      <x:c r="N829" s="64" t="str">
        <x:f>IF(A829="","",IF(COUNTIF($A$5:$A$1204,A829)&gt;1,"重复",""))</x:f>
      </x:c>
    </x:row>
    <x:row r="830">
      <x:c r="A830" s="62"/>
      <x:c r="B830" s="62"/>
      <x:c r="C830" s="62"/>
      <x:c r="D830" s="62"/>
      <x:c r="E830" s="62"/>
      <x:c r="F830" s="62"/>
      <x:c r="G830" s="66"/>
      <x:c r="H830" s="68"/>
      <x:c r="I830" s="68"/>
      <x:c r="J830" s="68"/>
      <x:c r="K830" s="68"/>
      <x:c r="L830" s="70"/>
      <x:c r="M830" s="64" t="str">
        <x:f>IF(A830="","",IF(AND(E830&lt;&gt;"",F830&lt;&gt;"",ABS(H830-I830)&lt;=0.01,ABS(J830-K830)&lt;=0.01,L830=1),"一致","检查"))</x:f>
      </x:c>
      <x:c r="N830" s="64" t="str">
        <x:f>IF(A830="","",IF(COUNTIF($A$5:$A$1204,A830)&gt;1,"重复",""))</x:f>
      </x:c>
    </x:row>
    <x:row r="831">
      <x:c r="A831" s="62"/>
      <x:c r="B831" s="62"/>
      <x:c r="C831" s="62"/>
      <x:c r="D831" s="62"/>
      <x:c r="E831" s="62"/>
      <x:c r="F831" s="62"/>
      <x:c r="G831" s="66"/>
      <x:c r="H831" s="68"/>
      <x:c r="I831" s="68"/>
      <x:c r="J831" s="68"/>
      <x:c r="K831" s="68"/>
      <x:c r="L831" s="70"/>
      <x:c r="M831" s="64" t="str">
        <x:f>IF(A831="","",IF(AND(E831&lt;&gt;"",F831&lt;&gt;"",ABS(H831-I831)&lt;=0.01,ABS(J831-K831)&lt;=0.01,L831=1),"一致","检查"))</x:f>
      </x:c>
      <x:c r="N831" s="64" t="str">
        <x:f>IF(A831="","",IF(COUNTIF($A$5:$A$1204,A831)&gt;1,"重复",""))</x:f>
      </x:c>
    </x:row>
    <x:row r="832">
      <x:c r="A832" s="62"/>
      <x:c r="B832" s="62"/>
      <x:c r="C832" s="62"/>
      <x:c r="D832" s="62"/>
      <x:c r="E832" s="62"/>
      <x:c r="F832" s="62"/>
      <x:c r="G832" s="66"/>
      <x:c r="H832" s="68"/>
      <x:c r="I832" s="68"/>
      <x:c r="J832" s="68"/>
      <x:c r="K832" s="68"/>
      <x:c r="L832" s="70"/>
      <x:c r="M832" s="64" t="str">
        <x:f>IF(A832="","",IF(AND(E832&lt;&gt;"",F832&lt;&gt;"",ABS(H832-I832)&lt;=0.01,ABS(J832-K832)&lt;=0.01,L832=1),"一致","检查"))</x:f>
      </x:c>
      <x:c r="N832" s="64" t="str">
        <x:f>IF(A832="","",IF(COUNTIF($A$5:$A$1204,A832)&gt;1,"重复",""))</x:f>
      </x:c>
    </x:row>
    <x:row r="833">
      <x:c r="A833" s="62"/>
      <x:c r="B833" s="62"/>
      <x:c r="C833" s="62"/>
      <x:c r="D833" s="62"/>
      <x:c r="E833" s="62"/>
      <x:c r="F833" s="62"/>
      <x:c r="G833" s="66"/>
      <x:c r="H833" s="68"/>
      <x:c r="I833" s="68"/>
      <x:c r="J833" s="68"/>
      <x:c r="K833" s="68"/>
      <x:c r="L833" s="70"/>
      <x:c r="M833" s="64" t="str">
        <x:f>IF(A833="","",IF(AND(E833&lt;&gt;"",F833&lt;&gt;"",ABS(H833-I833)&lt;=0.01,ABS(J833-K833)&lt;=0.01,L833=1),"一致","检查"))</x:f>
      </x:c>
      <x:c r="N833" s="64" t="str">
        <x:f>IF(A833="","",IF(COUNTIF($A$5:$A$1204,A833)&gt;1,"重复",""))</x:f>
      </x:c>
    </x:row>
    <x:row r="834">
      <x:c r="A834" s="62"/>
      <x:c r="B834" s="62"/>
      <x:c r="C834" s="62"/>
      <x:c r="D834" s="62"/>
      <x:c r="E834" s="62"/>
      <x:c r="F834" s="62"/>
      <x:c r="G834" s="66"/>
      <x:c r="H834" s="68"/>
      <x:c r="I834" s="68"/>
      <x:c r="J834" s="68"/>
      <x:c r="K834" s="68"/>
      <x:c r="L834" s="70"/>
      <x:c r="M834" s="64" t="str">
        <x:f>IF(A834="","",IF(AND(E834&lt;&gt;"",F834&lt;&gt;"",ABS(H834-I834)&lt;=0.01,ABS(J834-K834)&lt;=0.01,L834=1),"一致","检查"))</x:f>
      </x:c>
      <x:c r="N834" s="64" t="str">
        <x:f>IF(A834="","",IF(COUNTIF($A$5:$A$1204,A834)&gt;1,"重复",""))</x:f>
      </x:c>
    </x:row>
    <x:row r="835">
      <x:c r="A835" s="62"/>
      <x:c r="B835" s="62"/>
      <x:c r="C835" s="62"/>
      <x:c r="D835" s="62"/>
      <x:c r="E835" s="62"/>
      <x:c r="F835" s="62"/>
      <x:c r="G835" s="66"/>
      <x:c r="H835" s="68"/>
      <x:c r="I835" s="68"/>
      <x:c r="J835" s="68"/>
      <x:c r="K835" s="68"/>
      <x:c r="L835" s="70"/>
      <x:c r="M835" s="64" t="str">
        <x:f>IF(A835="","",IF(AND(E835&lt;&gt;"",F835&lt;&gt;"",ABS(H835-I835)&lt;=0.01,ABS(J835-K835)&lt;=0.01,L835=1),"一致","检查"))</x:f>
      </x:c>
      <x:c r="N835" s="64" t="str">
        <x:f>IF(A835="","",IF(COUNTIF($A$5:$A$1204,A835)&gt;1,"重复",""))</x:f>
      </x:c>
    </x:row>
    <x:row r="836">
      <x:c r="A836" s="62"/>
      <x:c r="B836" s="62"/>
      <x:c r="C836" s="62"/>
      <x:c r="D836" s="62"/>
      <x:c r="E836" s="62"/>
      <x:c r="F836" s="62"/>
      <x:c r="G836" s="66"/>
      <x:c r="H836" s="68"/>
      <x:c r="I836" s="68"/>
      <x:c r="J836" s="68"/>
      <x:c r="K836" s="68"/>
      <x:c r="L836" s="70"/>
      <x:c r="M836" s="64" t="str">
        <x:f>IF(A836="","",IF(AND(E836&lt;&gt;"",F836&lt;&gt;"",ABS(H836-I836)&lt;=0.01,ABS(J836-K836)&lt;=0.01,L836=1),"一致","检查"))</x:f>
      </x:c>
      <x:c r="N836" s="64" t="str">
        <x:f>IF(A836="","",IF(COUNTIF($A$5:$A$1204,A836)&gt;1,"重复",""))</x:f>
      </x:c>
    </x:row>
    <x:row r="837">
      <x:c r="A837" s="62"/>
      <x:c r="B837" s="62"/>
      <x:c r="C837" s="62"/>
      <x:c r="D837" s="62"/>
      <x:c r="E837" s="62"/>
      <x:c r="F837" s="62"/>
      <x:c r="G837" s="66"/>
      <x:c r="H837" s="68"/>
      <x:c r="I837" s="68"/>
      <x:c r="J837" s="68"/>
      <x:c r="K837" s="68"/>
      <x:c r="L837" s="70"/>
      <x:c r="M837" s="64" t="str">
        <x:f>IF(A837="","",IF(AND(E837&lt;&gt;"",F837&lt;&gt;"",ABS(H837-I837)&lt;=0.01,ABS(J837-K837)&lt;=0.01,L837=1),"一致","检查"))</x:f>
      </x:c>
      <x:c r="N837" s="64" t="str">
        <x:f>IF(A837="","",IF(COUNTIF($A$5:$A$1204,A837)&gt;1,"重复",""))</x:f>
      </x:c>
    </x:row>
    <x:row r="838">
      <x:c r="A838" s="62"/>
      <x:c r="B838" s="62"/>
      <x:c r="C838" s="62"/>
      <x:c r="D838" s="62"/>
      <x:c r="E838" s="62"/>
      <x:c r="F838" s="62"/>
      <x:c r="G838" s="66"/>
      <x:c r="H838" s="68"/>
      <x:c r="I838" s="68"/>
      <x:c r="J838" s="68"/>
      <x:c r="K838" s="68"/>
      <x:c r="L838" s="70"/>
      <x:c r="M838" s="64" t="str">
        <x:f>IF(A838="","",IF(AND(E838&lt;&gt;"",F838&lt;&gt;"",ABS(H838-I838)&lt;=0.01,ABS(J838-K838)&lt;=0.01,L838=1),"一致","检查"))</x:f>
      </x:c>
      <x:c r="N838" s="64" t="str">
        <x:f>IF(A838="","",IF(COUNTIF($A$5:$A$1204,A838)&gt;1,"重复",""))</x:f>
      </x:c>
    </x:row>
    <x:row r="839">
      <x:c r="A839" s="62"/>
      <x:c r="B839" s="62"/>
      <x:c r="C839" s="62"/>
      <x:c r="D839" s="62"/>
      <x:c r="E839" s="62"/>
      <x:c r="F839" s="62"/>
      <x:c r="G839" s="66"/>
      <x:c r="H839" s="68"/>
      <x:c r="I839" s="68"/>
      <x:c r="J839" s="68"/>
      <x:c r="K839" s="68"/>
      <x:c r="L839" s="70"/>
      <x:c r="M839" s="64" t="str">
        <x:f>IF(A839="","",IF(AND(E839&lt;&gt;"",F839&lt;&gt;"",ABS(H839-I839)&lt;=0.01,ABS(J839-K839)&lt;=0.01,L839=1),"一致","检查"))</x:f>
      </x:c>
      <x:c r="N839" s="64" t="str">
        <x:f>IF(A839="","",IF(COUNTIF($A$5:$A$1204,A839)&gt;1,"重复",""))</x:f>
      </x:c>
    </x:row>
    <x:row r="840">
      <x:c r="A840" s="62"/>
      <x:c r="B840" s="62"/>
      <x:c r="C840" s="62"/>
      <x:c r="D840" s="62"/>
      <x:c r="E840" s="62"/>
      <x:c r="F840" s="62"/>
      <x:c r="G840" s="66"/>
      <x:c r="H840" s="68"/>
      <x:c r="I840" s="68"/>
      <x:c r="J840" s="68"/>
      <x:c r="K840" s="68"/>
      <x:c r="L840" s="70"/>
      <x:c r="M840" s="64" t="str">
        <x:f>IF(A840="","",IF(AND(E840&lt;&gt;"",F840&lt;&gt;"",ABS(H840-I840)&lt;=0.01,ABS(J840-K840)&lt;=0.01,L840=1),"一致","检查"))</x:f>
      </x:c>
      <x:c r="N840" s="64" t="str">
        <x:f>IF(A840="","",IF(COUNTIF($A$5:$A$1204,A840)&gt;1,"重复",""))</x:f>
      </x:c>
    </x:row>
    <x:row r="841">
      <x:c r="A841" s="62"/>
      <x:c r="B841" s="62"/>
      <x:c r="C841" s="62"/>
      <x:c r="D841" s="62"/>
      <x:c r="E841" s="62"/>
      <x:c r="F841" s="62"/>
      <x:c r="G841" s="66"/>
      <x:c r="H841" s="68"/>
      <x:c r="I841" s="68"/>
      <x:c r="J841" s="68"/>
      <x:c r="K841" s="68"/>
      <x:c r="L841" s="70"/>
      <x:c r="M841" s="64" t="str">
        <x:f>IF(A841="","",IF(AND(E841&lt;&gt;"",F841&lt;&gt;"",ABS(H841-I841)&lt;=0.01,ABS(J841-K841)&lt;=0.01,L841=1),"一致","检查"))</x:f>
      </x:c>
      <x:c r="N841" s="64" t="str">
        <x:f>IF(A841="","",IF(COUNTIF($A$5:$A$1204,A841)&gt;1,"重复",""))</x:f>
      </x:c>
    </x:row>
    <x:row r="842">
      <x:c r="A842" s="62"/>
      <x:c r="B842" s="62"/>
      <x:c r="C842" s="62"/>
      <x:c r="D842" s="62"/>
      <x:c r="E842" s="62"/>
      <x:c r="F842" s="62"/>
      <x:c r="G842" s="66"/>
      <x:c r="H842" s="68"/>
      <x:c r="I842" s="68"/>
      <x:c r="J842" s="68"/>
      <x:c r="K842" s="68"/>
      <x:c r="L842" s="70"/>
      <x:c r="M842" s="64" t="str">
        <x:f>IF(A842="","",IF(AND(E842&lt;&gt;"",F842&lt;&gt;"",ABS(H842-I842)&lt;=0.01,ABS(J842-K842)&lt;=0.01,L842=1),"一致","检查"))</x:f>
      </x:c>
      <x:c r="N842" s="64" t="str">
        <x:f>IF(A842="","",IF(COUNTIF($A$5:$A$1204,A842)&gt;1,"重复",""))</x:f>
      </x:c>
    </x:row>
    <x:row r="843">
      <x:c r="A843" s="62"/>
      <x:c r="B843" s="62"/>
      <x:c r="C843" s="62"/>
      <x:c r="D843" s="62"/>
      <x:c r="E843" s="62"/>
      <x:c r="F843" s="62"/>
      <x:c r="G843" s="66"/>
      <x:c r="H843" s="68"/>
      <x:c r="I843" s="68"/>
      <x:c r="J843" s="68"/>
      <x:c r="K843" s="68"/>
      <x:c r="L843" s="70"/>
      <x:c r="M843" s="64" t="str">
        <x:f>IF(A843="","",IF(AND(E843&lt;&gt;"",F843&lt;&gt;"",ABS(H843-I843)&lt;=0.01,ABS(J843-K843)&lt;=0.01,L843=1),"一致","检查"))</x:f>
      </x:c>
      <x:c r="N843" s="64" t="str">
        <x:f>IF(A843="","",IF(COUNTIF($A$5:$A$1204,A843)&gt;1,"重复",""))</x:f>
      </x:c>
    </x:row>
    <x:row r="844">
      <x:c r="A844" s="62"/>
      <x:c r="B844" s="62"/>
      <x:c r="C844" s="62"/>
      <x:c r="D844" s="62"/>
      <x:c r="E844" s="62"/>
      <x:c r="F844" s="62"/>
      <x:c r="G844" s="66"/>
      <x:c r="H844" s="68"/>
      <x:c r="I844" s="68"/>
      <x:c r="J844" s="68"/>
      <x:c r="K844" s="68"/>
      <x:c r="L844" s="70"/>
      <x:c r="M844" s="64" t="str">
        <x:f>IF(A844="","",IF(AND(E844&lt;&gt;"",F844&lt;&gt;"",ABS(H844-I844)&lt;=0.01,ABS(J844-K844)&lt;=0.01,L844=1),"一致","检查"))</x:f>
      </x:c>
      <x:c r="N844" s="64" t="str">
        <x:f>IF(A844="","",IF(COUNTIF($A$5:$A$1204,A844)&gt;1,"重复",""))</x:f>
      </x:c>
    </x:row>
    <x:row r="845">
      <x:c r="A845" s="62"/>
      <x:c r="B845" s="62"/>
      <x:c r="C845" s="62"/>
      <x:c r="D845" s="62"/>
      <x:c r="E845" s="62"/>
      <x:c r="F845" s="62"/>
      <x:c r="G845" s="66"/>
      <x:c r="H845" s="68"/>
      <x:c r="I845" s="68"/>
      <x:c r="J845" s="68"/>
      <x:c r="K845" s="68"/>
      <x:c r="L845" s="70"/>
      <x:c r="M845" s="64" t="str">
        <x:f>IF(A845="","",IF(AND(E845&lt;&gt;"",F845&lt;&gt;"",ABS(H845-I845)&lt;=0.01,ABS(J845-K845)&lt;=0.01,L845=1),"一致","检查"))</x:f>
      </x:c>
      <x:c r="N845" s="64" t="str">
        <x:f>IF(A845="","",IF(COUNTIF($A$5:$A$1204,A845)&gt;1,"重复",""))</x:f>
      </x:c>
    </x:row>
    <x:row r="846">
      <x:c r="A846" s="62"/>
      <x:c r="B846" s="62"/>
      <x:c r="C846" s="62"/>
      <x:c r="D846" s="62"/>
      <x:c r="E846" s="62"/>
      <x:c r="F846" s="62"/>
      <x:c r="G846" s="66"/>
      <x:c r="H846" s="68"/>
      <x:c r="I846" s="68"/>
      <x:c r="J846" s="68"/>
      <x:c r="K846" s="68"/>
      <x:c r="L846" s="70"/>
      <x:c r="M846" s="64" t="str">
        <x:f>IF(A846="","",IF(AND(E846&lt;&gt;"",F846&lt;&gt;"",ABS(H846-I846)&lt;=0.01,ABS(J846-K846)&lt;=0.01,L846=1),"一致","检查"))</x:f>
      </x:c>
      <x:c r="N846" s="64" t="str">
        <x:f>IF(A846="","",IF(COUNTIF($A$5:$A$1204,A846)&gt;1,"重复",""))</x:f>
      </x:c>
    </x:row>
    <x:row r="847">
      <x:c r="A847" s="62"/>
      <x:c r="B847" s="62"/>
      <x:c r="C847" s="62"/>
      <x:c r="D847" s="62"/>
      <x:c r="E847" s="62"/>
      <x:c r="F847" s="62"/>
      <x:c r="G847" s="66"/>
      <x:c r="H847" s="68"/>
      <x:c r="I847" s="68"/>
      <x:c r="J847" s="68"/>
      <x:c r="K847" s="68"/>
      <x:c r="L847" s="70"/>
      <x:c r="M847" s="64" t="str">
        <x:f>IF(A847="","",IF(AND(E847&lt;&gt;"",F847&lt;&gt;"",ABS(H847-I847)&lt;=0.01,ABS(J847-K847)&lt;=0.01,L847=1),"一致","检查"))</x:f>
      </x:c>
      <x:c r="N847" s="64" t="str">
        <x:f>IF(A847="","",IF(COUNTIF($A$5:$A$1204,A847)&gt;1,"重复",""))</x:f>
      </x:c>
    </x:row>
    <x:row r="848">
      <x:c r="A848" s="62"/>
      <x:c r="B848" s="62"/>
      <x:c r="C848" s="62"/>
      <x:c r="D848" s="62"/>
      <x:c r="E848" s="62"/>
      <x:c r="F848" s="62"/>
      <x:c r="G848" s="66"/>
      <x:c r="H848" s="68"/>
      <x:c r="I848" s="68"/>
      <x:c r="J848" s="68"/>
      <x:c r="K848" s="68"/>
      <x:c r="L848" s="70"/>
      <x:c r="M848" s="64" t="str">
        <x:f>IF(A848="","",IF(AND(E848&lt;&gt;"",F848&lt;&gt;"",ABS(H848-I848)&lt;=0.01,ABS(J848-K848)&lt;=0.01,L848=1),"一致","检查"))</x:f>
      </x:c>
      <x:c r="N848" s="64" t="str">
        <x:f>IF(A848="","",IF(COUNTIF($A$5:$A$1204,A848)&gt;1,"重复",""))</x:f>
      </x:c>
    </x:row>
    <x:row r="849">
      <x:c r="A849" s="62"/>
      <x:c r="B849" s="62"/>
      <x:c r="C849" s="62"/>
      <x:c r="D849" s="62"/>
      <x:c r="E849" s="62"/>
      <x:c r="F849" s="62"/>
      <x:c r="G849" s="66"/>
      <x:c r="H849" s="68"/>
      <x:c r="I849" s="68"/>
      <x:c r="J849" s="68"/>
      <x:c r="K849" s="68"/>
      <x:c r="L849" s="70"/>
      <x:c r="M849" s="64" t="str">
        <x:f>IF(A849="","",IF(AND(E849&lt;&gt;"",F849&lt;&gt;"",ABS(H849-I849)&lt;=0.01,ABS(J849-K849)&lt;=0.01,L849=1),"一致","检查"))</x:f>
      </x:c>
      <x:c r="N849" s="64" t="str">
        <x:f>IF(A849="","",IF(COUNTIF($A$5:$A$1204,A849)&gt;1,"重复",""))</x:f>
      </x:c>
    </x:row>
    <x:row r="850">
      <x:c r="A850" s="62"/>
      <x:c r="B850" s="62"/>
      <x:c r="C850" s="62"/>
      <x:c r="D850" s="62"/>
      <x:c r="E850" s="62"/>
      <x:c r="F850" s="62"/>
      <x:c r="G850" s="66"/>
      <x:c r="H850" s="68"/>
      <x:c r="I850" s="68"/>
      <x:c r="J850" s="68"/>
      <x:c r="K850" s="68"/>
      <x:c r="L850" s="70"/>
      <x:c r="M850" s="64" t="str">
        <x:f>IF(A850="","",IF(AND(E850&lt;&gt;"",F850&lt;&gt;"",ABS(H850-I850)&lt;=0.01,ABS(J850-K850)&lt;=0.01,L850=1),"一致","检查"))</x:f>
      </x:c>
      <x:c r="N850" s="64" t="str">
        <x:f>IF(A850="","",IF(COUNTIF($A$5:$A$1204,A850)&gt;1,"重复",""))</x:f>
      </x:c>
    </x:row>
    <x:row r="851">
      <x:c r="A851" s="62"/>
      <x:c r="B851" s="62"/>
      <x:c r="C851" s="62"/>
      <x:c r="D851" s="62"/>
      <x:c r="E851" s="62"/>
      <x:c r="F851" s="62"/>
      <x:c r="G851" s="66"/>
      <x:c r="H851" s="68"/>
      <x:c r="I851" s="68"/>
      <x:c r="J851" s="68"/>
      <x:c r="K851" s="68"/>
      <x:c r="L851" s="70"/>
      <x:c r="M851" s="64" t="str">
        <x:f>IF(A851="","",IF(AND(E851&lt;&gt;"",F851&lt;&gt;"",ABS(H851-I851)&lt;=0.01,ABS(J851-K851)&lt;=0.01,L851=1),"一致","检查"))</x:f>
      </x:c>
      <x:c r="N851" s="64" t="str">
        <x:f>IF(A851="","",IF(COUNTIF($A$5:$A$1204,A851)&gt;1,"重复",""))</x:f>
      </x:c>
    </x:row>
    <x:row r="852">
      <x:c r="A852" s="62"/>
      <x:c r="B852" s="62"/>
      <x:c r="C852" s="62"/>
      <x:c r="D852" s="62"/>
      <x:c r="E852" s="62"/>
      <x:c r="F852" s="62"/>
      <x:c r="G852" s="66"/>
      <x:c r="H852" s="68"/>
      <x:c r="I852" s="68"/>
      <x:c r="J852" s="68"/>
      <x:c r="K852" s="68"/>
      <x:c r="L852" s="70"/>
      <x:c r="M852" s="64" t="str">
        <x:f>IF(A852="","",IF(AND(E852&lt;&gt;"",F852&lt;&gt;"",ABS(H852-I852)&lt;=0.01,ABS(J852-K852)&lt;=0.01,L852=1),"一致","检查"))</x:f>
      </x:c>
      <x:c r="N852" s="64" t="str">
        <x:f>IF(A852="","",IF(COUNTIF($A$5:$A$1204,A852)&gt;1,"重复",""))</x:f>
      </x:c>
    </x:row>
    <x:row r="853">
      <x:c r="A853" s="62"/>
      <x:c r="B853" s="62"/>
      <x:c r="C853" s="62"/>
      <x:c r="D853" s="62"/>
      <x:c r="E853" s="62"/>
      <x:c r="F853" s="62"/>
      <x:c r="G853" s="66"/>
      <x:c r="H853" s="68"/>
      <x:c r="I853" s="68"/>
      <x:c r="J853" s="68"/>
      <x:c r="K853" s="68"/>
      <x:c r="L853" s="70"/>
      <x:c r="M853" s="64" t="str">
        <x:f>IF(A853="","",IF(AND(E853&lt;&gt;"",F853&lt;&gt;"",ABS(H853-I853)&lt;=0.01,ABS(J853-K853)&lt;=0.01,L853=1),"一致","检查"))</x:f>
      </x:c>
      <x:c r="N853" s="64" t="str">
        <x:f>IF(A853="","",IF(COUNTIF($A$5:$A$1204,A853)&gt;1,"重复",""))</x:f>
      </x:c>
    </x:row>
    <x:row r="854">
      <x:c r="A854" s="62"/>
      <x:c r="B854" s="62"/>
      <x:c r="C854" s="62"/>
      <x:c r="D854" s="62"/>
      <x:c r="E854" s="62"/>
      <x:c r="F854" s="62"/>
      <x:c r="G854" s="66"/>
      <x:c r="H854" s="68"/>
      <x:c r="I854" s="68"/>
      <x:c r="J854" s="68"/>
      <x:c r="K854" s="68"/>
      <x:c r="L854" s="70"/>
      <x:c r="M854" s="64" t="str">
        <x:f>IF(A854="","",IF(AND(E854&lt;&gt;"",F854&lt;&gt;"",ABS(H854-I854)&lt;=0.01,ABS(J854-K854)&lt;=0.01,L854=1),"一致","检查"))</x:f>
      </x:c>
      <x:c r="N854" s="64" t="str">
        <x:f>IF(A854="","",IF(COUNTIF($A$5:$A$1204,A854)&gt;1,"重复",""))</x:f>
      </x:c>
    </x:row>
    <x:row r="855">
      <x:c r="A855" s="62"/>
      <x:c r="B855" s="62"/>
      <x:c r="C855" s="62"/>
      <x:c r="D855" s="62"/>
      <x:c r="E855" s="62"/>
      <x:c r="F855" s="62"/>
      <x:c r="G855" s="66"/>
      <x:c r="H855" s="68"/>
      <x:c r="I855" s="68"/>
      <x:c r="J855" s="68"/>
      <x:c r="K855" s="68"/>
      <x:c r="L855" s="70"/>
      <x:c r="M855" s="64" t="str">
        <x:f>IF(A855="","",IF(AND(E855&lt;&gt;"",F855&lt;&gt;"",ABS(H855-I855)&lt;=0.01,ABS(J855-K855)&lt;=0.01,L855=1),"一致","检查"))</x:f>
      </x:c>
      <x:c r="N855" s="64" t="str">
        <x:f>IF(A855="","",IF(COUNTIF($A$5:$A$1204,A855)&gt;1,"重复",""))</x:f>
      </x:c>
    </x:row>
    <x:row r="856">
      <x:c r="A856" s="62"/>
      <x:c r="B856" s="62"/>
      <x:c r="C856" s="62"/>
      <x:c r="D856" s="62"/>
      <x:c r="E856" s="62"/>
      <x:c r="F856" s="62"/>
      <x:c r="G856" s="66"/>
      <x:c r="H856" s="68"/>
      <x:c r="I856" s="68"/>
      <x:c r="J856" s="68"/>
      <x:c r="K856" s="68"/>
      <x:c r="L856" s="70"/>
      <x:c r="M856" s="64" t="str">
        <x:f>IF(A856="","",IF(AND(E856&lt;&gt;"",F856&lt;&gt;"",ABS(H856-I856)&lt;=0.01,ABS(J856-K856)&lt;=0.01,L856=1),"一致","检查"))</x:f>
      </x:c>
      <x:c r="N856" s="64" t="str">
        <x:f>IF(A856="","",IF(COUNTIF($A$5:$A$1204,A856)&gt;1,"重复",""))</x:f>
      </x:c>
    </x:row>
    <x:row r="857">
      <x:c r="A857" s="62"/>
      <x:c r="B857" s="62"/>
      <x:c r="C857" s="62"/>
      <x:c r="D857" s="62"/>
      <x:c r="E857" s="62"/>
      <x:c r="F857" s="62"/>
      <x:c r="G857" s="66"/>
      <x:c r="H857" s="68"/>
      <x:c r="I857" s="68"/>
      <x:c r="J857" s="68"/>
      <x:c r="K857" s="68"/>
      <x:c r="L857" s="70"/>
      <x:c r="M857" s="64" t="str">
        <x:f>IF(A857="","",IF(AND(E857&lt;&gt;"",F857&lt;&gt;"",ABS(H857-I857)&lt;=0.01,ABS(J857-K857)&lt;=0.01,L857=1),"一致","检查"))</x:f>
      </x:c>
      <x:c r="N857" s="64" t="str">
        <x:f>IF(A857="","",IF(COUNTIF($A$5:$A$1204,A857)&gt;1,"重复",""))</x:f>
      </x:c>
    </x:row>
    <x:row r="858">
      <x:c r="A858" s="62"/>
      <x:c r="B858" s="62"/>
      <x:c r="C858" s="62"/>
      <x:c r="D858" s="62"/>
      <x:c r="E858" s="62"/>
      <x:c r="F858" s="62"/>
      <x:c r="G858" s="66"/>
      <x:c r="H858" s="68"/>
      <x:c r="I858" s="68"/>
      <x:c r="J858" s="68"/>
      <x:c r="K858" s="68"/>
      <x:c r="L858" s="70"/>
      <x:c r="M858" s="64" t="str">
        <x:f>IF(A858="","",IF(AND(E858&lt;&gt;"",F858&lt;&gt;"",ABS(H858-I858)&lt;=0.01,ABS(J858-K858)&lt;=0.01,L858=1),"一致","检查"))</x:f>
      </x:c>
      <x:c r="N858" s="64" t="str">
        <x:f>IF(A858="","",IF(COUNTIF($A$5:$A$1204,A858)&gt;1,"重复",""))</x:f>
      </x:c>
    </x:row>
    <x:row r="859">
      <x:c r="A859" s="62"/>
      <x:c r="B859" s="62"/>
      <x:c r="C859" s="62"/>
      <x:c r="D859" s="62"/>
      <x:c r="E859" s="62"/>
      <x:c r="F859" s="62"/>
      <x:c r="G859" s="66"/>
      <x:c r="H859" s="68"/>
      <x:c r="I859" s="68"/>
      <x:c r="J859" s="68"/>
      <x:c r="K859" s="68"/>
      <x:c r="L859" s="70"/>
      <x:c r="M859" s="64" t="str">
        <x:f>IF(A859="","",IF(AND(E859&lt;&gt;"",F859&lt;&gt;"",ABS(H859-I859)&lt;=0.01,ABS(J859-K859)&lt;=0.01,L859=1),"一致","检查"))</x:f>
      </x:c>
      <x:c r="N859" s="64" t="str">
        <x:f>IF(A859="","",IF(COUNTIF($A$5:$A$1204,A859)&gt;1,"重复",""))</x:f>
      </x:c>
    </x:row>
    <x:row r="860">
      <x:c r="A860" s="62"/>
      <x:c r="B860" s="62"/>
      <x:c r="C860" s="62"/>
      <x:c r="D860" s="62"/>
      <x:c r="E860" s="62"/>
      <x:c r="F860" s="62"/>
      <x:c r="G860" s="66"/>
      <x:c r="H860" s="68"/>
      <x:c r="I860" s="68"/>
      <x:c r="J860" s="68"/>
      <x:c r="K860" s="68"/>
      <x:c r="L860" s="70"/>
      <x:c r="M860" s="64" t="str">
        <x:f>IF(A860="","",IF(AND(E860&lt;&gt;"",F860&lt;&gt;"",ABS(H860-I860)&lt;=0.01,ABS(J860-K860)&lt;=0.01,L860=1),"一致","检查"))</x:f>
      </x:c>
      <x:c r="N860" s="64" t="str">
        <x:f>IF(A860="","",IF(COUNTIF($A$5:$A$1204,A860)&gt;1,"重复",""))</x:f>
      </x:c>
    </x:row>
    <x:row r="861">
      <x:c r="A861" s="62"/>
      <x:c r="B861" s="62"/>
      <x:c r="C861" s="62"/>
      <x:c r="D861" s="62"/>
      <x:c r="E861" s="62"/>
      <x:c r="F861" s="62"/>
      <x:c r="G861" s="66"/>
      <x:c r="H861" s="68"/>
      <x:c r="I861" s="68"/>
      <x:c r="J861" s="68"/>
      <x:c r="K861" s="68"/>
      <x:c r="L861" s="70"/>
      <x:c r="M861" s="64" t="str">
        <x:f>IF(A861="","",IF(AND(E861&lt;&gt;"",F861&lt;&gt;"",ABS(H861-I861)&lt;=0.01,ABS(J861-K861)&lt;=0.01,L861=1),"一致","检查"))</x:f>
      </x:c>
      <x:c r="N861" s="64" t="str">
        <x:f>IF(A861="","",IF(COUNTIF($A$5:$A$1204,A861)&gt;1,"重复",""))</x:f>
      </x:c>
    </x:row>
    <x:row r="862">
      <x:c r="A862" s="62"/>
      <x:c r="B862" s="62"/>
      <x:c r="C862" s="62"/>
      <x:c r="D862" s="62"/>
      <x:c r="E862" s="62"/>
      <x:c r="F862" s="62"/>
      <x:c r="G862" s="66"/>
      <x:c r="H862" s="68"/>
      <x:c r="I862" s="68"/>
      <x:c r="J862" s="68"/>
      <x:c r="K862" s="68"/>
      <x:c r="L862" s="70"/>
      <x:c r="M862" s="64" t="str">
        <x:f>IF(A862="","",IF(AND(E862&lt;&gt;"",F862&lt;&gt;"",ABS(H862-I862)&lt;=0.01,ABS(J862-K862)&lt;=0.01,L862=1),"一致","检查"))</x:f>
      </x:c>
      <x:c r="N862" s="64" t="str">
        <x:f>IF(A862="","",IF(COUNTIF($A$5:$A$1204,A862)&gt;1,"重复",""))</x:f>
      </x:c>
    </x:row>
    <x:row r="863">
      <x:c r="A863" s="62"/>
      <x:c r="B863" s="62"/>
      <x:c r="C863" s="62"/>
      <x:c r="D863" s="62"/>
      <x:c r="E863" s="62"/>
      <x:c r="F863" s="62"/>
      <x:c r="G863" s="66"/>
      <x:c r="H863" s="68"/>
      <x:c r="I863" s="68"/>
      <x:c r="J863" s="68"/>
      <x:c r="K863" s="68"/>
      <x:c r="L863" s="70"/>
      <x:c r="M863" s="64" t="str">
        <x:f>IF(A863="","",IF(AND(E863&lt;&gt;"",F863&lt;&gt;"",ABS(H863-I863)&lt;=0.01,ABS(J863-K863)&lt;=0.01,L863=1),"一致","检查"))</x:f>
      </x:c>
      <x:c r="N863" s="64" t="str">
        <x:f>IF(A863="","",IF(COUNTIF($A$5:$A$1204,A863)&gt;1,"重复",""))</x:f>
      </x:c>
    </x:row>
    <x:row r="864">
      <x:c r="A864" s="62"/>
      <x:c r="B864" s="62"/>
      <x:c r="C864" s="62"/>
      <x:c r="D864" s="62"/>
      <x:c r="E864" s="62"/>
      <x:c r="F864" s="62"/>
      <x:c r="G864" s="66"/>
      <x:c r="H864" s="68"/>
      <x:c r="I864" s="68"/>
      <x:c r="J864" s="68"/>
      <x:c r="K864" s="68"/>
      <x:c r="L864" s="70"/>
      <x:c r="M864" s="64" t="str">
        <x:f>IF(A864="","",IF(AND(E864&lt;&gt;"",F864&lt;&gt;"",ABS(H864-I864)&lt;=0.01,ABS(J864-K864)&lt;=0.01,L864=1),"一致","检查"))</x:f>
      </x:c>
      <x:c r="N864" s="64" t="str">
        <x:f>IF(A864="","",IF(COUNTIF($A$5:$A$1204,A864)&gt;1,"重复",""))</x:f>
      </x:c>
    </x:row>
    <x:row r="865">
      <x:c r="A865" s="62"/>
      <x:c r="B865" s="62"/>
      <x:c r="C865" s="62"/>
      <x:c r="D865" s="62"/>
      <x:c r="E865" s="62"/>
      <x:c r="F865" s="62"/>
      <x:c r="G865" s="66"/>
      <x:c r="H865" s="68"/>
      <x:c r="I865" s="68"/>
      <x:c r="J865" s="68"/>
      <x:c r="K865" s="68"/>
      <x:c r="L865" s="70"/>
      <x:c r="M865" s="64" t="str">
        <x:f>IF(A865="","",IF(AND(E865&lt;&gt;"",F865&lt;&gt;"",ABS(H865-I865)&lt;=0.01,ABS(J865-K865)&lt;=0.01,L865=1),"一致","检查"))</x:f>
      </x:c>
      <x:c r="N865" s="64" t="str">
        <x:f>IF(A865="","",IF(COUNTIF($A$5:$A$1204,A865)&gt;1,"重复",""))</x:f>
      </x:c>
    </x:row>
    <x:row r="866">
      <x:c r="A866" s="62"/>
      <x:c r="B866" s="62"/>
      <x:c r="C866" s="62"/>
      <x:c r="D866" s="62"/>
      <x:c r="E866" s="62"/>
      <x:c r="F866" s="62"/>
      <x:c r="G866" s="66"/>
      <x:c r="H866" s="68"/>
      <x:c r="I866" s="68"/>
      <x:c r="J866" s="68"/>
      <x:c r="K866" s="68"/>
      <x:c r="L866" s="70"/>
      <x:c r="M866" s="64" t="str">
        <x:f>IF(A866="","",IF(AND(E866&lt;&gt;"",F866&lt;&gt;"",ABS(H866-I866)&lt;=0.01,ABS(J866-K866)&lt;=0.01,L866=1),"一致","检查"))</x:f>
      </x:c>
      <x:c r="N866" s="64" t="str">
        <x:f>IF(A866="","",IF(COUNTIF($A$5:$A$1204,A866)&gt;1,"重复",""))</x:f>
      </x:c>
    </x:row>
    <x:row r="867">
      <x:c r="A867" s="62"/>
      <x:c r="B867" s="62"/>
      <x:c r="C867" s="62"/>
      <x:c r="D867" s="62"/>
      <x:c r="E867" s="62"/>
      <x:c r="F867" s="62"/>
      <x:c r="G867" s="66"/>
      <x:c r="H867" s="68"/>
      <x:c r="I867" s="68"/>
      <x:c r="J867" s="68"/>
      <x:c r="K867" s="68"/>
      <x:c r="L867" s="70"/>
      <x:c r="M867" s="64" t="str">
        <x:f>IF(A867="","",IF(AND(E867&lt;&gt;"",F867&lt;&gt;"",ABS(H867-I867)&lt;=0.01,ABS(J867-K867)&lt;=0.01,L867=1),"一致","检查"))</x:f>
      </x:c>
      <x:c r="N867" s="64" t="str">
        <x:f>IF(A867="","",IF(COUNTIF($A$5:$A$1204,A867)&gt;1,"重复",""))</x:f>
      </x:c>
    </x:row>
    <x:row r="868">
      <x:c r="A868" s="62"/>
      <x:c r="B868" s="62"/>
      <x:c r="C868" s="62"/>
      <x:c r="D868" s="62"/>
      <x:c r="E868" s="62"/>
      <x:c r="F868" s="62"/>
      <x:c r="G868" s="66"/>
      <x:c r="H868" s="68"/>
      <x:c r="I868" s="68"/>
      <x:c r="J868" s="68"/>
      <x:c r="K868" s="68"/>
      <x:c r="L868" s="70"/>
      <x:c r="M868" s="64" t="str">
        <x:f>IF(A868="","",IF(AND(E868&lt;&gt;"",F868&lt;&gt;"",ABS(H868-I868)&lt;=0.01,ABS(J868-K868)&lt;=0.01,L868=1),"一致","检查"))</x:f>
      </x:c>
      <x:c r="N868" s="64" t="str">
        <x:f>IF(A868="","",IF(COUNTIF($A$5:$A$1204,A868)&gt;1,"重复",""))</x:f>
      </x:c>
    </x:row>
    <x:row r="869">
      <x:c r="A869" s="62"/>
      <x:c r="B869" s="62"/>
      <x:c r="C869" s="62"/>
      <x:c r="D869" s="62"/>
      <x:c r="E869" s="62"/>
      <x:c r="F869" s="62"/>
      <x:c r="G869" s="66"/>
      <x:c r="H869" s="68"/>
      <x:c r="I869" s="68"/>
      <x:c r="J869" s="68"/>
      <x:c r="K869" s="68"/>
      <x:c r="L869" s="70"/>
      <x:c r="M869" s="64" t="str">
        <x:f>IF(A869="","",IF(AND(E869&lt;&gt;"",F869&lt;&gt;"",ABS(H869-I869)&lt;=0.01,ABS(J869-K869)&lt;=0.01,L869=1),"一致","检查"))</x:f>
      </x:c>
      <x:c r="N869" s="64" t="str">
        <x:f>IF(A869="","",IF(COUNTIF($A$5:$A$1204,A869)&gt;1,"重复",""))</x:f>
      </x:c>
    </x:row>
    <x:row r="870">
      <x:c r="A870" s="62"/>
      <x:c r="B870" s="62"/>
      <x:c r="C870" s="62"/>
      <x:c r="D870" s="62"/>
      <x:c r="E870" s="62"/>
      <x:c r="F870" s="62"/>
      <x:c r="G870" s="66"/>
      <x:c r="H870" s="68"/>
      <x:c r="I870" s="68"/>
      <x:c r="J870" s="68"/>
      <x:c r="K870" s="68"/>
      <x:c r="L870" s="70"/>
      <x:c r="M870" s="64" t="str">
        <x:f>IF(A870="","",IF(AND(E870&lt;&gt;"",F870&lt;&gt;"",ABS(H870-I870)&lt;=0.01,ABS(J870-K870)&lt;=0.01,L870=1),"一致","检查"))</x:f>
      </x:c>
      <x:c r="N870" s="64" t="str">
        <x:f>IF(A870="","",IF(COUNTIF($A$5:$A$1204,A870)&gt;1,"重复",""))</x:f>
      </x:c>
    </x:row>
    <x:row r="871">
      <x:c r="A871" s="62"/>
      <x:c r="B871" s="62"/>
      <x:c r="C871" s="62"/>
      <x:c r="D871" s="62"/>
      <x:c r="E871" s="62"/>
      <x:c r="F871" s="62"/>
      <x:c r="G871" s="66"/>
      <x:c r="H871" s="68"/>
      <x:c r="I871" s="68"/>
      <x:c r="J871" s="68"/>
      <x:c r="K871" s="68"/>
      <x:c r="L871" s="70"/>
      <x:c r="M871" s="64" t="str">
        <x:f>IF(A871="","",IF(AND(E871&lt;&gt;"",F871&lt;&gt;"",ABS(H871-I871)&lt;=0.01,ABS(J871-K871)&lt;=0.01,L871=1),"一致","检查"))</x:f>
      </x:c>
      <x:c r="N871" s="64" t="str">
        <x:f>IF(A871="","",IF(COUNTIF($A$5:$A$1204,A871)&gt;1,"重复",""))</x:f>
      </x:c>
    </x:row>
    <x:row r="872">
      <x:c r="A872" s="62"/>
      <x:c r="B872" s="62"/>
      <x:c r="C872" s="62"/>
      <x:c r="D872" s="62"/>
      <x:c r="E872" s="62"/>
      <x:c r="F872" s="62"/>
      <x:c r="G872" s="66"/>
      <x:c r="H872" s="68"/>
      <x:c r="I872" s="68"/>
      <x:c r="J872" s="68"/>
      <x:c r="K872" s="68"/>
      <x:c r="L872" s="70"/>
      <x:c r="M872" s="64" t="str">
        <x:f>IF(A872="","",IF(AND(E872&lt;&gt;"",F872&lt;&gt;"",ABS(H872-I872)&lt;=0.01,ABS(J872-K872)&lt;=0.01,L872=1),"一致","检查"))</x:f>
      </x:c>
      <x:c r="N872" s="64" t="str">
        <x:f>IF(A872="","",IF(COUNTIF($A$5:$A$1204,A872)&gt;1,"重复",""))</x:f>
      </x:c>
    </x:row>
    <x:row r="873">
      <x:c r="A873" s="62"/>
      <x:c r="B873" s="62"/>
      <x:c r="C873" s="62"/>
      <x:c r="D873" s="62"/>
      <x:c r="E873" s="62"/>
      <x:c r="F873" s="62"/>
      <x:c r="G873" s="66"/>
      <x:c r="H873" s="68"/>
      <x:c r="I873" s="68"/>
      <x:c r="J873" s="68"/>
      <x:c r="K873" s="68"/>
      <x:c r="L873" s="70"/>
      <x:c r="M873" s="64" t="str">
        <x:f>IF(A873="","",IF(AND(E873&lt;&gt;"",F873&lt;&gt;"",ABS(H873-I873)&lt;=0.01,ABS(J873-K873)&lt;=0.01,L873=1),"一致","检查"))</x:f>
      </x:c>
      <x:c r="N873" s="64" t="str">
        <x:f>IF(A873="","",IF(COUNTIF($A$5:$A$1204,A873)&gt;1,"重复",""))</x:f>
      </x:c>
    </x:row>
    <x:row r="874">
      <x:c r="A874" s="62"/>
      <x:c r="B874" s="62"/>
      <x:c r="C874" s="62"/>
      <x:c r="D874" s="62"/>
      <x:c r="E874" s="62"/>
      <x:c r="F874" s="62"/>
      <x:c r="G874" s="66"/>
      <x:c r="H874" s="68"/>
      <x:c r="I874" s="68"/>
      <x:c r="J874" s="68"/>
      <x:c r="K874" s="68"/>
      <x:c r="L874" s="70"/>
      <x:c r="M874" s="64" t="str">
        <x:f>IF(A874="","",IF(AND(E874&lt;&gt;"",F874&lt;&gt;"",ABS(H874-I874)&lt;=0.01,ABS(J874-K874)&lt;=0.01,L874=1),"一致","检查"))</x:f>
      </x:c>
      <x:c r="N874" s="64" t="str">
        <x:f>IF(A874="","",IF(COUNTIF($A$5:$A$1204,A874)&gt;1,"重复",""))</x:f>
      </x:c>
    </x:row>
    <x:row r="875">
      <x:c r="A875" s="62"/>
      <x:c r="B875" s="62"/>
      <x:c r="C875" s="62"/>
      <x:c r="D875" s="62"/>
      <x:c r="E875" s="62"/>
      <x:c r="F875" s="62"/>
      <x:c r="G875" s="66"/>
      <x:c r="H875" s="68"/>
      <x:c r="I875" s="68"/>
      <x:c r="J875" s="68"/>
      <x:c r="K875" s="68"/>
      <x:c r="L875" s="70"/>
      <x:c r="M875" s="64" t="str">
        <x:f>IF(A875="","",IF(AND(E875&lt;&gt;"",F875&lt;&gt;"",ABS(H875-I875)&lt;=0.01,ABS(J875-K875)&lt;=0.01,L875=1),"一致","检查"))</x:f>
      </x:c>
      <x:c r="N875" s="64" t="str">
        <x:f>IF(A875="","",IF(COUNTIF($A$5:$A$1204,A875)&gt;1,"重复",""))</x:f>
      </x:c>
    </x:row>
    <x:row r="876">
      <x:c r="A876" s="62"/>
      <x:c r="B876" s="62"/>
      <x:c r="C876" s="62"/>
      <x:c r="D876" s="62"/>
      <x:c r="E876" s="62"/>
      <x:c r="F876" s="62"/>
      <x:c r="G876" s="66"/>
      <x:c r="H876" s="68"/>
      <x:c r="I876" s="68"/>
      <x:c r="J876" s="68"/>
      <x:c r="K876" s="68"/>
      <x:c r="L876" s="70"/>
      <x:c r="M876" s="64" t="str">
        <x:f>IF(A876="","",IF(AND(E876&lt;&gt;"",F876&lt;&gt;"",ABS(H876-I876)&lt;=0.01,ABS(J876-K876)&lt;=0.01,L876=1),"一致","检查"))</x:f>
      </x:c>
      <x:c r="N876" s="64" t="str">
        <x:f>IF(A876="","",IF(COUNTIF($A$5:$A$1204,A876)&gt;1,"重复",""))</x:f>
      </x:c>
    </x:row>
    <x:row r="877">
      <x:c r="A877" s="62"/>
      <x:c r="B877" s="62"/>
      <x:c r="C877" s="62"/>
      <x:c r="D877" s="62"/>
      <x:c r="E877" s="62"/>
      <x:c r="F877" s="62"/>
      <x:c r="G877" s="66"/>
      <x:c r="H877" s="68"/>
      <x:c r="I877" s="68"/>
      <x:c r="J877" s="68"/>
      <x:c r="K877" s="68"/>
      <x:c r="L877" s="70"/>
      <x:c r="M877" s="64" t="str">
        <x:f>IF(A877="","",IF(AND(E877&lt;&gt;"",F877&lt;&gt;"",ABS(H877-I877)&lt;=0.01,ABS(J877-K877)&lt;=0.01,L877=1),"一致","检查"))</x:f>
      </x:c>
      <x:c r="N877" s="64" t="str">
        <x:f>IF(A877="","",IF(COUNTIF($A$5:$A$1204,A877)&gt;1,"重复",""))</x:f>
      </x:c>
    </x:row>
    <x:row r="878">
      <x:c r="A878" s="62"/>
      <x:c r="B878" s="62"/>
      <x:c r="C878" s="62"/>
      <x:c r="D878" s="62"/>
      <x:c r="E878" s="62"/>
      <x:c r="F878" s="62"/>
      <x:c r="G878" s="66"/>
      <x:c r="H878" s="68"/>
      <x:c r="I878" s="68"/>
      <x:c r="J878" s="68"/>
      <x:c r="K878" s="68"/>
      <x:c r="L878" s="70"/>
      <x:c r="M878" s="64" t="str">
        <x:f>IF(A878="","",IF(AND(E878&lt;&gt;"",F878&lt;&gt;"",ABS(H878-I878)&lt;=0.01,ABS(J878-K878)&lt;=0.01,L878=1),"一致","检查"))</x:f>
      </x:c>
      <x:c r="N878" s="64" t="str">
        <x:f>IF(A878="","",IF(COUNTIF($A$5:$A$1204,A878)&gt;1,"重复",""))</x:f>
      </x:c>
    </x:row>
    <x:row r="879">
      <x:c r="A879" s="62"/>
      <x:c r="B879" s="62"/>
      <x:c r="C879" s="62"/>
      <x:c r="D879" s="62"/>
      <x:c r="E879" s="62"/>
      <x:c r="F879" s="62"/>
      <x:c r="G879" s="66"/>
      <x:c r="H879" s="68"/>
      <x:c r="I879" s="68"/>
      <x:c r="J879" s="68"/>
      <x:c r="K879" s="68"/>
      <x:c r="L879" s="70"/>
      <x:c r="M879" s="64" t="str">
        <x:f>IF(A879="","",IF(AND(E879&lt;&gt;"",F879&lt;&gt;"",ABS(H879-I879)&lt;=0.01,ABS(J879-K879)&lt;=0.01,L879=1),"一致","检查"))</x:f>
      </x:c>
      <x:c r="N879" s="64" t="str">
        <x:f>IF(A879="","",IF(COUNTIF($A$5:$A$1204,A879)&gt;1,"重复",""))</x:f>
      </x:c>
    </x:row>
    <x:row r="880">
      <x:c r="A880" s="62"/>
      <x:c r="B880" s="62"/>
      <x:c r="C880" s="62"/>
      <x:c r="D880" s="62"/>
      <x:c r="E880" s="62"/>
      <x:c r="F880" s="62"/>
      <x:c r="G880" s="66"/>
      <x:c r="H880" s="68"/>
      <x:c r="I880" s="68"/>
      <x:c r="J880" s="68"/>
      <x:c r="K880" s="68"/>
      <x:c r="L880" s="70"/>
      <x:c r="M880" s="64" t="str">
        <x:f>IF(A880="","",IF(AND(E880&lt;&gt;"",F880&lt;&gt;"",ABS(H880-I880)&lt;=0.01,ABS(J880-K880)&lt;=0.01,L880=1),"一致","检查"))</x:f>
      </x:c>
      <x:c r="N880" s="64" t="str">
        <x:f>IF(A880="","",IF(COUNTIF($A$5:$A$1204,A880)&gt;1,"重复",""))</x:f>
      </x:c>
    </x:row>
    <x:row r="881">
      <x:c r="A881" s="62"/>
      <x:c r="B881" s="62"/>
      <x:c r="C881" s="62"/>
      <x:c r="D881" s="62"/>
      <x:c r="E881" s="62"/>
      <x:c r="F881" s="62"/>
      <x:c r="G881" s="66"/>
      <x:c r="H881" s="68"/>
      <x:c r="I881" s="68"/>
      <x:c r="J881" s="68"/>
      <x:c r="K881" s="68"/>
      <x:c r="L881" s="70"/>
      <x:c r="M881" s="64" t="str">
        <x:f>IF(A881="","",IF(AND(E881&lt;&gt;"",F881&lt;&gt;"",ABS(H881-I881)&lt;=0.01,ABS(J881-K881)&lt;=0.01,L881=1),"一致","检查"))</x:f>
      </x:c>
      <x:c r="N881" s="64" t="str">
        <x:f>IF(A881="","",IF(COUNTIF($A$5:$A$1204,A881)&gt;1,"重复",""))</x:f>
      </x:c>
    </x:row>
    <x:row r="882">
      <x:c r="A882" s="62"/>
      <x:c r="B882" s="62"/>
      <x:c r="C882" s="62"/>
      <x:c r="D882" s="62"/>
      <x:c r="E882" s="62"/>
      <x:c r="F882" s="62"/>
      <x:c r="G882" s="66"/>
      <x:c r="H882" s="68"/>
      <x:c r="I882" s="68"/>
      <x:c r="J882" s="68"/>
      <x:c r="K882" s="68"/>
      <x:c r="L882" s="70"/>
      <x:c r="M882" s="64" t="str">
        <x:f>IF(A882="","",IF(AND(E882&lt;&gt;"",F882&lt;&gt;"",ABS(H882-I882)&lt;=0.01,ABS(J882-K882)&lt;=0.01,L882=1),"一致","检查"))</x:f>
      </x:c>
      <x:c r="N882" s="64" t="str">
        <x:f>IF(A882="","",IF(COUNTIF($A$5:$A$1204,A882)&gt;1,"重复",""))</x:f>
      </x:c>
    </x:row>
    <x:row r="883">
      <x:c r="A883" s="62"/>
      <x:c r="B883" s="62"/>
      <x:c r="C883" s="62"/>
      <x:c r="D883" s="62"/>
      <x:c r="E883" s="62"/>
      <x:c r="F883" s="62"/>
      <x:c r="G883" s="66"/>
      <x:c r="H883" s="68"/>
      <x:c r="I883" s="68"/>
      <x:c r="J883" s="68"/>
      <x:c r="K883" s="68"/>
      <x:c r="L883" s="70"/>
      <x:c r="M883" s="64" t="str">
        <x:f>IF(A883="","",IF(AND(E883&lt;&gt;"",F883&lt;&gt;"",ABS(H883-I883)&lt;=0.01,ABS(J883-K883)&lt;=0.01,L883=1),"一致","检查"))</x:f>
      </x:c>
      <x:c r="N883" s="64" t="str">
        <x:f>IF(A883="","",IF(COUNTIF($A$5:$A$1204,A883)&gt;1,"重复",""))</x:f>
      </x:c>
    </x:row>
    <x:row r="884">
      <x:c r="A884" s="62"/>
      <x:c r="B884" s="62"/>
      <x:c r="C884" s="62"/>
      <x:c r="D884" s="62"/>
      <x:c r="E884" s="62"/>
      <x:c r="F884" s="62"/>
      <x:c r="G884" s="66"/>
      <x:c r="H884" s="68"/>
      <x:c r="I884" s="68"/>
      <x:c r="J884" s="68"/>
      <x:c r="K884" s="68"/>
      <x:c r="L884" s="70"/>
      <x:c r="M884" s="64" t="str">
        <x:f>IF(A884="","",IF(AND(E884&lt;&gt;"",F884&lt;&gt;"",ABS(H884-I884)&lt;=0.01,ABS(J884-K884)&lt;=0.01,L884=1),"一致","检查"))</x:f>
      </x:c>
      <x:c r="N884" s="64" t="str">
        <x:f>IF(A884="","",IF(COUNTIF($A$5:$A$1204,A884)&gt;1,"重复",""))</x:f>
      </x:c>
    </x:row>
    <x:row r="885">
      <x:c r="A885" s="62"/>
      <x:c r="B885" s="62"/>
      <x:c r="C885" s="62"/>
      <x:c r="D885" s="62"/>
      <x:c r="E885" s="62"/>
      <x:c r="F885" s="62"/>
      <x:c r="G885" s="66"/>
      <x:c r="H885" s="68"/>
      <x:c r="I885" s="68"/>
      <x:c r="J885" s="68"/>
      <x:c r="K885" s="68"/>
      <x:c r="L885" s="70"/>
      <x:c r="M885" s="64" t="str">
        <x:f>IF(A885="","",IF(AND(E885&lt;&gt;"",F885&lt;&gt;"",ABS(H885-I885)&lt;=0.01,ABS(J885-K885)&lt;=0.01,L885=1),"一致","检查"))</x:f>
      </x:c>
      <x:c r="N885" s="64" t="str">
        <x:f>IF(A885="","",IF(COUNTIF($A$5:$A$1204,A885)&gt;1,"重复",""))</x:f>
      </x:c>
    </x:row>
    <x:row r="886">
      <x:c r="A886" s="62"/>
      <x:c r="B886" s="62"/>
      <x:c r="C886" s="62"/>
      <x:c r="D886" s="62"/>
      <x:c r="E886" s="62"/>
      <x:c r="F886" s="62"/>
      <x:c r="G886" s="66"/>
      <x:c r="H886" s="68"/>
      <x:c r="I886" s="68"/>
      <x:c r="J886" s="68"/>
      <x:c r="K886" s="68"/>
      <x:c r="L886" s="70"/>
      <x:c r="M886" s="64" t="str">
        <x:f>IF(A886="","",IF(AND(E886&lt;&gt;"",F886&lt;&gt;"",ABS(H886-I886)&lt;=0.01,ABS(J886-K886)&lt;=0.01,L886=1),"一致","检查"))</x:f>
      </x:c>
      <x:c r="N886" s="64" t="str">
        <x:f>IF(A886="","",IF(COUNTIF($A$5:$A$1204,A886)&gt;1,"重复",""))</x:f>
      </x:c>
    </x:row>
    <x:row r="887">
      <x:c r="A887" s="62"/>
      <x:c r="B887" s="62"/>
      <x:c r="C887" s="62"/>
      <x:c r="D887" s="62"/>
      <x:c r="E887" s="62"/>
      <x:c r="F887" s="62"/>
      <x:c r="G887" s="66"/>
      <x:c r="H887" s="68"/>
      <x:c r="I887" s="68"/>
      <x:c r="J887" s="68"/>
      <x:c r="K887" s="68"/>
      <x:c r="L887" s="70"/>
      <x:c r="M887" s="64" t="str">
        <x:f>IF(A887="","",IF(AND(E887&lt;&gt;"",F887&lt;&gt;"",ABS(H887-I887)&lt;=0.01,ABS(J887-K887)&lt;=0.01,L887=1),"一致","检查"))</x:f>
      </x:c>
      <x:c r="N887" s="64" t="str">
        <x:f>IF(A887="","",IF(COUNTIF($A$5:$A$1204,A887)&gt;1,"重复",""))</x:f>
      </x:c>
    </x:row>
    <x:row r="888">
      <x:c r="A888" s="62"/>
      <x:c r="B888" s="62"/>
      <x:c r="C888" s="62"/>
      <x:c r="D888" s="62"/>
      <x:c r="E888" s="62"/>
      <x:c r="F888" s="62"/>
      <x:c r="G888" s="66"/>
      <x:c r="H888" s="68"/>
      <x:c r="I888" s="68"/>
      <x:c r="J888" s="68"/>
      <x:c r="K888" s="68"/>
      <x:c r="L888" s="70"/>
      <x:c r="M888" s="64" t="str">
        <x:f>IF(A888="","",IF(AND(E888&lt;&gt;"",F888&lt;&gt;"",ABS(H888-I888)&lt;=0.01,ABS(J888-K888)&lt;=0.01,L888=1),"一致","检查"))</x:f>
      </x:c>
      <x:c r="N888" s="64" t="str">
        <x:f>IF(A888="","",IF(COUNTIF($A$5:$A$1204,A888)&gt;1,"重复",""))</x:f>
      </x:c>
    </x:row>
    <x:row r="889">
      <x:c r="A889" s="62"/>
      <x:c r="B889" s="62"/>
      <x:c r="C889" s="62"/>
      <x:c r="D889" s="62"/>
      <x:c r="E889" s="62"/>
      <x:c r="F889" s="62"/>
      <x:c r="G889" s="66"/>
      <x:c r="H889" s="68"/>
      <x:c r="I889" s="68"/>
      <x:c r="J889" s="68"/>
      <x:c r="K889" s="68"/>
      <x:c r="L889" s="70"/>
      <x:c r="M889" s="64" t="str">
        <x:f>IF(A889="","",IF(AND(E889&lt;&gt;"",F889&lt;&gt;"",ABS(H889-I889)&lt;=0.01,ABS(J889-K889)&lt;=0.01,L889=1),"一致","检查"))</x:f>
      </x:c>
      <x:c r="N889" s="64" t="str">
        <x:f>IF(A889="","",IF(COUNTIF($A$5:$A$1204,A889)&gt;1,"重复",""))</x:f>
      </x:c>
    </x:row>
    <x:row r="890">
      <x:c r="A890" s="62"/>
      <x:c r="B890" s="62"/>
      <x:c r="C890" s="62"/>
      <x:c r="D890" s="62"/>
      <x:c r="E890" s="62"/>
      <x:c r="F890" s="62"/>
      <x:c r="G890" s="66"/>
      <x:c r="H890" s="68"/>
      <x:c r="I890" s="68"/>
      <x:c r="J890" s="68"/>
      <x:c r="K890" s="68"/>
      <x:c r="L890" s="70"/>
      <x:c r="M890" s="64" t="str">
        <x:f>IF(A890="","",IF(AND(E890&lt;&gt;"",F890&lt;&gt;"",ABS(H890-I890)&lt;=0.01,ABS(J890-K890)&lt;=0.01,L890=1),"一致","检查"))</x:f>
      </x:c>
      <x:c r="N890" s="64" t="str">
        <x:f>IF(A890="","",IF(COUNTIF($A$5:$A$1204,A890)&gt;1,"重复",""))</x:f>
      </x:c>
    </x:row>
    <x:row r="891">
      <x:c r="A891" s="62"/>
      <x:c r="B891" s="62"/>
      <x:c r="C891" s="62"/>
      <x:c r="D891" s="62"/>
      <x:c r="E891" s="62"/>
      <x:c r="F891" s="62"/>
      <x:c r="G891" s="66"/>
      <x:c r="H891" s="68"/>
      <x:c r="I891" s="68"/>
      <x:c r="J891" s="68"/>
      <x:c r="K891" s="68"/>
      <x:c r="L891" s="70"/>
      <x:c r="M891" s="64" t="str">
        <x:f>IF(A891="","",IF(AND(E891&lt;&gt;"",F891&lt;&gt;"",ABS(H891-I891)&lt;=0.01,ABS(J891-K891)&lt;=0.01,L891=1),"一致","检查"))</x:f>
      </x:c>
      <x:c r="N891" s="64" t="str">
        <x:f>IF(A891="","",IF(COUNTIF($A$5:$A$1204,A891)&gt;1,"重复",""))</x:f>
      </x:c>
    </x:row>
    <x:row r="892">
      <x:c r="A892" s="62"/>
      <x:c r="B892" s="62"/>
      <x:c r="C892" s="62"/>
      <x:c r="D892" s="62"/>
      <x:c r="E892" s="62"/>
      <x:c r="F892" s="62"/>
      <x:c r="G892" s="66"/>
      <x:c r="H892" s="68"/>
      <x:c r="I892" s="68"/>
      <x:c r="J892" s="68"/>
      <x:c r="K892" s="68"/>
      <x:c r="L892" s="70"/>
      <x:c r="M892" s="64" t="str">
        <x:f>IF(A892="","",IF(AND(E892&lt;&gt;"",F892&lt;&gt;"",ABS(H892-I892)&lt;=0.01,ABS(J892-K892)&lt;=0.01,L892=1),"一致","检查"))</x:f>
      </x:c>
      <x:c r="N892" s="64" t="str">
        <x:f>IF(A892="","",IF(COUNTIF($A$5:$A$1204,A892)&gt;1,"重复",""))</x:f>
      </x:c>
    </x:row>
    <x:row r="893">
      <x:c r="A893" s="62"/>
      <x:c r="B893" s="62"/>
      <x:c r="C893" s="62"/>
      <x:c r="D893" s="62"/>
      <x:c r="E893" s="62"/>
      <x:c r="F893" s="62"/>
      <x:c r="G893" s="66"/>
      <x:c r="H893" s="68"/>
      <x:c r="I893" s="68"/>
      <x:c r="J893" s="68"/>
      <x:c r="K893" s="68"/>
      <x:c r="L893" s="70"/>
      <x:c r="M893" s="64" t="str">
        <x:f>IF(A893="","",IF(AND(E893&lt;&gt;"",F893&lt;&gt;"",ABS(H893-I893)&lt;=0.01,ABS(J893-K893)&lt;=0.01,L893=1),"一致","检查"))</x:f>
      </x:c>
      <x:c r="N893" s="64" t="str">
        <x:f>IF(A893="","",IF(COUNTIF($A$5:$A$1204,A893)&gt;1,"重复",""))</x:f>
      </x:c>
    </x:row>
    <x:row r="894">
      <x:c r="A894" s="62"/>
      <x:c r="B894" s="62"/>
      <x:c r="C894" s="62"/>
      <x:c r="D894" s="62"/>
      <x:c r="E894" s="62"/>
      <x:c r="F894" s="62"/>
      <x:c r="G894" s="66"/>
      <x:c r="H894" s="68"/>
      <x:c r="I894" s="68"/>
      <x:c r="J894" s="68"/>
      <x:c r="K894" s="68"/>
      <x:c r="L894" s="70"/>
      <x:c r="M894" s="64" t="str">
        <x:f>IF(A894="","",IF(AND(E894&lt;&gt;"",F894&lt;&gt;"",ABS(H894-I894)&lt;=0.01,ABS(J894-K894)&lt;=0.01,L894=1),"一致","检查"))</x:f>
      </x:c>
      <x:c r="N894" s="64" t="str">
        <x:f>IF(A894="","",IF(COUNTIF($A$5:$A$1204,A894)&gt;1,"重复",""))</x:f>
      </x:c>
    </x:row>
    <x:row r="895">
      <x:c r="A895" s="62"/>
      <x:c r="B895" s="62"/>
      <x:c r="C895" s="62"/>
      <x:c r="D895" s="62"/>
      <x:c r="E895" s="62"/>
      <x:c r="F895" s="62"/>
      <x:c r="G895" s="66"/>
      <x:c r="H895" s="68"/>
      <x:c r="I895" s="68"/>
      <x:c r="J895" s="68"/>
      <x:c r="K895" s="68"/>
      <x:c r="L895" s="70"/>
      <x:c r="M895" s="64" t="str">
        <x:f>IF(A895="","",IF(AND(E895&lt;&gt;"",F895&lt;&gt;"",ABS(H895-I895)&lt;=0.01,ABS(J895-K895)&lt;=0.01,L895=1),"一致","检查"))</x:f>
      </x:c>
      <x:c r="N895" s="64" t="str">
        <x:f>IF(A895="","",IF(COUNTIF($A$5:$A$1204,A895)&gt;1,"重复",""))</x:f>
      </x:c>
    </x:row>
    <x:row r="896">
      <x:c r="A896" s="62"/>
      <x:c r="B896" s="62"/>
      <x:c r="C896" s="62"/>
      <x:c r="D896" s="62"/>
      <x:c r="E896" s="62"/>
      <x:c r="F896" s="62"/>
      <x:c r="G896" s="66"/>
      <x:c r="H896" s="68"/>
      <x:c r="I896" s="68"/>
      <x:c r="J896" s="68"/>
      <x:c r="K896" s="68"/>
      <x:c r="L896" s="70"/>
      <x:c r="M896" s="64" t="str">
        <x:f>IF(A896="","",IF(AND(E896&lt;&gt;"",F896&lt;&gt;"",ABS(H896-I896)&lt;=0.01,ABS(J896-K896)&lt;=0.01,L896=1),"一致","检查"))</x:f>
      </x:c>
      <x:c r="N896" s="64" t="str">
        <x:f>IF(A896="","",IF(COUNTIF($A$5:$A$1204,A896)&gt;1,"重复",""))</x:f>
      </x:c>
    </x:row>
    <x:row r="897">
      <x:c r="A897" s="62"/>
      <x:c r="B897" s="62"/>
      <x:c r="C897" s="62"/>
      <x:c r="D897" s="62"/>
      <x:c r="E897" s="62"/>
      <x:c r="F897" s="62"/>
      <x:c r="G897" s="66"/>
      <x:c r="H897" s="68"/>
      <x:c r="I897" s="68"/>
      <x:c r="J897" s="68"/>
      <x:c r="K897" s="68"/>
      <x:c r="L897" s="70"/>
      <x:c r="M897" s="64" t="str">
        <x:f>IF(A897="","",IF(AND(E897&lt;&gt;"",F897&lt;&gt;"",ABS(H897-I897)&lt;=0.01,ABS(J897-K897)&lt;=0.01,L897=1),"一致","检查"))</x:f>
      </x:c>
      <x:c r="N897" s="64" t="str">
        <x:f>IF(A897="","",IF(COUNTIF($A$5:$A$1204,A897)&gt;1,"重复",""))</x:f>
      </x:c>
    </x:row>
    <x:row r="898">
      <x:c r="A898" s="62"/>
      <x:c r="B898" s="62"/>
      <x:c r="C898" s="62"/>
      <x:c r="D898" s="62"/>
      <x:c r="E898" s="62"/>
      <x:c r="F898" s="62"/>
      <x:c r="G898" s="66"/>
      <x:c r="H898" s="68"/>
      <x:c r="I898" s="68"/>
      <x:c r="J898" s="68"/>
      <x:c r="K898" s="68"/>
      <x:c r="L898" s="70"/>
      <x:c r="M898" s="64" t="str">
        <x:f>IF(A898="","",IF(AND(E898&lt;&gt;"",F898&lt;&gt;"",ABS(H898-I898)&lt;=0.01,ABS(J898-K898)&lt;=0.01,L898=1),"一致","检查"))</x:f>
      </x:c>
      <x:c r="N898" s="64" t="str">
        <x:f>IF(A898="","",IF(COUNTIF($A$5:$A$1204,A898)&gt;1,"重复",""))</x:f>
      </x:c>
    </x:row>
    <x:row r="899">
      <x:c r="A899" s="62"/>
      <x:c r="B899" s="62"/>
      <x:c r="C899" s="62"/>
      <x:c r="D899" s="62"/>
      <x:c r="E899" s="62"/>
      <x:c r="F899" s="62"/>
      <x:c r="G899" s="66"/>
      <x:c r="H899" s="68"/>
      <x:c r="I899" s="68"/>
      <x:c r="J899" s="68"/>
      <x:c r="K899" s="68"/>
      <x:c r="L899" s="70"/>
      <x:c r="M899" s="64" t="str">
        <x:f>IF(A899="","",IF(AND(E899&lt;&gt;"",F899&lt;&gt;"",ABS(H899-I899)&lt;=0.01,ABS(J899-K899)&lt;=0.01,L899=1),"一致","检查"))</x:f>
      </x:c>
      <x:c r="N899" s="64" t="str">
        <x:f>IF(A899="","",IF(COUNTIF($A$5:$A$1204,A899)&gt;1,"重复",""))</x:f>
      </x:c>
    </x:row>
    <x:row r="900">
      <x:c r="A900" s="62"/>
      <x:c r="B900" s="62"/>
      <x:c r="C900" s="62"/>
      <x:c r="D900" s="62"/>
      <x:c r="E900" s="62"/>
      <x:c r="F900" s="62"/>
      <x:c r="G900" s="66"/>
      <x:c r="H900" s="68"/>
      <x:c r="I900" s="68"/>
      <x:c r="J900" s="68"/>
      <x:c r="K900" s="68"/>
      <x:c r="L900" s="70"/>
      <x:c r="M900" s="64" t="str">
        <x:f>IF(A900="","",IF(AND(E900&lt;&gt;"",F900&lt;&gt;"",ABS(H900-I900)&lt;=0.01,ABS(J900-K900)&lt;=0.01,L900=1),"一致","检查"))</x:f>
      </x:c>
      <x:c r="N900" s="64" t="str">
        <x:f>IF(A900="","",IF(COUNTIF($A$5:$A$1204,A900)&gt;1,"重复",""))</x:f>
      </x:c>
    </x:row>
    <x:row r="901">
      <x:c r="A901" s="62"/>
      <x:c r="B901" s="62"/>
      <x:c r="C901" s="62"/>
      <x:c r="D901" s="62"/>
      <x:c r="E901" s="62"/>
      <x:c r="F901" s="62"/>
      <x:c r="G901" s="66"/>
      <x:c r="H901" s="68"/>
      <x:c r="I901" s="68"/>
      <x:c r="J901" s="68"/>
      <x:c r="K901" s="68"/>
      <x:c r="L901" s="70"/>
      <x:c r="M901" s="64" t="str">
        <x:f>IF(A901="","",IF(AND(E901&lt;&gt;"",F901&lt;&gt;"",ABS(H901-I901)&lt;=0.01,ABS(J901-K901)&lt;=0.01,L901=1),"一致","检查"))</x:f>
      </x:c>
      <x:c r="N901" s="64" t="str">
        <x:f>IF(A901="","",IF(COUNTIF($A$5:$A$1204,A901)&gt;1,"重复",""))</x:f>
      </x:c>
    </x:row>
    <x:row r="902">
      <x:c r="A902" s="62"/>
      <x:c r="B902" s="62"/>
      <x:c r="C902" s="62"/>
      <x:c r="D902" s="62"/>
      <x:c r="E902" s="62"/>
      <x:c r="F902" s="62"/>
      <x:c r="G902" s="66"/>
      <x:c r="H902" s="68"/>
      <x:c r="I902" s="68"/>
      <x:c r="J902" s="68"/>
      <x:c r="K902" s="68"/>
      <x:c r="L902" s="70"/>
      <x:c r="M902" s="64" t="str">
        <x:f>IF(A902="","",IF(AND(E902&lt;&gt;"",F902&lt;&gt;"",ABS(H902-I902)&lt;=0.01,ABS(J902-K902)&lt;=0.01,L902=1),"一致","检查"))</x:f>
      </x:c>
      <x:c r="N902" s="64" t="str">
        <x:f>IF(A902="","",IF(COUNTIF($A$5:$A$1204,A902)&gt;1,"重复",""))</x:f>
      </x:c>
    </x:row>
    <x:row r="903">
      <x:c r="A903" s="62"/>
      <x:c r="B903" s="62"/>
      <x:c r="C903" s="62"/>
      <x:c r="D903" s="62"/>
      <x:c r="E903" s="62"/>
      <x:c r="F903" s="62"/>
      <x:c r="G903" s="66"/>
      <x:c r="H903" s="68"/>
      <x:c r="I903" s="68"/>
      <x:c r="J903" s="68"/>
      <x:c r="K903" s="68"/>
      <x:c r="L903" s="70"/>
      <x:c r="M903" s="64" t="str">
        <x:f>IF(A903="","",IF(AND(E903&lt;&gt;"",F903&lt;&gt;"",ABS(H903-I903)&lt;=0.01,ABS(J903-K903)&lt;=0.01,L903=1),"一致","检查"))</x:f>
      </x:c>
      <x:c r="N903" s="64" t="str">
        <x:f>IF(A903="","",IF(COUNTIF($A$5:$A$1204,A903)&gt;1,"重复",""))</x:f>
      </x:c>
    </x:row>
    <x:row r="904">
      <x:c r="A904" s="62"/>
      <x:c r="B904" s="62"/>
      <x:c r="C904" s="62"/>
      <x:c r="D904" s="62"/>
      <x:c r="E904" s="62"/>
      <x:c r="F904" s="62"/>
      <x:c r="G904" s="66"/>
      <x:c r="H904" s="68"/>
      <x:c r="I904" s="68"/>
      <x:c r="J904" s="68"/>
      <x:c r="K904" s="68"/>
      <x:c r="L904" s="70"/>
      <x:c r="M904" s="64" t="str">
        <x:f>IF(A904="","",IF(AND(E904&lt;&gt;"",F904&lt;&gt;"",ABS(H904-I904)&lt;=0.01,ABS(J904-K904)&lt;=0.01,L904=1),"一致","检查"))</x:f>
      </x:c>
      <x:c r="N904" s="64" t="str">
        <x:f>IF(A904="","",IF(COUNTIF($A$5:$A$1204,A904)&gt;1,"重复",""))</x:f>
      </x:c>
    </x:row>
    <x:row r="905">
      <x:c r="A905" s="62"/>
      <x:c r="B905" s="62"/>
      <x:c r="C905" s="62"/>
      <x:c r="D905" s="62"/>
      <x:c r="E905" s="62"/>
      <x:c r="F905" s="62"/>
      <x:c r="G905" s="66"/>
      <x:c r="H905" s="68"/>
      <x:c r="I905" s="68"/>
      <x:c r="J905" s="68"/>
      <x:c r="K905" s="68"/>
      <x:c r="L905" s="70"/>
      <x:c r="M905" s="64" t="str">
        <x:f>IF(A905="","",IF(AND(E905&lt;&gt;"",F905&lt;&gt;"",ABS(H905-I905)&lt;=0.01,ABS(J905-K905)&lt;=0.01,L905=1),"一致","检查"))</x:f>
      </x:c>
      <x:c r="N905" s="64" t="str">
        <x:f>IF(A905="","",IF(COUNTIF($A$5:$A$1204,A905)&gt;1,"重复",""))</x:f>
      </x:c>
    </x:row>
    <x:row r="906">
      <x:c r="A906" s="62"/>
      <x:c r="B906" s="62"/>
      <x:c r="C906" s="62"/>
      <x:c r="D906" s="62"/>
      <x:c r="E906" s="62"/>
      <x:c r="F906" s="62"/>
      <x:c r="G906" s="66"/>
      <x:c r="H906" s="68"/>
      <x:c r="I906" s="68"/>
      <x:c r="J906" s="68"/>
      <x:c r="K906" s="68"/>
      <x:c r="L906" s="70"/>
      <x:c r="M906" s="64" t="str">
        <x:f>IF(A906="","",IF(AND(E906&lt;&gt;"",F906&lt;&gt;"",ABS(H906-I906)&lt;=0.01,ABS(J906-K906)&lt;=0.01,L906=1),"一致","检查"))</x:f>
      </x:c>
      <x:c r="N906" s="64" t="str">
        <x:f>IF(A906="","",IF(COUNTIF($A$5:$A$1204,A906)&gt;1,"重复",""))</x:f>
      </x:c>
    </x:row>
    <x:row r="907">
      <x:c r="A907" s="62"/>
      <x:c r="B907" s="62"/>
      <x:c r="C907" s="62"/>
      <x:c r="D907" s="62"/>
      <x:c r="E907" s="62"/>
      <x:c r="F907" s="62"/>
      <x:c r="G907" s="66"/>
      <x:c r="H907" s="68"/>
      <x:c r="I907" s="68"/>
      <x:c r="J907" s="68"/>
      <x:c r="K907" s="68"/>
      <x:c r="L907" s="70"/>
      <x:c r="M907" s="64" t="str">
        <x:f>IF(A907="","",IF(AND(E907&lt;&gt;"",F907&lt;&gt;"",ABS(H907-I907)&lt;=0.01,ABS(J907-K907)&lt;=0.01,L907=1),"一致","检查"))</x:f>
      </x:c>
      <x:c r="N907" s="64" t="str">
        <x:f>IF(A907="","",IF(COUNTIF($A$5:$A$1204,A907)&gt;1,"重复",""))</x:f>
      </x:c>
    </x:row>
    <x:row r="908">
      <x:c r="A908" s="62"/>
      <x:c r="B908" s="62"/>
      <x:c r="C908" s="62"/>
      <x:c r="D908" s="62"/>
      <x:c r="E908" s="62"/>
      <x:c r="F908" s="62"/>
      <x:c r="G908" s="66"/>
      <x:c r="H908" s="68"/>
      <x:c r="I908" s="68"/>
      <x:c r="J908" s="68"/>
      <x:c r="K908" s="68"/>
      <x:c r="L908" s="70"/>
      <x:c r="M908" s="64" t="str">
        <x:f>IF(A908="","",IF(AND(E908&lt;&gt;"",F908&lt;&gt;"",ABS(H908-I908)&lt;=0.01,ABS(J908-K908)&lt;=0.01,L908=1),"一致","检查"))</x:f>
      </x:c>
      <x:c r="N908" s="64" t="str">
        <x:f>IF(A908="","",IF(COUNTIF($A$5:$A$1204,A908)&gt;1,"重复",""))</x:f>
      </x:c>
    </x:row>
    <x:row r="909">
      <x:c r="A909" s="62"/>
      <x:c r="B909" s="62"/>
      <x:c r="C909" s="62"/>
      <x:c r="D909" s="62"/>
      <x:c r="E909" s="62"/>
      <x:c r="F909" s="62"/>
      <x:c r="G909" s="66"/>
      <x:c r="H909" s="68"/>
      <x:c r="I909" s="68"/>
      <x:c r="J909" s="68"/>
      <x:c r="K909" s="68"/>
      <x:c r="L909" s="70"/>
      <x:c r="M909" s="64" t="str">
        <x:f>IF(A909="","",IF(AND(E909&lt;&gt;"",F909&lt;&gt;"",ABS(H909-I909)&lt;=0.01,ABS(J909-K909)&lt;=0.01,L909=1),"一致","检查"))</x:f>
      </x:c>
      <x:c r="N909" s="64" t="str">
        <x:f>IF(A909="","",IF(COUNTIF($A$5:$A$1204,A909)&gt;1,"重复",""))</x:f>
      </x:c>
    </x:row>
    <x:row r="910">
      <x:c r="A910" s="62"/>
      <x:c r="B910" s="62"/>
      <x:c r="C910" s="62"/>
      <x:c r="D910" s="62"/>
      <x:c r="E910" s="62"/>
      <x:c r="F910" s="62"/>
      <x:c r="G910" s="66"/>
      <x:c r="H910" s="68"/>
      <x:c r="I910" s="68"/>
      <x:c r="J910" s="68"/>
      <x:c r="K910" s="68"/>
      <x:c r="L910" s="70"/>
      <x:c r="M910" s="64" t="str">
        <x:f>IF(A910="","",IF(AND(E910&lt;&gt;"",F910&lt;&gt;"",ABS(H910-I910)&lt;=0.01,ABS(J910-K910)&lt;=0.01,L910=1),"一致","检查"))</x:f>
      </x:c>
      <x:c r="N910" s="64" t="str">
        <x:f>IF(A910="","",IF(COUNTIF($A$5:$A$1204,A910)&gt;1,"重复",""))</x:f>
      </x:c>
    </x:row>
    <x:row r="911">
      <x:c r="A911" s="62"/>
      <x:c r="B911" s="62"/>
      <x:c r="C911" s="62"/>
      <x:c r="D911" s="62"/>
      <x:c r="E911" s="62"/>
      <x:c r="F911" s="62"/>
      <x:c r="G911" s="66"/>
      <x:c r="H911" s="68"/>
      <x:c r="I911" s="68"/>
      <x:c r="J911" s="68"/>
      <x:c r="K911" s="68"/>
      <x:c r="L911" s="70"/>
      <x:c r="M911" s="64" t="str">
        <x:f>IF(A911="","",IF(AND(E911&lt;&gt;"",F911&lt;&gt;"",ABS(H911-I911)&lt;=0.01,ABS(J911-K911)&lt;=0.01,L911=1),"一致","检查"))</x:f>
      </x:c>
      <x:c r="N911" s="64" t="str">
        <x:f>IF(A911="","",IF(COUNTIF($A$5:$A$1204,A911)&gt;1,"重复",""))</x:f>
      </x:c>
    </x:row>
    <x:row r="912">
      <x:c r="A912" s="62"/>
      <x:c r="B912" s="62"/>
      <x:c r="C912" s="62"/>
      <x:c r="D912" s="62"/>
      <x:c r="E912" s="62"/>
      <x:c r="F912" s="62"/>
      <x:c r="G912" s="66"/>
      <x:c r="H912" s="68"/>
      <x:c r="I912" s="68"/>
      <x:c r="J912" s="68"/>
      <x:c r="K912" s="68"/>
      <x:c r="L912" s="70"/>
      <x:c r="M912" s="64" t="str">
        <x:f>IF(A912="","",IF(AND(E912&lt;&gt;"",F912&lt;&gt;"",ABS(H912-I912)&lt;=0.01,ABS(J912-K912)&lt;=0.01,L912=1),"一致","检查"))</x:f>
      </x:c>
      <x:c r="N912" s="64" t="str">
        <x:f>IF(A912="","",IF(COUNTIF($A$5:$A$1204,A912)&gt;1,"重复",""))</x:f>
      </x:c>
    </x:row>
    <x:row r="913">
      <x:c r="A913" s="62"/>
      <x:c r="B913" s="62"/>
      <x:c r="C913" s="62"/>
      <x:c r="D913" s="62"/>
      <x:c r="E913" s="62"/>
      <x:c r="F913" s="62"/>
      <x:c r="G913" s="66"/>
      <x:c r="H913" s="68"/>
      <x:c r="I913" s="68"/>
      <x:c r="J913" s="68"/>
      <x:c r="K913" s="68"/>
      <x:c r="L913" s="70"/>
      <x:c r="M913" s="64" t="str">
        <x:f>IF(A913="","",IF(AND(E913&lt;&gt;"",F913&lt;&gt;"",ABS(H913-I913)&lt;=0.01,ABS(J913-K913)&lt;=0.01,L913=1),"一致","检查"))</x:f>
      </x:c>
      <x:c r="N913" s="64" t="str">
        <x:f>IF(A913="","",IF(COUNTIF($A$5:$A$1204,A913)&gt;1,"重复",""))</x:f>
      </x:c>
    </x:row>
    <x:row r="914">
      <x:c r="A914" s="62"/>
      <x:c r="B914" s="62"/>
      <x:c r="C914" s="62"/>
      <x:c r="D914" s="62"/>
      <x:c r="E914" s="62"/>
      <x:c r="F914" s="62"/>
      <x:c r="G914" s="66"/>
      <x:c r="H914" s="68"/>
      <x:c r="I914" s="68"/>
      <x:c r="J914" s="68"/>
      <x:c r="K914" s="68"/>
      <x:c r="L914" s="70"/>
      <x:c r="M914" s="64" t="str">
        <x:f>IF(A914="","",IF(AND(E914&lt;&gt;"",F914&lt;&gt;"",ABS(H914-I914)&lt;=0.01,ABS(J914-K914)&lt;=0.01,L914=1),"一致","检查"))</x:f>
      </x:c>
      <x:c r="N914" s="64" t="str">
        <x:f>IF(A914="","",IF(COUNTIF($A$5:$A$1204,A914)&gt;1,"重复",""))</x:f>
      </x:c>
    </x:row>
    <x:row r="915">
      <x:c r="A915" s="62"/>
      <x:c r="B915" s="62"/>
      <x:c r="C915" s="62"/>
      <x:c r="D915" s="62"/>
      <x:c r="E915" s="62"/>
      <x:c r="F915" s="62"/>
      <x:c r="G915" s="66"/>
      <x:c r="H915" s="68"/>
      <x:c r="I915" s="68"/>
      <x:c r="J915" s="68"/>
      <x:c r="K915" s="68"/>
      <x:c r="L915" s="70"/>
      <x:c r="M915" s="64" t="str">
        <x:f>IF(A915="","",IF(AND(E915&lt;&gt;"",F915&lt;&gt;"",ABS(H915-I915)&lt;=0.01,ABS(J915-K915)&lt;=0.01,L915=1),"一致","检查"))</x:f>
      </x:c>
      <x:c r="N915" s="64" t="str">
        <x:f>IF(A915="","",IF(COUNTIF($A$5:$A$1204,A915)&gt;1,"重复",""))</x:f>
      </x:c>
    </x:row>
    <x:row r="916">
      <x:c r="A916" s="62"/>
      <x:c r="B916" s="62"/>
      <x:c r="C916" s="62"/>
      <x:c r="D916" s="62"/>
      <x:c r="E916" s="62"/>
      <x:c r="F916" s="62"/>
      <x:c r="G916" s="66"/>
      <x:c r="H916" s="68"/>
      <x:c r="I916" s="68"/>
      <x:c r="J916" s="68"/>
      <x:c r="K916" s="68"/>
      <x:c r="L916" s="70"/>
      <x:c r="M916" s="64" t="str">
        <x:f>IF(A916="","",IF(AND(E916&lt;&gt;"",F916&lt;&gt;"",ABS(H916-I916)&lt;=0.01,ABS(J916-K916)&lt;=0.01,L916=1),"一致","检查"))</x:f>
      </x:c>
      <x:c r="N916" s="64" t="str">
        <x:f>IF(A916="","",IF(COUNTIF($A$5:$A$1204,A916)&gt;1,"重复",""))</x:f>
      </x:c>
    </x:row>
    <x:row r="917">
      <x:c r="A917" s="62"/>
      <x:c r="B917" s="62"/>
      <x:c r="C917" s="62"/>
      <x:c r="D917" s="62"/>
      <x:c r="E917" s="62"/>
      <x:c r="F917" s="62"/>
      <x:c r="G917" s="66"/>
      <x:c r="H917" s="68"/>
      <x:c r="I917" s="68"/>
      <x:c r="J917" s="68"/>
      <x:c r="K917" s="68"/>
      <x:c r="L917" s="70"/>
      <x:c r="M917" s="64" t="str">
        <x:f>IF(A917="","",IF(AND(E917&lt;&gt;"",F917&lt;&gt;"",ABS(H917-I917)&lt;=0.01,ABS(J917-K917)&lt;=0.01,L917=1),"一致","检查"))</x:f>
      </x:c>
      <x:c r="N917" s="64" t="str">
        <x:f>IF(A917="","",IF(COUNTIF($A$5:$A$1204,A917)&gt;1,"重复",""))</x:f>
      </x:c>
    </x:row>
    <x:row r="918">
      <x:c r="A918" s="62"/>
      <x:c r="B918" s="62"/>
      <x:c r="C918" s="62"/>
      <x:c r="D918" s="62"/>
      <x:c r="E918" s="62"/>
      <x:c r="F918" s="62"/>
      <x:c r="G918" s="66"/>
      <x:c r="H918" s="68"/>
      <x:c r="I918" s="68"/>
      <x:c r="J918" s="68"/>
      <x:c r="K918" s="68"/>
      <x:c r="L918" s="70"/>
      <x:c r="M918" s="64" t="str">
        <x:f>IF(A918="","",IF(AND(E918&lt;&gt;"",F918&lt;&gt;"",ABS(H918-I918)&lt;=0.01,ABS(J918-K918)&lt;=0.01,L918=1),"一致","检查"))</x:f>
      </x:c>
      <x:c r="N918" s="64" t="str">
        <x:f>IF(A918="","",IF(COUNTIF($A$5:$A$1204,A918)&gt;1,"重复",""))</x:f>
      </x:c>
    </x:row>
    <x:row r="919">
      <x:c r="A919" s="62"/>
      <x:c r="B919" s="62"/>
      <x:c r="C919" s="62"/>
      <x:c r="D919" s="62"/>
      <x:c r="E919" s="62"/>
      <x:c r="F919" s="62"/>
      <x:c r="G919" s="66"/>
      <x:c r="H919" s="68"/>
      <x:c r="I919" s="68"/>
      <x:c r="J919" s="68"/>
      <x:c r="K919" s="68"/>
      <x:c r="L919" s="70"/>
      <x:c r="M919" s="64" t="str">
        <x:f>IF(A919="","",IF(AND(E919&lt;&gt;"",F919&lt;&gt;"",ABS(H919-I919)&lt;=0.01,ABS(J919-K919)&lt;=0.01,L919=1),"一致","检查"))</x:f>
      </x:c>
      <x:c r="N919" s="64" t="str">
        <x:f>IF(A919="","",IF(COUNTIF($A$5:$A$1204,A919)&gt;1,"重复",""))</x:f>
      </x:c>
    </x:row>
    <x:row r="920">
      <x:c r="A920" s="62"/>
      <x:c r="B920" s="62"/>
      <x:c r="C920" s="62"/>
      <x:c r="D920" s="62"/>
      <x:c r="E920" s="62"/>
      <x:c r="F920" s="62"/>
      <x:c r="G920" s="66"/>
      <x:c r="H920" s="68"/>
      <x:c r="I920" s="68"/>
      <x:c r="J920" s="68"/>
      <x:c r="K920" s="68"/>
      <x:c r="L920" s="70"/>
      <x:c r="M920" s="64" t="str">
        <x:f>IF(A920="","",IF(AND(E920&lt;&gt;"",F920&lt;&gt;"",ABS(H920-I920)&lt;=0.01,ABS(J920-K920)&lt;=0.01,L920=1),"一致","检查"))</x:f>
      </x:c>
      <x:c r="N920" s="64" t="str">
        <x:f>IF(A920="","",IF(COUNTIF($A$5:$A$1204,A920)&gt;1,"重复",""))</x:f>
      </x:c>
    </x:row>
    <x:row r="921">
      <x:c r="A921" s="62"/>
      <x:c r="B921" s="62"/>
      <x:c r="C921" s="62"/>
      <x:c r="D921" s="62"/>
      <x:c r="E921" s="62"/>
      <x:c r="F921" s="62"/>
      <x:c r="G921" s="66"/>
      <x:c r="H921" s="68"/>
      <x:c r="I921" s="68"/>
      <x:c r="J921" s="68"/>
      <x:c r="K921" s="68"/>
      <x:c r="L921" s="70"/>
      <x:c r="M921" s="64" t="str">
        <x:f>IF(A921="","",IF(AND(E921&lt;&gt;"",F921&lt;&gt;"",ABS(H921-I921)&lt;=0.01,ABS(J921-K921)&lt;=0.01,L921=1),"一致","检查"))</x:f>
      </x:c>
      <x:c r="N921" s="64" t="str">
        <x:f>IF(A921="","",IF(COUNTIF($A$5:$A$1204,A921)&gt;1,"重复",""))</x:f>
      </x:c>
    </x:row>
    <x:row r="922">
      <x:c r="A922" s="62"/>
      <x:c r="B922" s="62"/>
      <x:c r="C922" s="62"/>
      <x:c r="D922" s="62"/>
      <x:c r="E922" s="62"/>
      <x:c r="F922" s="62"/>
      <x:c r="G922" s="66"/>
      <x:c r="H922" s="68"/>
      <x:c r="I922" s="68"/>
      <x:c r="J922" s="68"/>
      <x:c r="K922" s="68"/>
      <x:c r="L922" s="70"/>
      <x:c r="M922" s="64" t="str">
        <x:f>IF(A922="","",IF(AND(E922&lt;&gt;"",F922&lt;&gt;"",ABS(H922-I922)&lt;=0.01,ABS(J922-K922)&lt;=0.01,L922=1),"一致","检查"))</x:f>
      </x:c>
      <x:c r="N922" s="64" t="str">
        <x:f>IF(A922="","",IF(COUNTIF($A$5:$A$1204,A922)&gt;1,"重复",""))</x:f>
      </x:c>
    </x:row>
    <x:row r="923">
      <x:c r="A923" s="62"/>
      <x:c r="B923" s="62"/>
      <x:c r="C923" s="62"/>
      <x:c r="D923" s="62"/>
      <x:c r="E923" s="62"/>
      <x:c r="F923" s="62"/>
      <x:c r="G923" s="66"/>
      <x:c r="H923" s="68"/>
      <x:c r="I923" s="68"/>
      <x:c r="J923" s="68"/>
      <x:c r="K923" s="68"/>
      <x:c r="L923" s="70"/>
      <x:c r="M923" s="64" t="str">
        <x:f>IF(A923="","",IF(AND(E923&lt;&gt;"",F923&lt;&gt;"",ABS(H923-I923)&lt;=0.01,ABS(J923-K923)&lt;=0.01,L923=1),"一致","检查"))</x:f>
      </x:c>
      <x:c r="N923" s="64" t="str">
        <x:f>IF(A923="","",IF(COUNTIF($A$5:$A$1204,A923)&gt;1,"重复",""))</x:f>
      </x:c>
    </x:row>
    <x:row r="924">
      <x:c r="A924" s="62"/>
      <x:c r="B924" s="62"/>
      <x:c r="C924" s="62"/>
      <x:c r="D924" s="62"/>
      <x:c r="E924" s="62"/>
      <x:c r="F924" s="62"/>
      <x:c r="G924" s="66"/>
      <x:c r="H924" s="68"/>
      <x:c r="I924" s="68"/>
      <x:c r="J924" s="68"/>
      <x:c r="K924" s="68"/>
      <x:c r="L924" s="70"/>
      <x:c r="M924" s="64" t="str">
        <x:f>IF(A924="","",IF(AND(E924&lt;&gt;"",F924&lt;&gt;"",ABS(H924-I924)&lt;=0.01,ABS(J924-K924)&lt;=0.01,L924=1),"一致","检查"))</x:f>
      </x:c>
      <x:c r="N924" s="64" t="str">
        <x:f>IF(A924="","",IF(COUNTIF($A$5:$A$1204,A924)&gt;1,"重复",""))</x:f>
      </x:c>
    </x:row>
    <x:row r="925">
      <x:c r="A925" s="62"/>
      <x:c r="B925" s="62"/>
      <x:c r="C925" s="62"/>
      <x:c r="D925" s="62"/>
      <x:c r="E925" s="62"/>
      <x:c r="F925" s="62"/>
      <x:c r="G925" s="66"/>
      <x:c r="H925" s="68"/>
      <x:c r="I925" s="68"/>
      <x:c r="J925" s="68"/>
      <x:c r="K925" s="68"/>
      <x:c r="L925" s="70"/>
      <x:c r="M925" s="64" t="str">
        <x:f>IF(A925="","",IF(AND(E925&lt;&gt;"",F925&lt;&gt;"",ABS(H925-I925)&lt;=0.01,ABS(J925-K925)&lt;=0.01,L925=1),"一致","检查"))</x:f>
      </x:c>
      <x:c r="N925" s="64" t="str">
        <x:f>IF(A925="","",IF(COUNTIF($A$5:$A$1204,A925)&gt;1,"重复",""))</x:f>
      </x:c>
    </x:row>
    <x:row r="926">
      <x:c r="A926" s="62"/>
      <x:c r="B926" s="62"/>
      <x:c r="C926" s="62"/>
      <x:c r="D926" s="62"/>
      <x:c r="E926" s="62"/>
      <x:c r="F926" s="62"/>
      <x:c r="G926" s="66"/>
      <x:c r="H926" s="68"/>
      <x:c r="I926" s="68"/>
      <x:c r="J926" s="68"/>
      <x:c r="K926" s="68"/>
      <x:c r="L926" s="70"/>
      <x:c r="M926" s="64" t="str">
        <x:f>IF(A926="","",IF(AND(E926&lt;&gt;"",F926&lt;&gt;"",ABS(H926-I926)&lt;=0.01,ABS(J926-K926)&lt;=0.01,L926=1),"一致","检查"))</x:f>
      </x:c>
      <x:c r="N926" s="64" t="str">
        <x:f>IF(A926="","",IF(COUNTIF($A$5:$A$1204,A926)&gt;1,"重复",""))</x:f>
      </x:c>
    </x:row>
    <x:row r="927">
      <x:c r="A927" s="62"/>
      <x:c r="B927" s="62"/>
      <x:c r="C927" s="62"/>
      <x:c r="D927" s="62"/>
      <x:c r="E927" s="62"/>
      <x:c r="F927" s="62"/>
      <x:c r="G927" s="66"/>
      <x:c r="H927" s="68"/>
      <x:c r="I927" s="68"/>
      <x:c r="J927" s="68"/>
      <x:c r="K927" s="68"/>
      <x:c r="L927" s="70"/>
      <x:c r="M927" s="64" t="str">
        <x:f>IF(A927="","",IF(AND(E927&lt;&gt;"",F927&lt;&gt;"",ABS(H927-I927)&lt;=0.01,ABS(J927-K927)&lt;=0.01,L927=1),"一致","检查"))</x:f>
      </x:c>
      <x:c r="N927" s="64" t="str">
        <x:f>IF(A927="","",IF(COUNTIF($A$5:$A$1204,A927)&gt;1,"重复",""))</x:f>
      </x:c>
    </x:row>
    <x:row r="928">
      <x:c r="A928" s="62"/>
      <x:c r="B928" s="62"/>
      <x:c r="C928" s="62"/>
      <x:c r="D928" s="62"/>
      <x:c r="E928" s="62"/>
      <x:c r="F928" s="62"/>
      <x:c r="G928" s="66"/>
      <x:c r="H928" s="68"/>
      <x:c r="I928" s="68"/>
      <x:c r="J928" s="68"/>
      <x:c r="K928" s="68"/>
      <x:c r="L928" s="70"/>
      <x:c r="M928" s="64" t="str">
        <x:f>IF(A928="","",IF(AND(E928&lt;&gt;"",F928&lt;&gt;"",ABS(H928-I928)&lt;=0.01,ABS(J928-K928)&lt;=0.01,L928=1),"一致","检查"))</x:f>
      </x:c>
      <x:c r="N928" s="64" t="str">
        <x:f>IF(A928="","",IF(COUNTIF($A$5:$A$1204,A928)&gt;1,"重复",""))</x:f>
      </x:c>
    </x:row>
    <x:row r="929">
      <x:c r="A929" s="62"/>
      <x:c r="B929" s="62"/>
      <x:c r="C929" s="62"/>
      <x:c r="D929" s="62"/>
      <x:c r="E929" s="62"/>
      <x:c r="F929" s="62"/>
      <x:c r="G929" s="66"/>
      <x:c r="H929" s="68"/>
      <x:c r="I929" s="68"/>
      <x:c r="J929" s="68"/>
      <x:c r="K929" s="68"/>
      <x:c r="L929" s="70"/>
      <x:c r="M929" s="64" t="str">
        <x:f>IF(A929="","",IF(AND(E929&lt;&gt;"",F929&lt;&gt;"",ABS(H929-I929)&lt;=0.01,ABS(J929-K929)&lt;=0.01,L929=1),"一致","检查"))</x:f>
      </x:c>
      <x:c r="N929" s="64" t="str">
        <x:f>IF(A929="","",IF(COUNTIF($A$5:$A$1204,A929)&gt;1,"重复",""))</x:f>
      </x:c>
    </x:row>
    <x:row r="930">
      <x:c r="A930" s="62"/>
      <x:c r="B930" s="62"/>
      <x:c r="C930" s="62"/>
      <x:c r="D930" s="62"/>
      <x:c r="E930" s="62"/>
      <x:c r="F930" s="62"/>
      <x:c r="G930" s="66"/>
      <x:c r="H930" s="68"/>
      <x:c r="I930" s="68"/>
      <x:c r="J930" s="68"/>
      <x:c r="K930" s="68"/>
      <x:c r="L930" s="70"/>
      <x:c r="M930" s="64" t="str">
        <x:f>IF(A930="","",IF(AND(E930&lt;&gt;"",F930&lt;&gt;"",ABS(H930-I930)&lt;=0.01,ABS(J930-K930)&lt;=0.01,L930=1),"一致","检查"))</x:f>
      </x:c>
      <x:c r="N930" s="64" t="str">
        <x:f>IF(A930="","",IF(COUNTIF($A$5:$A$1204,A930)&gt;1,"重复",""))</x:f>
      </x:c>
    </x:row>
    <x:row r="931">
      <x:c r="A931" s="62"/>
      <x:c r="B931" s="62"/>
      <x:c r="C931" s="62"/>
      <x:c r="D931" s="62"/>
      <x:c r="E931" s="62"/>
      <x:c r="F931" s="62"/>
      <x:c r="G931" s="66"/>
      <x:c r="H931" s="68"/>
      <x:c r="I931" s="68"/>
      <x:c r="J931" s="68"/>
      <x:c r="K931" s="68"/>
      <x:c r="L931" s="70"/>
      <x:c r="M931" s="64" t="str">
        <x:f>IF(A931="","",IF(AND(E931&lt;&gt;"",F931&lt;&gt;"",ABS(H931-I931)&lt;=0.01,ABS(J931-K931)&lt;=0.01,L931=1),"一致","检查"))</x:f>
      </x:c>
      <x:c r="N931" s="64" t="str">
        <x:f>IF(A931="","",IF(COUNTIF($A$5:$A$1204,A931)&gt;1,"重复",""))</x:f>
      </x:c>
    </x:row>
    <x:row r="932">
      <x:c r="A932" s="62"/>
      <x:c r="B932" s="62"/>
      <x:c r="C932" s="62"/>
      <x:c r="D932" s="62"/>
      <x:c r="E932" s="62"/>
      <x:c r="F932" s="62"/>
      <x:c r="G932" s="66"/>
      <x:c r="H932" s="68"/>
      <x:c r="I932" s="68"/>
      <x:c r="J932" s="68"/>
      <x:c r="K932" s="68"/>
      <x:c r="L932" s="70"/>
      <x:c r="M932" s="64" t="str">
        <x:f>IF(A932="","",IF(AND(E932&lt;&gt;"",F932&lt;&gt;"",ABS(H932-I932)&lt;=0.01,ABS(J932-K932)&lt;=0.01,L932=1),"一致","检查"))</x:f>
      </x:c>
      <x:c r="N932" s="64" t="str">
        <x:f>IF(A932="","",IF(COUNTIF($A$5:$A$1204,A932)&gt;1,"重复",""))</x:f>
      </x:c>
    </x:row>
    <x:row r="933">
      <x:c r="A933" s="62"/>
      <x:c r="B933" s="62"/>
      <x:c r="C933" s="62"/>
      <x:c r="D933" s="62"/>
      <x:c r="E933" s="62"/>
      <x:c r="F933" s="62"/>
      <x:c r="G933" s="66"/>
      <x:c r="H933" s="68"/>
      <x:c r="I933" s="68"/>
      <x:c r="J933" s="68"/>
      <x:c r="K933" s="68"/>
      <x:c r="L933" s="70"/>
      <x:c r="M933" s="64" t="str">
        <x:f>IF(A933="","",IF(AND(E933&lt;&gt;"",F933&lt;&gt;"",ABS(H933-I933)&lt;=0.01,ABS(J933-K933)&lt;=0.01,L933=1),"一致","检查"))</x:f>
      </x:c>
      <x:c r="N933" s="64" t="str">
        <x:f>IF(A933="","",IF(COUNTIF($A$5:$A$1204,A933)&gt;1,"重复",""))</x:f>
      </x:c>
    </x:row>
    <x:row r="934">
      <x:c r="A934" s="62"/>
      <x:c r="B934" s="62"/>
      <x:c r="C934" s="62"/>
      <x:c r="D934" s="62"/>
      <x:c r="E934" s="62"/>
      <x:c r="F934" s="62"/>
      <x:c r="G934" s="66"/>
      <x:c r="H934" s="68"/>
      <x:c r="I934" s="68"/>
      <x:c r="J934" s="68"/>
      <x:c r="K934" s="68"/>
      <x:c r="L934" s="70"/>
      <x:c r="M934" s="64" t="str">
        <x:f>IF(A934="","",IF(AND(E934&lt;&gt;"",F934&lt;&gt;"",ABS(H934-I934)&lt;=0.01,ABS(J934-K934)&lt;=0.01,L934=1),"一致","检查"))</x:f>
      </x:c>
      <x:c r="N934" s="64" t="str">
        <x:f>IF(A934="","",IF(COUNTIF($A$5:$A$1204,A934)&gt;1,"重复",""))</x:f>
      </x:c>
    </x:row>
    <x:row r="935">
      <x:c r="A935" s="62"/>
      <x:c r="B935" s="62"/>
      <x:c r="C935" s="62"/>
      <x:c r="D935" s="62"/>
      <x:c r="E935" s="62"/>
      <x:c r="F935" s="62"/>
      <x:c r="G935" s="66"/>
      <x:c r="H935" s="68"/>
      <x:c r="I935" s="68"/>
      <x:c r="J935" s="68"/>
      <x:c r="K935" s="68"/>
      <x:c r="L935" s="70"/>
      <x:c r="M935" s="64" t="str">
        <x:f>IF(A935="","",IF(AND(E935&lt;&gt;"",F935&lt;&gt;"",ABS(H935-I935)&lt;=0.01,ABS(J935-K935)&lt;=0.01,L935=1),"一致","检查"))</x:f>
      </x:c>
      <x:c r="N935" s="64" t="str">
        <x:f>IF(A935="","",IF(COUNTIF($A$5:$A$1204,A935)&gt;1,"重复",""))</x:f>
      </x:c>
    </x:row>
    <x:row r="936">
      <x:c r="A936" s="62"/>
      <x:c r="B936" s="62"/>
      <x:c r="C936" s="62"/>
      <x:c r="D936" s="62"/>
      <x:c r="E936" s="62"/>
      <x:c r="F936" s="62"/>
      <x:c r="G936" s="66"/>
      <x:c r="H936" s="68"/>
      <x:c r="I936" s="68"/>
      <x:c r="J936" s="68"/>
      <x:c r="K936" s="68"/>
      <x:c r="L936" s="70"/>
      <x:c r="M936" s="64" t="str">
        <x:f>IF(A936="","",IF(AND(E936&lt;&gt;"",F936&lt;&gt;"",ABS(H936-I936)&lt;=0.01,ABS(J936-K936)&lt;=0.01,L936=1),"一致","检查"))</x:f>
      </x:c>
      <x:c r="N936" s="64" t="str">
        <x:f>IF(A936="","",IF(COUNTIF($A$5:$A$1204,A936)&gt;1,"重复",""))</x:f>
      </x:c>
    </x:row>
    <x:row r="937">
      <x:c r="A937" s="62"/>
      <x:c r="B937" s="62"/>
      <x:c r="C937" s="62"/>
      <x:c r="D937" s="62"/>
      <x:c r="E937" s="62"/>
      <x:c r="F937" s="62"/>
      <x:c r="G937" s="66"/>
      <x:c r="H937" s="68"/>
      <x:c r="I937" s="68"/>
      <x:c r="J937" s="68"/>
      <x:c r="K937" s="68"/>
      <x:c r="L937" s="70"/>
      <x:c r="M937" s="64" t="str">
        <x:f>IF(A937="","",IF(AND(E937&lt;&gt;"",F937&lt;&gt;"",ABS(H937-I937)&lt;=0.01,ABS(J937-K937)&lt;=0.01,L937=1),"一致","检查"))</x:f>
      </x:c>
      <x:c r="N937" s="64" t="str">
        <x:f>IF(A937="","",IF(COUNTIF($A$5:$A$1204,A937)&gt;1,"重复",""))</x:f>
      </x:c>
    </x:row>
    <x:row r="938">
      <x:c r="A938" s="62"/>
      <x:c r="B938" s="62"/>
      <x:c r="C938" s="62"/>
      <x:c r="D938" s="62"/>
      <x:c r="E938" s="62"/>
      <x:c r="F938" s="62"/>
      <x:c r="G938" s="66"/>
      <x:c r="H938" s="68"/>
      <x:c r="I938" s="68"/>
      <x:c r="J938" s="68"/>
      <x:c r="K938" s="68"/>
      <x:c r="L938" s="70"/>
      <x:c r="M938" s="64" t="str">
        <x:f>IF(A938="","",IF(AND(E938&lt;&gt;"",F938&lt;&gt;"",ABS(H938-I938)&lt;=0.01,ABS(J938-K938)&lt;=0.01,L938=1),"一致","检查"))</x:f>
      </x:c>
      <x:c r="N938" s="64" t="str">
        <x:f>IF(A938="","",IF(COUNTIF($A$5:$A$1204,A938)&gt;1,"重复",""))</x:f>
      </x:c>
    </x:row>
    <x:row r="939">
      <x:c r="A939" s="62"/>
      <x:c r="B939" s="62"/>
      <x:c r="C939" s="62"/>
      <x:c r="D939" s="62"/>
      <x:c r="E939" s="62"/>
      <x:c r="F939" s="62"/>
      <x:c r="G939" s="66"/>
      <x:c r="H939" s="68"/>
      <x:c r="I939" s="68"/>
      <x:c r="J939" s="68"/>
      <x:c r="K939" s="68"/>
      <x:c r="L939" s="70"/>
      <x:c r="M939" s="64" t="str">
        <x:f>IF(A939="","",IF(AND(E939&lt;&gt;"",F939&lt;&gt;"",ABS(H939-I939)&lt;=0.01,ABS(J939-K939)&lt;=0.01,L939=1),"一致","检查"))</x:f>
      </x:c>
      <x:c r="N939" s="64" t="str">
        <x:f>IF(A939="","",IF(COUNTIF($A$5:$A$1204,A939)&gt;1,"重复",""))</x:f>
      </x:c>
    </x:row>
    <x:row r="940">
      <x:c r="A940" s="62"/>
      <x:c r="B940" s="62"/>
      <x:c r="C940" s="62"/>
      <x:c r="D940" s="62"/>
      <x:c r="E940" s="62"/>
      <x:c r="F940" s="62"/>
      <x:c r="G940" s="66"/>
      <x:c r="H940" s="68"/>
      <x:c r="I940" s="68"/>
      <x:c r="J940" s="68"/>
      <x:c r="K940" s="68"/>
      <x:c r="L940" s="70"/>
      <x:c r="M940" s="64" t="str">
        <x:f>IF(A940="","",IF(AND(E940&lt;&gt;"",F940&lt;&gt;"",ABS(H940-I940)&lt;=0.01,ABS(J940-K940)&lt;=0.01,L940=1),"一致","检查"))</x:f>
      </x:c>
      <x:c r="N940" s="64" t="str">
        <x:f>IF(A940="","",IF(COUNTIF($A$5:$A$1204,A940)&gt;1,"重复",""))</x:f>
      </x:c>
    </x:row>
    <x:row r="941">
      <x:c r="A941" s="62"/>
      <x:c r="B941" s="62"/>
      <x:c r="C941" s="62"/>
      <x:c r="D941" s="62"/>
      <x:c r="E941" s="62"/>
      <x:c r="F941" s="62"/>
      <x:c r="G941" s="66"/>
      <x:c r="H941" s="68"/>
      <x:c r="I941" s="68"/>
      <x:c r="J941" s="68"/>
      <x:c r="K941" s="68"/>
      <x:c r="L941" s="70"/>
      <x:c r="M941" s="64" t="str">
        <x:f>IF(A941="","",IF(AND(E941&lt;&gt;"",F941&lt;&gt;"",ABS(H941-I941)&lt;=0.01,ABS(J941-K941)&lt;=0.01,L941=1),"一致","检查"))</x:f>
      </x:c>
      <x:c r="N941" s="64" t="str">
        <x:f>IF(A941="","",IF(COUNTIF($A$5:$A$1204,A941)&gt;1,"重复",""))</x:f>
      </x:c>
    </x:row>
    <x:row r="942">
      <x:c r="A942" s="62"/>
      <x:c r="B942" s="62"/>
      <x:c r="C942" s="62"/>
      <x:c r="D942" s="62"/>
      <x:c r="E942" s="62"/>
      <x:c r="F942" s="62"/>
      <x:c r="G942" s="66"/>
      <x:c r="H942" s="68"/>
      <x:c r="I942" s="68"/>
      <x:c r="J942" s="68"/>
      <x:c r="K942" s="68"/>
      <x:c r="L942" s="70"/>
      <x:c r="M942" s="64" t="str">
        <x:f>IF(A942="","",IF(AND(E942&lt;&gt;"",F942&lt;&gt;"",ABS(H942-I942)&lt;=0.01,ABS(J942-K942)&lt;=0.01,L942=1),"一致","检查"))</x:f>
      </x:c>
      <x:c r="N942" s="64" t="str">
        <x:f>IF(A942="","",IF(COUNTIF($A$5:$A$1204,A942)&gt;1,"重复",""))</x:f>
      </x:c>
    </x:row>
    <x:row r="943">
      <x:c r="A943" s="62"/>
      <x:c r="B943" s="62"/>
      <x:c r="C943" s="62"/>
      <x:c r="D943" s="62"/>
      <x:c r="E943" s="62"/>
      <x:c r="F943" s="62"/>
      <x:c r="G943" s="66"/>
      <x:c r="H943" s="68"/>
      <x:c r="I943" s="68"/>
      <x:c r="J943" s="68"/>
      <x:c r="K943" s="68"/>
      <x:c r="L943" s="70"/>
      <x:c r="M943" s="64" t="str">
        <x:f>IF(A943="","",IF(AND(E943&lt;&gt;"",F943&lt;&gt;"",ABS(H943-I943)&lt;=0.01,ABS(J943-K943)&lt;=0.01,L943=1),"一致","检查"))</x:f>
      </x:c>
      <x:c r="N943" s="64" t="str">
        <x:f>IF(A943="","",IF(COUNTIF($A$5:$A$1204,A943)&gt;1,"重复",""))</x:f>
      </x:c>
    </x:row>
    <x:row r="944">
      <x:c r="A944" s="62"/>
      <x:c r="B944" s="62"/>
      <x:c r="C944" s="62"/>
      <x:c r="D944" s="62"/>
      <x:c r="E944" s="62"/>
      <x:c r="F944" s="62"/>
      <x:c r="G944" s="66"/>
      <x:c r="H944" s="68"/>
      <x:c r="I944" s="68"/>
      <x:c r="J944" s="68"/>
      <x:c r="K944" s="68"/>
      <x:c r="L944" s="70"/>
      <x:c r="M944" s="64" t="str">
        <x:f>IF(A944="","",IF(AND(E944&lt;&gt;"",F944&lt;&gt;"",ABS(H944-I944)&lt;=0.01,ABS(J944-K944)&lt;=0.01,L944=1),"一致","检查"))</x:f>
      </x:c>
      <x:c r="N944" s="64" t="str">
        <x:f>IF(A944="","",IF(COUNTIF($A$5:$A$1204,A944)&gt;1,"重复",""))</x:f>
      </x:c>
    </x:row>
    <x:row r="945">
      <x:c r="A945" s="62"/>
      <x:c r="B945" s="62"/>
      <x:c r="C945" s="62"/>
      <x:c r="D945" s="62"/>
      <x:c r="E945" s="62"/>
      <x:c r="F945" s="62"/>
      <x:c r="G945" s="66"/>
      <x:c r="H945" s="68"/>
      <x:c r="I945" s="68"/>
      <x:c r="J945" s="68"/>
      <x:c r="K945" s="68"/>
      <x:c r="L945" s="70"/>
      <x:c r="M945" s="64" t="str">
        <x:f>IF(A945="","",IF(AND(E945&lt;&gt;"",F945&lt;&gt;"",ABS(H945-I945)&lt;=0.01,ABS(J945-K945)&lt;=0.01,L945=1),"一致","检查"))</x:f>
      </x:c>
      <x:c r="N945" s="64" t="str">
        <x:f>IF(A945="","",IF(COUNTIF($A$5:$A$1204,A945)&gt;1,"重复",""))</x:f>
      </x:c>
    </x:row>
    <x:row r="946">
      <x:c r="A946" s="62"/>
      <x:c r="B946" s="62"/>
      <x:c r="C946" s="62"/>
      <x:c r="D946" s="62"/>
      <x:c r="E946" s="62"/>
      <x:c r="F946" s="62"/>
      <x:c r="G946" s="66"/>
      <x:c r="H946" s="68"/>
      <x:c r="I946" s="68"/>
      <x:c r="J946" s="68"/>
      <x:c r="K946" s="68"/>
      <x:c r="L946" s="70"/>
      <x:c r="M946" s="64" t="str">
        <x:f>IF(A946="","",IF(AND(E946&lt;&gt;"",F946&lt;&gt;"",ABS(H946-I946)&lt;=0.01,ABS(J946-K946)&lt;=0.01,L946=1),"一致","检查"))</x:f>
      </x:c>
      <x:c r="N946" s="64" t="str">
        <x:f>IF(A946="","",IF(COUNTIF($A$5:$A$1204,A946)&gt;1,"重复",""))</x:f>
      </x:c>
    </x:row>
    <x:row r="947">
      <x:c r="A947" s="62"/>
      <x:c r="B947" s="62"/>
      <x:c r="C947" s="62"/>
      <x:c r="D947" s="62"/>
      <x:c r="E947" s="62"/>
      <x:c r="F947" s="62"/>
      <x:c r="G947" s="66"/>
      <x:c r="H947" s="68"/>
      <x:c r="I947" s="68"/>
      <x:c r="J947" s="68"/>
      <x:c r="K947" s="68"/>
      <x:c r="L947" s="70"/>
      <x:c r="M947" s="64" t="str">
        <x:f>IF(A947="","",IF(AND(E947&lt;&gt;"",F947&lt;&gt;"",ABS(H947-I947)&lt;=0.01,ABS(J947-K947)&lt;=0.01,L947=1),"一致","检查"))</x:f>
      </x:c>
      <x:c r="N947" s="64" t="str">
        <x:f>IF(A947="","",IF(COUNTIF($A$5:$A$1204,A947)&gt;1,"重复",""))</x:f>
      </x:c>
    </x:row>
    <x:row r="948">
      <x:c r="A948" s="62"/>
      <x:c r="B948" s="62"/>
      <x:c r="C948" s="62"/>
      <x:c r="D948" s="62"/>
      <x:c r="E948" s="62"/>
      <x:c r="F948" s="62"/>
      <x:c r="G948" s="66"/>
      <x:c r="H948" s="68"/>
      <x:c r="I948" s="68"/>
      <x:c r="J948" s="68"/>
      <x:c r="K948" s="68"/>
      <x:c r="L948" s="70"/>
      <x:c r="M948" s="64" t="str">
        <x:f>IF(A948="","",IF(AND(E948&lt;&gt;"",F948&lt;&gt;"",ABS(H948-I948)&lt;=0.01,ABS(J948-K948)&lt;=0.01,L948=1),"一致","检查"))</x:f>
      </x:c>
      <x:c r="N948" s="64" t="str">
        <x:f>IF(A948="","",IF(COUNTIF($A$5:$A$1204,A948)&gt;1,"重复",""))</x:f>
      </x:c>
    </x:row>
    <x:row r="949">
      <x:c r="A949" s="62"/>
      <x:c r="B949" s="62"/>
      <x:c r="C949" s="62"/>
      <x:c r="D949" s="62"/>
      <x:c r="E949" s="62"/>
      <x:c r="F949" s="62"/>
      <x:c r="G949" s="66"/>
      <x:c r="H949" s="68"/>
      <x:c r="I949" s="68"/>
      <x:c r="J949" s="68"/>
      <x:c r="K949" s="68"/>
      <x:c r="L949" s="70"/>
      <x:c r="M949" s="64" t="str">
        <x:f>IF(A949="","",IF(AND(E949&lt;&gt;"",F949&lt;&gt;"",ABS(H949-I949)&lt;=0.01,ABS(J949-K949)&lt;=0.01,L949=1),"一致","检查"))</x:f>
      </x:c>
      <x:c r="N949" s="64" t="str">
        <x:f>IF(A949="","",IF(COUNTIF($A$5:$A$1204,A949)&gt;1,"重复",""))</x:f>
      </x:c>
    </x:row>
    <x:row r="950">
      <x:c r="A950" s="62"/>
      <x:c r="B950" s="62"/>
      <x:c r="C950" s="62"/>
      <x:c r="D950" s="62"/>
      <x:c r="E950" s="62"/>
      <x:c r="F950" s="62"/>
      <x:c r="G950" s="66"/>
      <x:c r="H950" s="68"/>
      <x:c r="I950" s="68"/>
      <x:c r="J950" s="68"/>
      <x:c r="K950" s="68"/>
      <x:c r="L950" s="70"/>
      <x:c r="M950" s="64" t="str">
        <x:f>IF(A950="","",IF(AND(E950&lt;&gt;"",F950&lt;&gt;"",ABS(H950-I950)&lt;=0.01,ABS(J950-K950)&lt;=0.01,L950=1),"一致","检查"))</x:f>
      </x:c>
      <x:c r="N950" s="64" t="str">
        <x:f>IF(A950="","",IF(COUNTIF($A$5:$A$1204,A950)&gt;1,"重复",""))</x:f>
      </x:c>
    </x:row>
    <x:row r="951">
      <x:c r="A951" s="62"/>
      <x:c r="B951" s="62"/>
      <x:c r="C951" s="62"/>
      <x:c r="D951" s="62"/>
      <x:c r="E951" s="62"/>
      <x:c r="F951" s="62"/>
      <x:c r="G951" s="66"/>
      <x:c r="H951" s="68"/>
      <x:c r="I951" s="68"/>
      <x:c r="J951" s="68"/>
      <x:c r="K951" s="68"/>
      <x:c r="L951" s="70"/>
      <x:c r="M951" s="64" t="str">
        <x:f>IF(A951="","",IF(AND(E951&lt;&gt;"",F951&lt;&gt;"",ABS(H951-I951)&lt;=0.01,ABS(J951-K951)&lt;=0.01,L951=1),"一致","检查"))</x:f>
      </x:c>
      <x:c r="N951" s="64" t="str">
        <x:f>IF(A951="","",IF(COUNTIF($A$5:$A$1204,A951)&gt;1,"重复",""))</x:f>
      </x:c>
    </x:row>
    <x:row r="952">
      <x:c r="A952" s="62"/>
      <x:c r="B952" s="62"/>
      <x:c r="C952" s="62"/>
      <x:c r="D952" s="62"/>
      <x:c r="E952" s="62"/>
      <x:c r="F952" s="62"/>
      <x:c r="G952" s="66"/>
      <x:c r="H952" s="68"/>
      <x:c r="I952" s="68"/>
      <x:c r="J952" s="68"/>
      <x:c r="K952" s="68"/>
      <x:c r="L952" s="70"/>
      <x:c r="M952" s="64" t="str">
        <x:f>IF(A952="","",IF(AND(E952&lt;&gt;"",F952&lt;&gt;"",ABS(H952-I952)&lt;=0.01,ABS(J952-K952)&lt;=0.01,L952=1),"一致","检查"))</x:f>
      </x:c>
      <x:c r="N952" s="64" t="str">
        <x:f>IF(A952="","",IF(COUNTIF($A$5:$A$1204,A952)&gt;1,"重复",""))</x:f>
      </x:c>
    </x:row>
    <x:row r="953">
      <x:c r="A953" s="62"/>
      <x:c r="B953" s="62"/>
      <x:c r="C953" s="62"/>
      <x:c r="D953" s="62"/>
      <x:c r="E953" s="62"/>
      <x:c r="F953" s="62"/>
      <x:c r="G953" s="66"/>
      <x:c r="H953" s="68"/>
      <x:c r="I953" s="68"/>
      <x:c r="J953" s="68"/>
      <x:c r="K953" s="68"/>
      <x:c r="L953" s="70"/>
      <x:c r="M953" s="64" t="str">
        <x:f>IF(A953="","",IF(AND(E953&lt;&gt;"",F953&lt;&gt;"",ABS(H953-I953)&lt;=0.01,ABS(J953-K953)&lt;=0.01,L953=1),"一致","检查"))</x:f>
      </x:c>
      <x:c r="N953" s="64" t="str">
        <x:f>IF(A953="","",IF(COUNTIF($A$5:$A$1204,A953)&gt;1,"重复",""))</x:f>
      </x:c>
    </x:row>
    <x:row r="954">
      <x:c r="A954" s="62"/>
      <x:c r="B954" s="62"/>
      <x:c r="C954" s="62"/>
      <x:c r="D954" s="62"/>
      <x:c r="E954" s="62"/>
      <x:c r="F954" s="62"/>
      <x:c r="G954" s="66"/>
      <x:c r="H954" s="68"/>
      <x:c r="I954" s="68"/>
      <x:c r="J954" s="68"/>
      <x:c r="K954" s="68"/>
      <x:c r="L954" s="70"/>
      <x:c r="M954" s="64" t="str">
        <x:f>IF(A954="","",IF(AND(E954&lt;&gt;"",F954&lt;&gt;"",ABS(H954-I954)&lt;=0.01,ABS(J954-K954)&lt;=0.01,L954=1),"一致","检查"))</x:f>
      </x:c>
      <x:c r="N954" s="64" t="str">
        <x:f>IF(A954="","",IF(COUNTIF($A$5:$A$1204,A954)&gt;1,"重复",""))</x:f>
      </x:c>
    </x:row>
    <x:row r="955">
      <x:c r="A955" s="62"/>
      <x:c r="B955" s="62"/>
      <x:c r="C955" s="62"/>
      <x:c r="D955" s="62"/>
      <x:c r="E955" s="62"/>
      <x:c r="F955" s="62"/>
      <x:c r="G955" s="66"/>
      <x:c r="H955" s="68"/>
      <x:c r="I955" s="68"/>
      <x:c r="J955" s="68"/>
      <x:c r="K955" s="68"/>
      <x:c r="L955" s="70"/>
      <x:c r="M955" s="64" t="str">
        <x:f>IF(A955="","",IF(AND(E955&lt;&gt;"",F955&lt;&gt;"",ABS(H955-I955)&lt;=0.01,ABS(J955-K955)&lt;=0.01,L955=1),"一致","检查"))</x:f>
      </x:c>
      <x:c r="N955" s="64" t="str">
        <x:f>IF(A955="","",IF(COUNTIF($A$5:$A$1204,A955)&gt;1,"重复",""))</x:f>
      </x:c>
    </x:row>
    <x:row r="956">
      <x:c r="A956" s="62"/>
      <x:c r="B956" s="62"/>
      <x:c r="C956" s="62"/>
      <x:c r="D956" s="62"/>
      <x:c r="E956" s="62"/>
      <x:c r="F956" s="62"/>
      <x:c r="G956" s="66"/>
      <x:c r="H956" s="68"/>
      <x:c r="I956" s="68"/>
      <x:c r="J956" s="68"/>
      <x:c r="K956" s="68"/>
      <x:c r="L956" s="70"/>
      <x:c r="M956" s="64" t="str">
        <x:f>IF(A956="","",IF(AND(E956&lt;&gt;"",F956&lt;&gt;"",ABS(H956-I956)&lt;=0.01,ABS(J956-K956)&lt;=0.01,L956=1),"一致","检查"))</x:f>
      </x:c>
      <x:c r="N956" s="64" t="str">
        <x:f>IF(A956="","",IF(COUNTIF($A$5:$A$1204,A956)&gt;1,"重复",""))</x:f>
      </x:c>
    </x:row>
    <x:row r="957">
      <x:c r="A957" s="62"/>
      <x:c r="B957" s="62"/>
      <x:c r="C957" s="62"/>
      <x:c r="D957" s="62"/>
      <x:c r="E957" s="62"/>
      <x:c r="F957" s="62"/>
      <x:c r="G957" s="66"/>
      <x:c r="H957" s="68"/>
      <x:c r="I957" s="68"/>
      <x:c r="J957" s="68"/>
      <x:c r="K957" s="68"/>
      <x:c r="L957" s="70"/>
      <x:c r="M957" s="64" t="str">
        <x:f>IF(A957="","",IF(AND(E957&lt;&gt;"",F957&lt;&gt;"",ABS(H957-I957)&lt;=0.01,ABS(J957-K957)&lt;=0.01,L957=1),"一致","检查"))</x:f>
      </x:c>
      <x:c r="N957" s="64" t="str">
        <x:f>IF(A957="","",IF(COUNTIF($A$5:$A$1204,A957)&gt;1,"重复",""))</x:f>
      </x:c>
    </x:row>
    <x:row r="958">
      <x:c r="A958" s="62"/>
      <x:c r="B958" s="62"/>
      <x:c r="C958" s="62"/>
      <x:c r="D958" s="62"/>
      <x:c r="E958" s="62"/>
      <x:c r="F958" s="62"/>
      <x:c r="G958" s="66"/>
      <x:c r="H958" s="68"/>
      <x:c r="I958" s="68"/>
      <x:c r="J958" s="68"/>
      <x:c r="K958" s="68"/>
      <x:c r="L958" s="70"/>
      <x:c r="M958" s="64" t="str">
        <x:f>IF(A958="","",IF(AND(E958&lt;&gt;"",F958&lt;&gt;"",ABS(H958-I958)&lt;=0.01,ABS(J958-K958)&lt;=0.01,L958=1),"一致","检查"))</x:f>
      </x:c>
      <x:c r="N958" s="64" t="str">
        <x:f>IF(A958="","",IF(COUNTIF($A$5:$A$1204,A958)&gt;1,"重复",""))</x:f>
      </x:c>
    </x:row>
    <x:row r="959">
      <x:c r="A959" s="62"/>
      <x:c r="B959" s="62"/>
      <x:c r="C959" s="62"/>
      <x:c r="D959" s="62"/>
      <x:c r="E959" s="62"/>
      <x:c r="F959" s="62"/>
      <x:c r="G959" s="66"/>
      <x:c r="H959" s="68"/>
      <x:c r="I959" s="68"/>
      <x:c r="J959" s="68"/>
      <x:c r="K959" s="68"/>
      <x:c r="L959" s="70"/>
      <x:c r="M959" s="64" t="str">
        <x:f>IF(A959="","",IF(AND(E959&lt;&gt;"",F959&lt;&gt;"",ABS(H959-I959)&lt;=0.01,ABS(J959-K959)&lt;=0.01,L959=1),"一致","检查"))</x:f>
      </x:c>
      <x:c r="N959" s="64" t="str">
        <x:f>IF(A959="","",IF(COUNTIF($A$5:$A$1204,A959)&gt;1,"重复",""))</x:f>
      </x:c>
    </x:row>
    <x:row r="960">
      <x:c r="A960" s="62"/>
      <x:c r="B960" s="62"/>
      <x:c r="C960" s="62"/>
      <x:c r="D960" s="62"/>
      <x:c r="E960" s="62"/>
      <x:c r="F960" s="62"/>
      <x:c r="G960" s="66"/>
      <x:c r="H960" s="68"/>
      <x:c r="I960" s="68"/>
      <x:c r="J960" s="68"/>
      <x:c r="K960" s="68"/>
      <x:c r="L960" s="70"/>
      <x:c r="M960" s="64" t="str">
        <x:f>IF(A960="","",IF(AND(E960&lt;&gt;"",F960&lt;&gt;"",ABS(H960-I960)&lt;=0.01,ABS(J960-K960)&lt;=0.01,L960=1),"一致","检查"))</x:f>
      </x:c>
      <x:c r="N960" s="64" t="str">
        <x:f>IF(A960="","",IF(COUNTIF($A$5:$A$1204,A960)&gt;1,"重复",""))</x:f>
      </x:c>
    </x:row>
    <x:row r="961">
      <x:c r="A961" s="62"/>
      <x:c r="B961" s="62"/>
      <x:c r="C961" s="62"/>
      <x:c r="D961" s="62"/>
      <x:c r="E961" s="62"/>
      <x:c r="F961" s="62"/>
      <x:c r="G961" s="66"/>
      <x:c r="H961" s="68"/>
      <x:c r="I961" s="68"/>
      <x:c r="J961" s="68"/>
      <x:c r="K961" s="68"/>
      <x:c r="L961" s="70"/>
      <x:c r="M961" s="64" t="str">
        <x:f>IF(A961="","",IF(AND(E961&lt;&gt;"",F961&lt;&gt;"",ABS(H961-I961)&lt;=0.01,ABS(J961-K961)&lt;=0.01,L961=1),"一致","检查"))</x:f>
      </x:c>
      <x:c r="N961" s="64" t="str">
        <x:f>IF(A961="","",IF(COUNTIF($A$5:$A$1204,A961)&gt;1,"重复",""))</x:f>
      </x:c>
    </x:row>
    <x:row r="962">
      <x:c r="A962" s="62"/>
      <x:c r="B962" s="62"/>
      <x:c r="C962" s="62"/>
      <x:c r="D962" s="62"/>
      <x:c r="E962" s="62"/>
      <x:c r="F962" s="62"/>
      <x:c r="G962" s="66"/>
      <x:c r="H962" s="68"/>
      <x:c r="I962" s="68"/>
      <x:c r="J962" s="68"/>
      <x:c r="K962" s="68"/>
      <x:c r="L962" s="70"/>
      <x:c r="M962" s="64" t="str">
        <x:f>IF(A962="","",IF(AND(E962&lt;&gt;"",F962&lt;&gt;"",ABS(H962-I962)&lt;=0.01,ABS(J962-K962)&lt;=0.01,L962=1),"一致","检查"))</x:f>
      </x:c>
      <x:c r="N962" s="64" t="str">
        <x:f>IF(A962="","",IF(COUNTIF($A$5:$A$1204,A962)&gt;1,"重复",""))</x:f>
      </x:c>
    </x:row>
    <x:row r="963">
      <x:c r="A963" s="62"/>
      <x:c r="B963" s="62"/>
      <x:c r="C963" s="62"/>
      <x:c r="D963" s="62"/>
      <x:c r="E963" s="62"/>
      <x:c r="F963" s="62"/>
      <x:c r="G963" s="66"/>
      <x:c r="H963" s="68"/>
      <x:c r="I963" s="68"/>
      <x:c r="J963" s="68"/>
      <x:c r="K963" s="68"/>
      <x:c r="L963" s="70"/>
      <x:c r="M963" s="64" t="str">
        <x:f>IF(A963="","",IF(AND(E963&lt;&gt;"",F963&lt;&gt;"",ABS(H963-I963)&lt;=0.01,ABS(J963-K963)&lt;=0.01,L963=1),"一致","检查"))</x:f>
      </x:c>
      <x:c r="N963" s="64" t="str">
        <x:f>IF(A963="","",IF(COUNTIF($A$5:$A$1204,A963)&gt;1,"重复",""))</x:f>
      </x:c>
    </x:row>
    <x:row r="964">
      <x:c r="A964" s="62"/>
      <x:c r="B964" s="62"/>
      <x:c r="C964" s="62"/>
      <x:c r="D964" s="62"/>
      <x:c r="E964" s="62"/>
      <x:c r="F964" s="62"/>
      <x:c r="G964" s="66"/>
      <x:c r="H964" s="68"/>
      <x:c r="I964" s="68"/>
      <x:c r="J964" s="68"/>
      <x:c r="K964" s="68"/>
      <x:c r="L964" s="70"/>
      <x:c r="M964" s="64" t="str">
        <x:f>IF(A964="","",IF(AND(E964&lt;&gt;"",F964&lt;&gt;"",ABS(H964-I964)&lt;=0.01,ABS(J964-K964)&lt;=0.01,L964=1),"一致","检查"))</x:f>
      </x:c>
      <x:c r="N964" s="64" t="str">
        <x:f>IF(A964="","",IF(COUNTIF($A$5:$A$1204,A964)&gt;1,"重复",""))</x:f>
      </x:c>
    </x:row>
    <x:row r="965">
      <x:c r="A965" s="62"/>
      <x:c r="B965" s="62"/>
      <x:c r="C965" s="62"/>
      <x:c r="D965" s="62"/>
      <x:c r="E965" s="62"/>
      <x:c r="F965" s="62"/>
      <x:c r="G965" s="66"/>
      <x:c r="H965" s="68"/>
      <x:c r="I965" s="68"/>
      <x:c r="J965" s="68"/>
      <x:c r="K965" s="68"/>
      <x:c r="L965" s="70"/>
      <x:c r="M965" s="64" t="str">
        <x:f>IF(A965="","",IF(AND(E965&lt;&gt;"",F965&lt;&gt;"",ABS(H965-I965)&lt;=0.01,ABS(J965-K965)&lt;=0.01,L965=1),"一致","检查"))</x:f>
      </x:c>
      <x:c r="N965" s="64" t="str">
        <x:f>IF(A965="","",IF(COUNTIF($A$5:$A$1204,A965)&gt;1,"重复",""))</x:f>
      </x:c>
    </x:row>
    <x:row r="966">
      <x:c r="A966" s="62"/>
      <x:c r="B966" s="62"/>
      <x:c r="C966" s="62"/>
      <x:c r="D966" s="62"/>
      <x:c r="E966" s="62"/>
      <x:c r="F966" s="62"/>
      <x:c r="G966" s="66"/>
      <x:c r="H966" s="68"/>
      <x:c r="I966" s="68"/>
      <x:c r="J966" s="68"/>
      <x:c r="K966" s="68"/>
      <x:c r="L966" s="70"/>
      <x:c r="M966" s="64" t="str">
        <x:f>IF(A966="","",IF(AND(E966&lt;&gt;"",F966&lt;&gt;"",ABS(H966-I966)&lt;=0.01,ABS(J966-K966)&lt;=0.01,L966=1),"一致","检查"))</x:f>
      </x:c>
      <x:c r="N966" s="64" t="str">
        <x:f>IF(A966="","",IF(COUNTIF($A$5:$A$1204,A966)&gt;1,"重复",""))</x:f>
      </x:c>
    </x:row>
    <x:row r="967">
      <x:c r="A967" s="62"/>
      <x:c r="B967" s="62"/>
      <x:c r="C967" s="62"/>
      <x:c r="D967" s="62"/>
      <x:c r="E967" s="62"/>
      <x:c r="F967" s="62"/>
      <x:c r="G967" s="66"/>
      <x:c r="H967" s="68"/>
      <x:c r="I967" s="68"/>
      <x:c r="J967" s="68"/>
      <x:c r="K967" s="68"/>
      <x:c r="L967" s="70"/>
      <x:c r="M967" s="64" t="str">
        <x:f>IF(A967="","",IF(AND(E967&lt;&gt;"",F967&lt;&gt;"",ABS(H967-I967)&lt;=0.01,ABS(J967-K967)&lt;=0.01,L967=1),"一致","检查"))</x:f>
      </x:c>
      <x:c r="N967" s="64" t="str">
        <x:f>IF(A967="","",IF(COUNTIF($A$5:$A$1204,A967)&gt;1,"重复",""))</x:f>
      </x:c>
    </x:row>
    <x:row r="968">
      <x:c r="A968" s="62"/>
      <x:c r="B968" s="62"/>
      <x:c r="C968" s="62"/>
      <x:c r="D968" s="62"/>
      <x:c r="E968" s="62"/>
      <x:c r="F968" s="62"/>
      <x:c r="G968" s="66"/>
      <x:c r="H968" s="68"/>
      <x:c r="I968" s="68"/>
      <x:c r="J968" s="68"/>
      <x:c r="K968" s="68"/>
      <x:c r="L968" s="70"/>
      <x:c r="M968" s="64" t="str">
        <x:f>IF(A968="","",IF(AND(E968&lt;&gt;"",F968&lt;&gt;"",ABS(H968-I968)&lt;=0.01,ABS(J968-K968)&lt;=0.01,L968=1),"一致","检查"))</x:f>
      </x:c>
      <x:c r="N968" s="64" t="str">
        <x:f>IF(A968="","",IF(COUNTIF($A$5:$A$1204,A968)&gt;1,"重复",""))</x:f>
      </x:c>
    </x:row>
    <x:row r="969">
      <x:c r="A969" s="62"/>
      <x:c r="B969" s="62"/>
      <x:c r="C969" s="62"/>
      <x:c r="D969" s="62"/>
      <x:c r="E969" s="62"/>
      <x:c r="F969" s="62"/>
      <x:c r="G969" s="66"/>
      <x:c r="H969" s="68"/>
      <x:c r="I969" s="68"/>
      <x:c r="J969" s="68"/>
      <x:c r="K969" s="68"/>
      <x:c r="L969" s="70"/>
      <x:c r="M969" s="64" t="str">
        <x:f>IF(A969="","",IF(AND(E969&lt;&gt;"",F969&lt;&gt;"",ABS(H969-I969)&lt;=0.01,ABS(J969-K969)&lt;=0.01,L969=1),"一致","检查"))</x:f>
      </x:c>
      <x:c r="N969" s="64" t="str">
        <x:f>IF(A969="","",IF(COUNTIF($A$5:$A$1204,A969)&gt;1,"重复",""))</x:f>
      </x:c>
    </x:row>
    <x:row r="970">
      <x:c r="A970" s="62"/>
      <x:c r="B970" s="62"/>
      <x:c r="C970" s="62"/>
      <x:c r="D970" s="62"/>
      <x:c r="E970" s="62"/>
      <x:c r="F970" s="62"/>
      <x:c r="G970" s="66"/>
      <x:c r="H970" s="68"/>
      <x:c r="I970" s="68"/>
      <x:c r="J970" s="68"/>
      <x:c r="K970" s="68"/>
      <x:c r="L970" s="70"/>
      <x:c r="M970" s="64" t="str">
        <x:f>IF(A970="","",IF(AND(E970&lt;&gt;"",F970&lt;&gt;"",ABS(H970-I970)&lt;=0.01,ABS(J970-K970)&lt;=0.01,L970=1),"一致","检查"))</x:f>
      </x:c>
      <x:c r="N970" s="64" t="str">
        <x:f>IF(A970="","",IF(COUNTIF($A$5:$A$1204,A970)&gt;1,"重复",""))</x:f>
      </x:c>
    </x:row>
    <x:row r="971">
      <x:c r="A971" s="62"/>
      <x:c r="B971" s="62"/>
      <x:c r="C971" s="62"/>
      <x:c r="D971" s="62"/>
      <x:c r="E971" s="62"/>
      <x:c r="F971" s="62"/>
      <x:c r="G971" s="66"/>
      <x:c r="H971" s="68"/>
      <x:c r="I971" s="68"/>
      <x:c r="J971" s="68"/>
      <x:c r="K971" s="68"/>
      <x:c r="L971" s="70"/>
      <x:c r="M971" s="64" t="str">
        <x:f>IF(A971="","",IF(AND(E971&lt;&gt;"",F971&lt;&gt;"",ABS(H971-I971)&lt;=0.01,ABS(J971-K971)&lt;=0.01,L971=1),"一致","检查"))</x:f>
      </x:c>
      <x:c r="N971" s="64" t="str">
        <x:f>IF(A971="","",IF(COUNTIF($A$5:$A$1204,A971)&gt;1,"重复",""))</x:f>
      </x:c>
    </x:row>
    <x:row r="972">
      <x:c r="A972" s="62"/>
      <x:c r="B972" s="62"/>
      <x:c r="C972" s="62"/>
      <x:c r="D972" s="62"/>
      <x:c r="E972" s="62"/>
      <x:c r="F972" s="62"/>
      <x:c r="G972" s="66"/>
      <x:c r="H972" s="68"/>
      <x:c r="I972" s="68"/>
      <x:c r="J972" s="68"/>
      <x:c r="K972" s="68"/>
      <x:c r="L972" s="70"/>
      <x:c r="M972" s="64" t="str">
        <x:f>IF(A972="","",IF(AND(E972&lt;&gt;"",F972&lt;&gt;"",ABS(H972-I972)&lt;=0.01,ABS(J972-K972)&lt;=0.01,L972=1),"一致","检查"))</x:f>
      </x:c>
      <x:c r="N972" s="64" t="str">
        <x:f>IF(A972="","",IF(COUNTIF($A$5:$A$1204,A972)&gt;1,"重复",""))</x:f>
      </x:c>
    </x:row>
    <x:row r="973">
      <x:c r="A973" s="62"/>
      <x:c r="B973" s="62"/>
      <x:c r="C973" s="62"/>
      <x:c r="D973" s="62"/>
      <x:c r="E973" s="62"/>
      <x:c r="F973" s="62"/>
      <x:c r="G973" s="66"/>
      <x:c r="H973" s="68"/>
      <x:c r="I973" s="68"/>
      <x:c r="J973" s="68"/>
      <x:c r="K973" s="68"/>
      <x:c r="L973" s="70"/>
      <x:c r="M973" s="64" t="str">
        <x:f>IF(A973="","",IF(AND(E973&lt;&gt;"",F973&lt;&gt;"",ABS(H973-I973)&lt;=0.01,ABS(J973-K973)&lt;=0.01,L973=1),"一致","检查"))</x:f>
      </x:c>
      <x:c r="N973" s="64" t="str">
        <x:f>IF(A973="","",IF(COUNTIF($A$5:$A$1204,A973)&gt;1,"重复",""))</x:f>
      </x:c>
    </x:row>
    <x:row r="974">
      <x:c r="A974" s="62"/>
      <x:c r="B974" s="62"/>
      <x:c r="C974" s="62"/>
      <x:c r="D974" s="62"/>
      <x:c r="E974" s="62"/>
      <x:c r="F974" s="62"/>
      <x:c r="G974" s="66"/>
      <x:c r="H974" s="68"/>
      <x:c r="I974" s="68"/>
      <x:c r="J974" s="68"/>
      <x:c r="K974" s="68"/>
      <x:c r="L974" s="70"/>
      <x:c r="M974" s="64" t="str">
        <x:f>IF(A974="","",IF(AND(E974&lt;&gt;"",F974&lt;&gt;"",ABS(H974-I974)&lt;=0.01,ABS(J974-K974)&lt;=0.01,L974=1),"一致","检查"))</x:f>
      </x:c>
      <x:c r="N974" s="64" t="str">
        <x:f>IF(A974="","",IF(COUNTIF($A$5:$A$1204,A974)&gt;1,"重复",""))</x:f>
      </x:c>
    </x:row>
    <x:row r="975">
      <x:c r="A975" s="62"/>
      <x:c r="B975" s="62"/>
      <x:c r="C975" s="62"/>
      <x:c r="D975" s="62"/>
      <x:c r="E975" s="62"/>
      <x:c r="F975" s="62"/>
      <x:c r="G975" s="66"/>
      <x:c r="H975" s="68"/>
      <x:c r="I975" s="68"/>
      <x:c r="J975" s="68"/>
      <x:c r="K975" s="68"/>
      <x:c r="L975" s="70"/>
      <x:c r="M975" s="64" t="str">
        <x:f>IF(A975="","",IF(AND(E975&lt;&gt;"",F975&lt;&gt;"",ABS(H975-I975)&lt;=0.01,ABS(J975-K975)&lt;=0.01,L975=1),"一致","检查"))</x:f>
      </x:c>
      <x:c r="N975" s="64" t="str">
        <x:f>IF(A975="","",IF(COUNTIF($A$5:$A$1204,A975)&gt;1,"重复",""))</x:f>
      </x:c>
    </x:row>
    <x:row r="976">
      <x:c r="A976" s="62"/>
      <x:c r="B976" s="62"/>
      <x:c r="C976" s="62"/>
      <x:c r="D976" s="62"/>
      <x:c r="E976" s="62"/>
      <x:c r="F976" s="62"/>
      <x:c r="G976" s="66"/>
      <x:c r="H976" s="68"/>
      <x:c r="I976" s="68"/>
      <x:c r="J976" s="68"/>
      <x:c r="K976" s="68"/>
      <x:c r="L976" s="70"/>
      <x:c r="M976" s="64" t="str">
        <x:f>IF(A976="","",IF(AND(E976&lt;&gt;"",F976&lt;&gt;"",ABS(H976-I976)&lt;=0.01,ABS(J976-K976)&lt;=0.01,L976=1),"一致","检查"))</x:f>
      </x:c>
      <x:c r="N976" s="64" t="str">
        <x:f>IF(A976="","",IF(COUNTIF($A$5:$A$1204,A976)&gt;1,"重复",""))</x:f>
      </x:c>
    </x:row>
    <x:row r="977">
      <x:c r="A977" s="62"/>
      <x:c r="B977" s="62"/>
      <x:c r="C977" s="62"/>
      <x:c r="D977" s="62"/>
      <x:c r="E977" s="62"/>
      <x:c r="F977" s="62"/>
      <x:c r="G977" s="66"/>
      <x:c r="H977" s="68"/>
      <x:c r="I977" s="68"/>
      <x:c r="J977" s="68"/>
      <x:c r="K977" s="68"/>
      <x:c r="L977" s="70"/>
      <x:c r="M977" s="64" t="str">
        <x:f>IF(A977="","",IF(AND(E977&lt;&gt;"",F977&lt;&gt;"",ABS(H977-I977)&lt;=0.01,ABS(J977-K977)&lt;=0.01,L977=1),"一致","检查"))</x:f>
      </x:c>
      <x:c r="N977" s="64" t="str">
        <x:f>IF(A977="","",IF(COUNTIF($A$5:$A$1204,A977)&gt;1,"重复",""))</x:f>
      </x:c>
    </x:row>
    <x:row r="978">
      <x:c r="A978" s="62"/>
      <x:c r="B978" s="62"/>
      <x:c r="C978" s="62"/>
      <x:c r="D978" s="62"/>
      <x:c r="E978" s="62"/>
      <x:c r="F978" s="62"/>
      <x:c r="G978" s="66"/>
      <x:c r="H978" s="68"/>
      <x:c r="I978" s="68"/>
      <x:c r="J978" s="68"/>
      <x:c r="K978" s="68"/>
      <x:c r="L978" s="70"/>
      <x:c r="M978" s="64" t="str">
        <x:f>IF(A978="","",IF(AND(E978&lt;&gt;"",F978&lt;&gt;"",ABS(H978-I978)&lt;=0.01,ABS(J978-K978)&lt;=0.01,L978=1),"一致","检查"))</x:f>
      </x:c>
      <x:c r="N978" s="64" t="str">
        <x:f>IF(A978="","",IF(COUNTIF($A$5:$A$1204,A978)&gt;1,"重复",""))</x:f>
      </x:c>
    </x:row>
    <x:row r="979">
      <x:c r="A979" s="62"/>
      <x:c r="B979" s="62"/>
      <x:c r="C979" s="62"/>
      <x:c r="D979" s="62"/>
      <x:c r="E979" s="62"/>
      <x:c r="F979" s="62"/>
      <x:c r="G979" s="66"/>
      <x:c r="H979" s="68"/>
      <x:c r="I979" s="68"/>
      <x:c r="J979" s="68"/>
      <x:c r="K979" s="68"/>
      <x:c r="L979" s="70"/>
      <x:c r="M979" s="64" t="str">
        <x:f>IF(A979="","",IF(AND(E979&lt;&gt;"",F979&lt;&gt;"",ABS(H979-I979)&lt;=0.01,ABS(J979-K979)&lt;=0.01,L979=1),"一致","检查"))</x:f>
      </x:c>
      <x:c r="N979" s="64" t="str">
        <x:f>IF(A979="","",IF(COUNTIF($A$5:$A$1204,A979)&gt;1,"重复",""))</x:f>
      </x:c>
    </x:row>
    <x:row r="980">
      <x:c r="A980" s="62"/>
      <x:c r="B980" s="62"/>
      <x:c r="C980" s="62"/>
      <x:c r="D980" s="62"/>
      <x:c r="E980" s="62"/>
      <x:c r="F980" s="62"/>
      <x:c r="G980" s="66"/>
      <x:c r="H980" s="68"/>
      <x:c r="I980" s="68"/>
      <x:c r="J980" s="68"/>
      <x:c r="K980" s="68"/>
      <x:c r="L980" s="70"/>
      <x:c r="M980" s="64" t="str">
        <x:f>IF(A980="","",IF(AND(E980&lt;&gt;"",F980&lt;&gt;"",ABS(H980-I980)&lt;=0.01,ABS(J980-K980)&lt;=0.01,L980=1),"一致","检查"))</x:f>
      </x:c>
      <x:c r="N980" s="64" t="str">
        <x:f>IF(A980="","",IF(COUNTIF($A$5:$A$1204,A980)&gt;1,"重复",""))</x:f>
      </x:c>
    </x:row>
    <x:row r="981">
      <x:c r="A981" s="62"/>
      <x:c r="B981" s="62"/>
      <x:c r="C981" s="62"/>
      <x:c r="D981" s="62"/>
      <x:c r="E981" s="62"/>
      <x:c r="F981" s="62"/>
      <x:c r="G981" s="66"/>
      <x:c r="H981" s="68"/>
      <x:c r="I981" s="68"/>
      <x:c r="J981" s="68"/>
      <x:c r="K981" s="68"/>
      <x:c r="L981" s="70"/>
      <x:c r="M981" s="64" t="str">
        <x:f>IF(A981="","",IF(AND(E981&lt;&gt;"",F981&lt;&gt;"",ABS(H981-I981)&lt;=0.01,ABS(J981-K981)&lt;=0.01,L981=1),"一致","检查"))</x:f>
      </x:c>
      <x:c r="N981" s="64" t="str">
        <x:f>IF(A981="","",IF(COUNTIF($A$5:$A$1204,A981)&gt;1,"重复",""))</x:f>
      </x:c>
    </x:row>
    <x:row r="982">
      <x:c r="A982" s="62"/>
      <x:c r="B982" s="62"/>
      <x:c r="C982" s="62"/>
      <x:c r="D982" s="62"/>
      <x:c r="E982" s="62"/>
      <x:c r="F982" s="62"/>
      <x:c r="G982" s="66"/>
      <x:c r="H982" s="68"/>
      <x:c r="I982" s="68"/>
      <x:c r="J982" s="68"/>
      <x:c r="K982" s="68"/>
      <x:c r="L982" s="70"/>
      <x:c r="M982" s="64" t="str">
        <x:f>IF(A982="","",IF(AND(E982&lt;&gt;"",F982&lt;&gt;"",ABS(H982-I982)&lt;=0.01,ABS(J982-K982)&lt;=0.01,L982=1),"一致","检查"))</x:f>
      </x:c>
      <x:c r="N982" s="64" t="str">
        <x:f>IF(A982="","",IF(COUNTIF($A$5:$A$1204,A982)&gt;1,"重复",""))</x:f>
      </x:c>
    </x:row>
    <x:row r="983">
      <x:c r="A983" s="62"/>
      <x:c r="B983" s="62"/>
      <x:c r="C983" s="62"/>
      <x:c r="D983" s="62"/>
      <x:c r="E983" s="62"/>
      <x:c r="F983" s="62"/>
      <x:c r="G983" s="66"/>
      <x:c r="H983" s="68"/>
      <x:c r="I983" s="68"/>
      <x:c r="J983" s="68"/>
      <x:c r="K983" s="68"/>
      <x:c r="L983" s="70"/>
      <x:c r="M983" s="64" t="str">
        <x:f>IF(A983="","",IF(AND(E983&lt;&gt;"",F983&lt;&gt;"",ABS(H983-I983)&lt;=0.01,ABS(J983-K983)&lt;=0.01,L983=1),"一致","检查"))</x:f>
      </x:c>
      <x:c r="N983" s="64" t="str">
        <x:f>IF(A983="","",IF(COUNTIF($A$5:$A$1204,A983)&gt;1,"重复",""))</x:f>
      </x:c>
    </x:row>
    <x:row r="984">
      <x:c r="A984" s="62"/>
      <x:c r="B984" s="62"/>
      <x:c r="C984" s="62"/>
      <x:c r="D984" s="62"/>
      <x:c r="E984" s="62"/>
      <x:c r="F984" s="62"/>
      <x:c r="G984" s="66"/>
      <x:c r="H984" s="68"/>
      <x:c r="I984" s="68"/>
      <x:c r="J984" s="68"/>
      <x:c r="K984" s="68"/>
      <x:c r="L984" s="70"/>
      <x:c r="M984" s="64" t="str">
        <x:f>IF(A984="","",IF(AND(E984&lt;&gt;"",F984&lt;&gt;"",ABS(H984-I984)&lt;=0.01,ABS(J984-K984)&lt;=0.01,L984=1),"一致","检查"))</x:f>
      </x:c>
      <x:c r="N984" s="64" t="str">
        <x:f>IF(A984="","",IF(COUNTIF($A$5:$A$1204,A984)&gt;1,"重复",""))</x:f>
      </x:c>
    </x:row>
    <x:row r="985">
      <x:c r="A985" s="62"/>
      <x:c r="B985" s="62"/>
      <x:c r="C985" s="62"/>
      <x:c r="D985" s="62"/>
      <x:c r="E985" s="62"/>
      <x:c r="F985" s="62"/>
      <x:c r="G985" s="66"/>
      <x:c r="H985" s="68"/>
      <x:c r="I985" s="68"/>
      <x:c r="J985" s="68"/>
      <x:c r="K985" s="68"/>
      <x:c r="L985" s="70"/>
      <x:c r="M985" s="64" t="str">
        <x:f>IF(A985="","",IF(AND(E985&lt;&gt;"",F985&lt;&gt;"",ABS(H985-I985)&lt;=0.01,ABS(J985-K985)&lt;=0.01,L985=1),"一致","检查"))</x:f>
      </x:c>
      <x:c r="N985" s="64" t="str">
        <x:f>IF(A985="","",IF(COUNTIF($A$5:$A$1204,A985)&gt;1,"重复",""))</x:f>
      </x:c>
    </x:row>
    <x:row r="986">
      <x:c r="A986" s="62"/>
      <x:c r="B986" s="62"/>
      <x:c r="C986" s="62"/>
      <x:c r="D986" s="62"/>
      <x:c r="E986" s="62"/>
      <x:c r="F986" s="62"/>
      <x:c r="G986" s="66"/>
      <x:c r="H986" s="68"/>
      <x:c r="I986" s="68"/>
      <x:c r="J986" s="68"/>
      <x:c r="K986" s="68"/>
      <x:c r="L986" s="70"/>
      <x:c r="M986" s="64" t="str">
        <x:f>IF(A986="","",IF(AND(E986&lt;&gt;"",F986&lt;&gt;"",ABS(H986-I986)&lt;=0.01,ABS(J986-K986)&lt;=0.01,L986=1),"一致","检查"))</x:f>
      </x:c>
      <x:c r="N986" s="64" t="str">
        <x:f>IF(A986="","",IF(COUNTIF($A$5:$A$1204,A986)&gt;1,"重复",""))</x:f>
      </x:c>
    </x:row>
    <x:row r="987">
      <x:c r="A987" s="62"/>
      <x:c r="B987" s="62"/>
      <x:c r="C987" s="62"/>
      <x:c r="D987" s="62"/>
      <x:c r="E987" s="62"/>
      <x:c r="F987" s="62"/>
      <x:c r="G987" s="66"/>
      <x:c r="H987" s="68"/>
      <x:c r="I987" s="68"/>
      <x:c r="J987" s="68"/>
      <x:c r="K987" s="68"/>
      <x:c r="L987" s="70"/>
      <x:c r="M987" s="64" t="str">
        <x:f>IF(A987="","",IF(AND(E987&lt;&gt;"",F987&lt;&gt;"",ABS(H987-I987)&lt;=0.01,ABS(J987-K987)&lt;=0.01,L987=1),"一致","检查"))</x:f>
      </x:c>
      <x:c r="N987" s="64" t="str">
        <x:f>IF(A987="","",IF(COUNTIF($A$5:$A$1204,A987)&gt;1,"重复",""))</x:f>
      </x:c>
    </x:row>
    <x:row r="988">
      <x:c r="A988" s="62"/>
      <x:c r="B988" s="62"/>
      <x:c r="C988" s="62"/>
      <x:c r="D988" s="62"/>
      <x:c r="E988" s="62"/>
      <x:c r="F988" s="62"/>
      <x:c r="G988" s="66"/>
      <x:c r="H988" s="68"/>
      <x:c r="I988" s="68"/>
      <x:c r="J988" s="68"/>
      <x:c r="K988" s="68"/>
      <x:c r="L988" s="70"/>
      <x:c r="M988" s="64" t="str">
        <x:f>IF(A988="","",IF(AND(E988&lt;&gt;"",F988&lt;&gt;"",ABS(H988-I988)&lt;=0.01,ABS(J988-K988)&lt;=0.01,L988=1),"一致","检查"))</x:f>
      </x:c>
      <x:c r="N988" s="64" t="str">
        <x:f>IF(A988="","",IF(COUNTIF($A$5:$A$1204,A988)&gt;1,"重复",""))</x:f>
      </x:c>
    </x:row>
    <x:row r="989">
      <x:c r="A989" s="62"/>
      <x:c r="B989" s="62"/>
      <x:c r="C989" s="62"/>
      <x:c r="D989" s="62"/>
      <x:c r="E989" s="62"/>
      <x:c r="F989" s="62"/>
      <x:c r="G989" s="66"/>
      <x:c r="H989" s="68"/>
      <x:c r="I989" s="68"/>
      <x:c r="J989" s="68"/>
      <x:c r="K989" s="68"/>
      <x:c r="L989" s="70"/>
      <x:c r="M989" s="64" t="str">
        <x:f>IF(A989="","",IF(AND(E989&lt;&gt;"",F989&lt;&gt;"",ABS(H989-I989)&lt;=0.01,ABS(J989-K989)&lt;=0.01,L989=1),"一致","检查"))</x:f>
      </x:c>
      <x:c r="N989" s="64" t="str">
        <x:f>IF(A989="","",IF(COUNTIF($A$5:$A$1204,A989)&gt;1,"重复",""))</x:f>
      </x:c>
    </x:row>
    <x:row r="990">
      <x:c r="A990" s="62"/>
      <x:c r="B990" s="62"/>
      <x:c r="C990" s="62"/>
      <x:c r="D990" s="62"/>
      <x:c r="E990" s="62"/>
      <x:c r="F990" s="62"/>
      <x:c r="G990" s="66"/>
      <x:c r="H990" s="68"/>
      <x:c r="I990" s="68"/>
      <x:c r="J990" s="68"/>
      <x:c r="K990" s="68"/>
      <x:c r="L990" s="70"/>
      <x:c r="M990" s="64" t="str">
        <x:f>IF(A990="","",IF(AND(E990&lt;&gt;"",F990&lt;&gt;"",ABS(H990-I990)&lt;=0.01,ABS(J990-K990)&lt;=0.01,L990=1),"一致","检查"))</x:f>
      </x:c>
      <x:c r="N990" s="64" t="str">
        <x:f>IF(A990="","",IF(COUNTIF($A$5:$A$1204,A990)&gt;1,"重复",""))</x:f>
      </x:c>
    </x:row>
    <x:row r="991">
      <x:c r="A991" s="62"/>
      <x:c r="B991" s="62"/>
      <x:c r="C991" s="62"/>
      <x:c r="D991" s="62"/>
      <x:c r="E991" s="62"/>
      <x:c r="F991" s="62"/>
      <x:c r="G991" s="66"/>
      <x:c r="H991" s="68"/>
      <x:c r="I991" s="68"/>
      <x:c r="J991" s="68"/>
      <x:c r="K991" s="68"/>
      <x:c r="L991" s="70"/>
      <x:c r="M991" s="64" t="str">
        <x:f>IF(A991="","",IF(AND(E991&lt;&gt;"",F991&lt;&gt;"",ABS(H991-I991)&lt;=0.01,ABS(J991-K991)&lt;=0.01,L991=1),"一致","检查"))</x:f>
      </x:c>
      <x:c r="N991" s="64" t="str">
        <x:f>IF(A991="","",IF(COUNTIF($A$5:$A$1204,A991)&gt;1,"重复",""))</x:f>
      </x:c>
    </x:row>
    <x:row r="992">
      <x:c r="A992" s="62"/>
      <x:c r="B992" s="62"/>
      <x:c r="C992" s="62"/>
      <x:c r="D992" s="62"/>
      <x:c r="E992" s="62"/>
      <x:c r="F992" s="62"/>
      <x:c r="G992" s="66"/>
      <x:c r="H992" s="68"/>
      <x:c r="I992" s="68"/>
      <x:c r="J992" s="68"/>
      <x:c r="K992" s="68"/>
      <x:c r="L992" s="70"/>
      <x:c r="M992" s="64" t="str">
        <x:f>IF(A992="","",IF(AND(E992&lt;&gt;"",F992&lt;&gt;"",ABS(H992-I992)&lt;=0.01,ABS(J992-K992)&lt;=0.01,L992=1),"一致","检查"))</x:f>
      </x:c>
      <x:c r="N992" s="64" t="str">
        <x:f>IF(A992="","",IF(COUNTIF($A$5:$A$1204,A992)&gt;1,"重复",""))</x:f>
      </x:c>
    </x:row>
    <x:row r="993">
      <x:c r="A993" s="62"/>
      <x:c r="B993" s="62"/>
      <x:c r="C993" s="62"/>
      <x:c r="D993" s="62"/>
      <x:c r="E993" s="62"/>
      <x:c r="F993" s="62"/>
      <x:c r="G993" s="66"/>
      <x:c r="H993" s="68"/>
      <x:c r="I993" s="68"/>
      <x:c r="J993" s="68"/>
      <x:c r="K993" s="68"/>
      <x:c r="L993" s="70"/>
      <x:c r="M993" s="64" t="str">
        <x:f>IF(A993="","",IF(AND(E993&lt;&gt;"",F993&lt;&gt;"",ABS(H993-I993)&lt;=0.01,ABS(J993-K993)&lt;=0.01,L993=1),"一致","检查"))</x:f>
      </x:c>
      <x:c r="N993" s="64" t="str">
        <x:f>IF(A993="","",IF(COUNTIF($A$5:$A$1204,A993)&gt;1,"重复",""))</x:f>
      </x:c>
    </x:row>
    <x:row r="994">
      <x:c r="A994" s="62"/>
      <x:c r="B994" s="62"/>
      <x:c r="C994" s="62"/>
      <x:c r="D994" s="62"/>
      <x:c r="E994" s="62"/>
      <x:c r="F994" s="62"/>
      <x:c r="G994" s="66"/>
      <x:c r="H994" s="68"/>
      <x:c r="I994" s="68"/>
      <x:c r="J994" s="68"/>
      <x:c r="K994" s="68"/>
      <x:c r="L994" s="70"/>
      <x:c r="M994" s="64" t="str">
        <x:f>IF(A994="","",IF(AND(E994&lt;&gt;"",F994&lt;&gt;"",ABS(H994-I994)&lt;=0.01,ABS(J994-K994)&lt;=0.01,L994=1),"一致","检查"))</x:f>
      </x:c>
      <x:c r="N994" s="64" t="str">
        <x:f>IF(A994="","",IF(COUNTIF($A$5:$A$1204,A994)&gt;1,"重复",""))</x:f>
      </x:c>
    </x:row>
    <x:row r="995">
      <x:c r="A995" s="62"/>
      <x:c r="B995" s="62"/>
      <x:c r="C995" s="62"/>
      <x:c r="D995" s="62"/>
      <x:c r="E995" s="62"/>
      <x:c r="F995" s="62"/>
      <x:c r="G995" s="66"/>
      <x:c r="H995" s="68"/>
      <x:c r="I995" s="68"/>
      <x:c r="J995" s="68"/>
      <x:c r="K995" s="68"/>
      <x:c r="L995" s="70"/>
      <x:c r="M995" s="64" t="str">
        <x:f>IF(A995="","",IF(AND(E995&lt;&gt;"",F995&lt;&gt;"",ABS(H995-I995)&lt;=0.01,ABS(J995-K995)&lt;=0.01,L995=1),"一致","检查"))</x:f>
      </x:c>
      <x:c r="N995" s="64" t="str">
        <x:f>IF(A995="","",IF(COUNTIF($A$5:$A$1204,A995)&gt;1,"重复",""))</x:f>
      </x:c>
    </x:row>
    <x:row r="996">
      <x:c r="A996" s="62"/>
      <x:c r="B996" s="62"/>
      <x:c r="C996" s="62"/>
      <x:c r="D996" s="62"/>
      <x:c r="E996" s="62"/>
      <x:c r="F996" s="62"/>
      <x:c r="G996" s="66"/>
      <x:c r="H996" s="68"/>
      <x:c r="I996" s="68"/>
      <x:c r="J996" s="68"/>
      <x:c r="K996" s="68"/>
      <x:c r="L996" s="70"/>
      <x:c r="M996" s="64" t="str">
        <x:f>IF(A996="","",IF(AND(E996&lt;&gt;"",F996&lt;&gt;"",ABS(H996-I996)&lt;=0.01,ABS(J996-K996)&lt;=0.01,L996=1),"一致","检查"))</x:f>
      </x:c>
      <x:c r="N996" s="64" t="str">
        <x:f>IF(A996="","",IF(COUNTIF($A$5:$A$1204,A996)&gt;1,"重复",""))</x:f>
      </x:c>
    </x:row>
    <x:row r="997">
      <x:c r="A997" s="62"/>
      <x:c r="B997" s="62"/>
      <x:c r="C997" s="62"/>
      <x:c r="D997" s="62"/>
      <x:c r="E997" s="62"/>
      <x:c r="F997" s="62"/>
      <x:c r="G997" s="66"/>
      <x:c r="H997" s="68"/>
      <x:c r="I997" s="68"/>
      <x:c r="J997" s="68"/>
      <x:c r="K997" s="68"/>
      <x:c r="L997" s="70"/>
      <x:c r="M997" s="64" t="str">
        <x:f>IF(A997="","",IF(AND(E997&lt;&gt;"",F997&lt;&gt;"",ABS(H997-I997)&lt;=0.01,ABS(J997-K997)&lt;=0.01,L997=1),"一致","检查"))</x:f>
      </x:c>
      <x:c r="N997" s="64" t="str">
        <x:f>IF(A997="","",IF(COUNTIF($A$5:$A$1204,A997)&gt;1,"重复",""))</x:f>
      </x:c>
    </x:row>
    <x:row r="998">
      <x:c r="A998" s="62"/>
      <x:c r="B998" s="62"/>
      <x:c r="C998" s="62"/>
      <x:c r="D998" s="62"/>
      <x:c r="E998" s="62"/>
      <x:c r="F998" s="62"/>
      <x:c r="G998" s="66"/>
      <x:c r="H998" s="68"/>
      <x:c r="I998" s="68"/>
      <x:c r="J998" s="68"/>
      <x:c r="K998" s="68"/>
      <x:c r="L998" s="70"/>
      <x:c r="M998" s="64" t="str">
        <x:f>IF(A998="","",IF(AND(E998&lt;&gt;"",F998&lt;&gt;"",ABS(H998-I998)&lt;=0.01,ABS(J998-K998)&lt;=0.01,L998=1),"一致","检查"))</x:f>
      </x:c>
      <x:c r="N998" s="64" t="str">
        <x:f>IF(A998="","",IF(COUNTIF($A$5:$A$1204,A998)&gt;1,"重复",""))</x:f>
      </x:c>
    </x:row>
    <x:row r="999">
      <x:c r="A999" s="62"/>
      <x:c r="B999" s="62"/>
      <x:c r="C999" s="62"/>
      <x:c r="D999" s="62"/>
      <x:c r="E999" s="62"/>
      <x:c r="F999" s="62"/>
      <x:c r="G999" s="66"/>
      <x:c r="H999" s="68"/>
      <x:c r="I999" s="68"/>
      <x:c r="J999" s="68"/>
      <x:c r="K999" s="68"/>
      <x:c r="L999" s="70"/>
      <x:c r="M999" s="64" t="str">
        <x:f>IF(A999="","",IF(AND(E999&lt;&gt;"",F999&lt;&gt;"",ABS(H999-I999)&lt;=0.01,ABS(J999-K999)&lt;=0.01,L999=1),"一致","检查"))</x:f>
      </x:c>
      <x:c r="N999" s="64" t="str">
        <x:f>IF(A999="","",IF(COUNTIF($A$5:$A$1204,A999)&gt;1,"重复",""))</x:f>
      </x:c>
    </x:row>
    <x:row r="1000">
      <x:c r="A1000" s="62"/>
      <x:c r="B1000" s="62"/>
      <x:c r="C1000" s="62"/>
      <x:c r="D1000" s="62"/>
      <x:c r="E1000" s="62"/>
      <x:c r="F1000" s="62"/>
      <x:c r="G1000" s="66"/>
      <x:c r="H1000" s="68"/>
      <x:c r="I1000" s="68"/>
      <x:c r="J1000" s="68"/>
      <x:c r="K1000" s="68"/>
      <x:c r="L1000" s="70"/>
      <x:c r="M1000" s="64" t="str">
        <x:f>IF(A1000="","",IF(AND(E1000&lt;&gt;"",F1000&lt;&gt;"",ABS(H1000-I1000)&lt;=0.01,ABS(J1000-K1000)&lt;=0.01,L1000=1),"一致","检查"))</x:f>
      </x:c>
      <x:c r="N1000" s="64" t="str">
        <x:f>IF(A1000="","",IF(COUNTIF($A$5:$A$1204,A1000)&gt;1,"重复",""))</x:f>
      </x:c>
    </x:row>
    <x:row r="1001">
      <x:c r="A1001" s="62"/>
      <x:c r="B1001" s="62"/>
      <x:c r="C1001" s="62"/>
      <x:c r="D1001" s="62"/>
      <x:c r="E1001" s="62"/>
      <x:c r="F1001" s="62"/>
      <x:c r="G1001" s="66"/>
      <x:c r="H1001" s="68"/>
      <x:c r="I1001" s="68"/>
      <x:c r="J1001" s="68"/>
      <x:c r="K1001" s="68"/>
      <x:c r="L1001" s="70"/>
      <x:c r="M1001" s="64" t="str">
        <x:f>IF(A1001="","",IF(AND(E1001&lt;&gt;"",F1001&lt;&gt;"",ABS(H1001-I1001)&lt;=0.01,ABS(J1001-K1001)&lt;=0.01,L1001=1),"一致","检查"))</x:f>
      </x:c>
      <x:c r="N1001" s="64" t="str">
        <x:f>IF(A1001="","",IF(COUNTIF($A$5:$A$1204,A1001)&gt;1,"重复",""))</x:f>
      </x:c>
    </x:row>
    <x:row r="1002">
      <x:c r="A1002" s="62"/>
      <x:c r="B1002" s="62"/>
      <x:c r="C1002" s="62"/>
      <x:c r="D1002" s="62"/>
      <x:c r="E1002" s="62"/>
      <x:c r="F1002" s="62"/>
      <x:c r="G1002" s="66"/>
      <x:c r="H1002" s="68"/>
      <x:c r="I1002" s="68"/>
      <x:c r="J1002" s="68"/>
      <x:c r="K1002" s="68"/>
      <x:c r="L1002" s="70"/>
      <x:c r="M1002" s="64" t="str">
        <x:f>IF(A1002="","",IF(AND(E1002&lt;&gt;"",F1002&lt;&gt;"",ABS(H1002-I1002)&lt;=0.01,ABS(J1002-K1002)&lt;=0.01,L1002=1),"一致","检查"))</x:f>
      </x:c>
      <x:c r="N1002" s="64" t="str">
        <x:f>IF(A1002="","",IF(COUNTIF($A$5:$A$1204,A1002)&gt;1,"重复",""))</x:f>
      </x:c>
    </x:row>
    <x:row r="1003">
      <x:c r="A1003" s="62"/>
      <x:c r="B1003" s="62"/>
      <x:c r="C1003" s="62"/>
      <x:c r="D1003" s="62"/>
      <x:c r="E1003" s="62"/>
      <x:c r="F1003" s="62"/>
      <x:c r="G1003" s="66"/>
      <x:c r="H1003" s="68"/>
      <x:c r="I1003" s="68"/>
      <x:c r="J1003" s="68"/>
      <x:c r="K1003" s="68"/>
      <x:c r="L1003" s="70"/>
      <x:c r="M1003" s="64" t="str">
        <x:f>IF(A1003="","",IF(AND(E1003&lt;&gt;"",F1003&lt;&gt;"",ABS(H1003-I1003)&lt;=0.01,ABS(J1003-K1003)&lt;=0.01,L1003=1),"一致","检查"))</x:f>
      </x:c>
      <x:c r="N1003" s="64" t="str">
        <x:f>IF(A1003="","",IF(COUNTIF($A$5:$A$1204,A1003)&gt;1,"重复",""))</x:f>
      </x:c>
    </x:row>
    <x:row r="1004">
      <x:c r="A1004" s="62"/>
      <x:c r="B1004" s="62"/>
      <x:c r="C1004" s="62"/>
      <x:c r="D1004" s="62"/>
      <x:c r="E1004" s="62"/>
      <x:c r="F1004" s="62"/>
      <x:c r="G1004" s="66"/>
      <x:c r="H1004" s="68"/>
      <x:c r="I1004" s="68"/>
      <x:c r="J1004" s="68"/>
      <x:c r="K1004" s="68"/>
      <x:c r="L1004" s="70"/>
      <x:c r="M1004" s="64" t="str">
        <x:f>IF(A1004="","",IF(AND(E1004&lt;&gt;"",F1004&lt;&gt;"",ABS(H1004-I1004)&lt;=0.01,ABS(J1004-K1004)&lt;=0.01,L1004=1),"一致","检查"))</x:f>
      </x:c>
      <x:c r="N1004" s="64" t="str">
        <x:f>IF(A1004="","",IF(COUNTIF($A$5:$A$1204,A1004)&gt;1,"重复",""))</x:f>
      </x:c>
    </x:row>
    <x:row r="1005">
      <x:c r="A1005" s="62"/>
      <x:c r="B1005" s="62"/>
      <x:c r="C1005" s="62"/>
      <x:c r="D1005" s="62"/>
      <x:c r="E1005" s="62"/>
      <x:c r="F1005" s="62"/>
      <x:c r="G1005" s="66"/>
      <x:c r="H1005" s="68"/>
      <x:c r="I1005" s="68"/>
      <x:c r="J1005" s="68"/>
      <x:c r="K1005" s="68"/>
      <x:c r="L1005" s="70"/>
      <x:c r="M1005" s="64" t="str">
        <x:f>IF(A1005="","",IF(AND(E1005&lt;&gt;"",F1005&lt;&gt;"",ABS(H1005-I1005)&lt;=0.01,ABS(J1005-K1005)&lt;=0.01,L1005=1),"一致","检查"))</x:f>
      </x:c>
      <x:c r="N1005" s="64" t="str">
        <x:f>IF(A1005="","",IF(COUNTIF($A$5:$A$1204,A1005)&gt;1,"重复",""))</x:f>
      </x:c>
    </x:row>
    <x:row r="1006">
      <x:c r="A1006" s="62"/>
      <x:c r="B1006" s="62"/>
      <x:c r="C1006" s="62"/>
      <x:c r="D1006" s="62"/>
      <x:c r="E1006" s="62"/>
      <x:c r="F1006" s="62"/>
      <x:c r="G1006" s="66"/>
      <x:c r="H1006" s="68"/>
      <x:c r="I1006" s="68"/>
      <x:c r="J1006" s="68"/>
      <x:c r="K1006" s="68"/>
      <x:c r="L1006" s="70"/>
      <x:c r="M1006" s="64" t="str">
        <x:f>IF(A1006="","",IF(AND(E1006&lt;&gt;"",F1006&lt;&gt;"",ABS(H1006-I1006)&lt;=0.01,ABS(J1006-K1006)&lt;=0.01,L1006=1),"一致","检查"))</x:f>
      </x:c>
      <x:c r="N1006" s="64" t="str">
        <x:f>IF(A1006="","",IF(COUNTIF($A$5:$A$1204,A1006)&gt;1,"重复",""))</x:f>
      </x:c>
    </x:row>
    <x:row r="1007">
      <x:c r="A1007" s="62"/>
      <x:c r="B1007" s="62"/>
      <x:c r="C1007" s="62"/>
      <x:c r="D1007" s="62"/>
      <x:c r="E1007" s="62"/>
      <x:c r="F1007" s="62"/>
      <x:c r="G1007" s="66"/>
      <x:c r="H1007" s="68"/>
      <x:c r="I1007" s="68"/>
      <x:c r="J1007" s="68"/>
      <x:c r="K1007" s="68"/>
      <x:c r="L1007" s="70"/>
      <x:c r="M1007" s="64" t="str">
        <x:f>IF(A1007="","",IF(AND(E1007&lt;&gt;"",F1007&lt;&gt;"",ABS(H1007-I1007)&lt;=0.01,ABS(J1007-K1007)&lt;=0.01,L1007=1),"一致","检查"))</x:f>
      </x:c>
      <x:c r="N1007" s="64" t="str">
        <x:f>IF(A1007="","",IF(COUNTIF($A$5:$A$1204,A1007)&gt;1,"重复",""))</x:f>
      </x:c>
    </x:row>
    <x:row r="1008">
      <x:c r="A1008" s="62"/>
      <x:c r="B1008" s="62"/>
      <x:c r="C1008" s="62"/>
      <x:c r="D1008" s="62"/>
      <x:c r="E1008" s="62"/>
      <x:c r="F1008" s="62"/>
      <x:c r="G1008" s="66"/>
      <x:c r="H1008" s="68"/>
      <x:c r="I1008" s="68"/>
      <x:c r="J1008" s="68"/>
      <x:c r="K1008" s="68"/>
      <x:c r="L1008" s="70"/>
      <x:c r="M1008" s="64" t="str">
        <x:f>IF(A1008="","",IF(AND(E1008&lt;&gt;"",F1008&lt;&gt;"",ABS(H1008-I1008)&lt;=0.01,ABS(J1008-K1008)&lt;=0.01,L1008=1),"一致","检查"))</x:f>
      </x:c>
      <x:c r="N1008" s="64" t="str">
        <x:f>IF(A1008="","",IF(COUNTIF($A$5:$A$1204,A1008)&gt;1,"重复",""))</x:f>
      </x:c>
    </x:row>
    <x:row r="1009">
      <x:c r="A1009" s="62"/>
      <x:c r="B1009" s="62"/>
      <x:c r="C1009" s="62"/>
      <x:c r="D1009" s="62"/>
      <x:c r="E1009" s="62"/>
      <x:c r="F1009" s="62"/>
      <x:c r="G1009" s="66"/>
      <x:c r="H1009" s="68"/>
      <x:c r="I1009" s="68"/>
      <x:c r="J1009" s="68"/>
      <x:c r="K1009" s="68"/>
      <x:c r="L1009" s="70"/>
      <x:c r="M1009" s="64" t="str">
        <x:f>IF(A1009="","",IF(AND(E1009&lt;&gt;"",F1009&lt;&gt;"",ABS(H1009-I1009)&lt;=0.01,ABS(J1009-K1009)&lt;=0.01,L1009=1),"一致","检查"))</x:f>
      </x:c>
      <x:c r="N1009" s="64" t="str">
        <x:f>IF(A1009="","",IF(COUNTIF($A$5:$A$1204,A1009)&gt;1,"重复",""))</x:f>
      </x:c>
    </x:row>
    <x:row r="1010">
      <x:c r="A1010" s="62"/>
      <x:c r="B1010" s="62"/>
      <x:c r="C1010" s="62"/>
      <x:c r="D1010" s="62"/>
      <x:c r="E1010" s="62"/>
      <x:c r="F1010" s="62"/>
      <x:c r="G1010" s="66"/>
      <x:c r="H1010" s="68"/>
      <x:c r="I1010" s="68"/>
      <x:c r="J1010" s="68"/>
      <x:c r="K1010" s="68"/>
      <x:c r="L1010" s="70"/>
      <x:c r="M1010" s="64" t="str">
        <x:f>IF(A1010="","",IF(AND(E1010&lt;&gt;"",F1010&lt;&gt;"",ABS(H1010-I1010)&lt;=0.01,ABS(J1010-K1010)&lt;=0.01,L1010=1),"一致","检查"))</x:f>
      </x:c>
      <x:c r="N1010" s="64" t="str">
        <x:f>IF(A1010="","",IF(COUNTIF($A$5:$A$1204,A1010)&gt;1,"重复",""))</x:f>
      </x:c>
    </x:row>
    <x:row r="1011">
      <x:c r="A1011" s="62"/>
      <x:c r="B1011" s="62"/>
      <x:c r="C1011" s="62"/>
      <x:c r="D1011" s="62"/>
      <x:c r="E1011" s="62"/>
      <x:c r="F1011" s="62"/>
      <x:c r="G1011" s="66"/>
      <x:c r="H1011" s="68"/>
      <x:c r="I1011" s="68"/>
      <x:c r="J1011" s="68"/>
      <x:c r="K1011" s="68"/>
      <x:c r="L1011" s="70"/>
      <x:c r="M1011" s="64" t="str">
        <x:f>IF(A1011="","",IF(AND(E1011&lt;&gt;"",F1011&lt;&gt;"",ABS(H1011-I1011)&lt;=0.01,ABS(J1011-K1011)&lt;=0.01,L1011=1),"一致","检查"))</x:f>
      </x:c>
      <x:c r="N1011" s="64" t="str">
        <x:f>IF(A1011="","",IF(COUNTIF($A$5:$A$1204,A1011)&gt;1,"重复",""))</x:f>
      </x:c>
    </x:row>
    <x:row r="1012">
      <x:c r="A1012" s="62"/>
      <x:c r="B1012" s="62"/>
      <x:c r="C1012" s="62"/>
      <x:c r="D1012" s="62"/>
      <x:c r="E1012" s="62"/>
      <x:c r="F1012" s="62"/>
      <x:c r="G1012" s="66"/>
      <x:c r="H1012" s="68"/>
      <x:c r="I1012" s="68"/>
      <x:c r="J1012" s="68"/>
      <x:c r="K1012" s="68"/>
      <x:c r="L1012" s="70"/>
      <x:c r="M1012" s="64" t="str">
        <x:f>IF(A1012="","",IF(AND(E1012&lt;&gt;"",F1012&lt;&gt;"",ABS(H1012-I1012)&lt;=0.01,ABS(J1012-K1012)&lt;=0.01,L1012=1),"一致","检查"))</x:f>
      </x:c>
      <x:c r="N1012" s="64" t="str">
        <x:f>IF(A1012="","",IF(COUNTIF($A$5:$A$1204,A1012)&gt;1,"重复",""))</x:f>
      </x:c>
    </x:row>
    <x:row r="1013">
      <x:c r="A1013" s="62"/>
      <x:c r="B1013" s="62"/>
      <x:c r="C1013" s="62"/>
      <x:c r="D1013" s="62"/>
      <x:c r="E1013" s="62"/>
      <x:c r="F1013" s="62"/>
      <x:c r="G1013" s="66"/>
      <x:c r="H1013" s="68"/>
      <x:c r="I1013" s="68"/>
      <x:c r="J1013" s="68"/>
      <x:c r="K1013" s="68"/>
      <x:c r="L1013" s="70"/>
      <x:c r="M1013" s="64" t="str">
        <x:f>IF(A1013="","",IF(AND(E1013&lt;&gt;"",F1013&lt;&gt;"",ABS(H1013-I1013)&lt;=0.01,ABS(J1013-K1013)&lt;=0.01,L1013=1),"一致","检查"))</x:f>
      </x:c>
      <x:c r="N1013" s="64" t="str">
        <x:f>IF(A1013="","",IF(COUNTIF($A$5:$A$1204,A1013)&gt;1,"重复",""))</x:f>
      </x:c>
    </x:row>
    <x:row r="1014">
      <x:c r="A1014" s="62"/>
      <x:c r="B1014" s="62"/>
      <x:c r="C1014" s="62"/>
      <x:c r="D1014" s="62"/>
      <x:c r="E1014" s="62"/>
      <x:c r="F1014" s="62"/>
      <x:c r="G1014" s="66"/>
      <x:c r="H1014" s="68"/>
      <x:c r="I1014" s="68"/>
      <x:c r="J1014" s="68"/>
      <x:c r="K1014" s="68"/>
      <x:c r="L1014" s="70"/>
      <x:c r="M1014" s="64" t="str">
        <x:f>IF(A1014="","",IF(AND(E1014&lt;&gt;"",F1014&lt;&gt;"",ABS(H1014-I1014)&lt;=0.01,ABS(J1014-K1014)&lt;=0.01,L1014=1),"一致","检查"))</x:f>
      </x:c>
      <x:c r="N1014" s="64" t="str">
        <x:f>IF(A1014="","",IF(COUNTIF($A$5:$A$1204,A1014)&gt;1,"重复",""))</x:f>
      </x:c>
    </x:row>
    <x:row r="1015">
      <x:c r="A1015" s="62"/>
      <x:c r="B1015" s="62"/>
      <x:c r="C1015" s="62"/>
      <x:c r="D1015" s="62"/>
      <x:c r="E1015" s="62"/>
      <x:c r="F1015" s="62"/>
      <x:c r="G1015" s="66"/>
      <x:c r="H1015" s="68"/>
      <x:c r="I1015" s="68"/>
      <x:c r="J1015" s="68"/>
      <x:c r="K1015" s="68"/>
      <x:c r="L1015" s="70"/>
      <x:c r="M1015" s="64" t="str">
        <x:f>IF(A1015="","",IF(AND(E1015&lt;&gt;"",F1015&lt;&gt;"",ABS(H1015-I1015)&lt;=0.01,ABS(J1015-K1015)&lt;=0.01,L1015=1),"一致","检查"))</x:f>
      </x:c>
      <x:c r="N1015" s="64" t="str">
        <x:f>IF(A1015="","",IF(COUNTIF($A$5:$A$1204,A1015)&gt;1,"重复",""))</x:f>
      </x:c>
    </x:row>
    <x:row r="1016">
      <x:c r="A1016" s="62"/>
      <x:c r="B1016" s="62"/>
      <x:c r="C1016" s="62"/>
      <x:c r="D1016" s="62"/>
      <x:c r="E1016" s="62"/>
      <x:c r="F1016" s="62"/>
      <x:c r="G1016" s="66"/>
      <x:c r="H1016" s="68"/>
      <x:c r="I1016" s="68"/>
      <x:c r="J1016" s="68"/>
      <x:c r="K1016" s="68"/>
      <x:c r="L1016" s="70"/>
      <x:c r="M1016" s="64" t="str">
        <x:f>IF(A1016="","",IF(AND(E1016&lt;&gt;"",F1016&lt;&gt;"",ABS(H1016-I1016)&lt;=0.01,ABS(J1016-K1016)&lt;=0.01,L1016=1),"一致","检查"))</x:f>
      </x:c>
      <x:c r="N1016" s="64" t="str">
        <x:f>IF(A1016="","",IF(COUNTIF($A$5:$A$1204,A1016)&gt;1,"重复",""))</x:f>
      </x:c>
    </x:row>
    <x:row r="1017">
      <x:c r="A1017" s="62"/>
      <x:c r="B1017" s="62"/>
      <x:c r="C1017" s="62"/>
      <x:c r="D1017" s="62"/>
      <x:c r="E1017" s="62"/>
      <x:c r="F1017" s="62"/>
      <x:c r="G1017" s="66"/>
      <x:c r="H1017" s="68"/>
      <x:c r="I1017" s="68"/>
      <x:c r="J1017" s="68"/>
      <x:c r="K1017" s="68"/>
      <x:c r="L1017" s="70"/>
      <x:c r="M1017" s="64" t="str">
        <x:f>IF(A1017="","",IF(AND(E1017&lt;&gt;"",F1017&lt;&gt;"",ABS(H1017-I1017)&lt;=0.01,ABS(J1017-K1017)&lt;=0.01,L1017=1),"一致","检查"))</x:f>
      </x:c>
      <x:c r="N1017" s="64" t="str">
        <x:f>IF(A1017="","",IF(COUNTIF($A$5:$A$1204,A1017)&gt;1,"重复",""))</x:f>
      </x:c>
    </x:row>
    <x:row r="1018">
      <x:c r="A1018" s="62"/>
      <x:c r="B1018" s="62"/>
      <x:c r="C1018" s="62"/>
      <x:c r="D1018" s="62"/>
      <x:c r="E1018" s="62"/>
      <x:c r="F1018" s="62"/>
      <x:c r="G1018" s="66"/>
      <x:c r="H1018" s="68"/>
      <x:c r="I1018" s="68"/>
      <x:c r="J1018" s="68"/>
      <x:c r="K1018" s="68"/>
      <x:c r="L1018" s="70"/>
      <x:c r="M1018" s="64" t="str">
        <x:f>IF(A1018="","",IF(AND(E1018&lt;&gt;"",F1018&lt;&gt;"",ABS(H1018-I1018)&lt;=0.01,ABS(J1018-K1018)&lt;=0.01,L1018=1),"一致","检查"))</x:f>
      </x:c>
      <x:c r="N1018" s="64" t="str">
        <x:f>IF(A1018="","",IF(COUNTIF($A$5:$A$1204,A1018)&gt;1,"重复",""))</x:f>
      </x:c>
    </x:row>
    <x:row r="1019">
      <x:c r="A1019" s="62"/>
      <x:c r="B1019" s="62"/>
      <x:c r="C1019" s="62"/>
      <x:c r="D1019" s="62"/>
      <x:c r="E1019" s="62"/>
      <x:c r="F1019" s="62"/>
      <x:c r="G1019" s="66"/>
      <x:c r="H1019" s="68"/>
      <x:c r="I1019" s="68"/>
      <x:c r="J1019" s="68"/>
      <x:c r="K1019" s="68"/>
      <x:c r="L1019" s="70"/>
      <x:c r="M1019" s="64" t="str">
        <x:f>IF(A1019="","",IF(AND(E1019&lt;&gt;"",F1019&lt;&gt;"",ABS(H1019-I1019)&lt;=0.01,ABS(J1019-K1019)&lt;=0.01,L1019=1),"一致","检查"))</x:f>
      </x:c>
      <x:c r="N1019" s="64" t="str">
        <x:f>IF(A1019="","",IF(COUNTIF($A$5:$A$1204,A1019)&gt;1,"重复",""))</x:f>
      </x:c>
    </x:row>
    <x:row r="1020">
      <x:c r="A1020" s="62"/>
      <x:c r="B1020" s="62"/>
      <x:c r="C1020" s="62"/>
      <x:c r="D1020" s="62"/>
      <x:c r="E1020" s="62"/>
      <x:c r="F1020" s="62"/>
      <x:c r="G1020" s="66"/>
      <x:c r="H1020" s="68"/>
      <x:c r="I1020" s="68"/>
      <x:c r="J1020" s="68"/>
      <x:c r="K1020" s="68"/>
      <x:c r="L1020" s="70"/>
      <x:c r="M1020" s="64" t="str">
        <x:f>IF(A1020="","",IF(AND(E1020&lt;&gt;"",F1020&lt;&gt;"",ABS(H1020-I1020)&lt;=0.01,ABS(J1020-K1020)&lt;=0.01,L1020=1),"一致","检查"))</x:f>
      </x:c>
      <x:c r="N1020" s="64" t="str">
        <x:f>IF(A1020="","",IF(COUNTIF($A$5:$A$1204,A1020)&gt;1,"重复",""))</x:f>
      </x:c>
    </x:row>
    <x:row r="1021">
      <x:c r="A1021" s="62"/>
      <x:c r="B1021" s="62"/>
      <x:c r="C1021" s="62"/>
      <x:c r="D1021" s="62"/>
      <x:c r="E1021" s="62"/>
      <x:c r="F1021" s="62"/>
      <x:c r="G1021" s="66"/>
      <x:c r="H1021" s="68"/>
      <x:c r="I1021" s="68"/>
      <x:c r="J1021" s="68"/>
      <x:c r="K1021" s="68"/>
      <x:c r="L1021" s="70"/>
      <x:c r="M1021" s="64" t="str">
        <x:f>IF(A1021="","",IF(AND(E1021&lt;&gt;"",F1021&lt;&gt;"",ABS(H1021-I1021)&lt;=0.01,ABS(J1021-K1021)&lt;=0.01,L1021=1),"一致","检查"))</x:f>
      </x:c>
      <x:c r="N1021" s="64" t="str">
        <x:f>IF(A1021="","",IF(COUNTIF($A$5:$A$1204,A1021)&gt;1,"重复",""))</x:f>
      </x:c>
    </x:row>
    <x:row r="1022">
      <x:c r="A1022" s="62"/>
      <x:c r="B1022" s="62"/>
      <x:c r="C1022" s="62"/>
      <x:c r="D1022" s="62"/>
      <x:c r="E1022" s="62"/>
      <x:c r="F1022" s="62"/>
      <x:c r="G1022" s="66"/>
      <x:c r="H1022" s="68"/>
      <x:c r="I1022" s="68"/>
      <x:c r="J1022" s="68"/>
      <x:c r="K1022" s="68"/>
      <x:c r="L1022" s="70"/>
      <x:c r="M1022" s="64" t="str">
        <x:f>IF(A1022="","",IF(AND(E1022&lt;&gt;"",F1022&lt;&gt;"",ABS(H1022-I1022)&lt;=0.01,ABS(J1022-K1022)&lt;=0.01,L1022=1),"一致","检查"))</x:f>
      </x:c>
      <x:c r="N1022" s="64" t="str">
        <x:f>IF(A1022="","",IF(COUNTIF($A$5:$A$1204,A1022)&gt;1,"重复",""))</x:f>
      </x:c>
    </x:row>
    <x:row r="1023">
      <x:c r="A1023" s="62"/>
      <x:c r="B1023" s="62"/>
      <x:c r="C1023" s="62"/>
      <x:c r="D1023" s="62"/>
      <x:c r="E1023" s="62"/>
      <x:c r="F1023" s="62"/>
      <x:c r="G1023" s="66"/>
      <x:c r="H1023" s="68"/>
      <x:c r="I1023" s="68"/>
      <x:c r="J1023" s="68"/>
      <x:c r="K1023" s="68"/>
      <x:c r="L1023" s="70"/>
      <x:c r="M1023" s="64" t="str">
        <x:f>IF(A1023="","",IF(AND(E1023&lt;&gt;"",F1023&lt;&gt;"",ABS(H1023-I1023)&lt;=0.01,ABS(J1023-K1023)&lt;=0.01,L1023=1),"一致","检查"))</x:f>
      </x:c>
      <x:c r="N1023" s="64" t="str">
        <x:f>IF(A1023="","",IF(COUNTIF($A$5:$A$1204,A1023)&gt;1,"重复",""))</x:f>
      </x:c>
    </x:row>
    <x:row r="1024">
      <x:c r="A1024" s="62"/>
      <x:c r="B1024" s="62"/>
      <x:c r="C1024" s="62"/>
      <x:c r="D1024" s="62"/>
      <x:c r="E1024" s="62"/>
      <x:c r="F1024" s="62"/>
      <x:c r="G1024" s="66"/>
      <x:c r="H1024" s="68"/>
      <x:c r="I1024" s="68"/>
      <x:c r="J1024" s="68"/>
      <x:c r="K1024" s="68"/>
      <x:c r="L1024" s="70"/>
      <x:c r="M1024" s="64" t="str">
        <x:f>IF(A1024="","",IF(AND(E1024&lt;&gt;"",F1024&lt;&gt;"",ABS(H1024-I1024)&lt;=0.01,ABS(J1024-K1024)&lt;=0.01,L1024=1),"一致","检查"))</x:f>
      </x:c>
      <x:c r="N1024" s="64" t="str">
        <x:f>IF(A1024="","",IF(COUNTIF($A$5:$A$1204,A1024)&gt;1,"重复",""))</x:f>
      </x:c>
    </x:row>
    <x:row r="1025">
      <x:c r="A1025" s="62"/>
      <x:c r="B1025" s="62"/>
      <x:c r="C1025" s="62"/>
      <x:c r="D1025" s="62"/>
      <x:c r="E1025" s="62"/>
      <x:c r="F1025" s="62"/>
      <x:c r="G1025" s="66"/>
      <x:c r="H1025" s="68"/>
      <x:c r="I1025" s="68"/>
      <x:c r="J1025" s="68"/>
      <x:c r="K1025" s="68"/>
      <x:c r="L1025" s="70"/>
      <x:c r="M1025" s="64" t="str">
        <x:f>IF(A1025="","",IF(AND(E1025&lt;&gt;"",F1025&lt;&gt;"",ABS(H1025-I1025)&lt;=0.01,ABS(J1025-K1025)&lt;=0.01,L1025=1),"一致","检查"))</x:f>
      </x:c>
      <x:c r="N1025" s="64" t="str">
        <x:f>IF(A1025="","",IF(COUNTIF($A$5:$A$1204,A1025)&gt;1,"重复",""))</x:f>
      </x:c>
    </x:row>
    <x:row r="1026">
      <x:c r="A1026" s="62"/>
      <x:c r="B1026" s="62"/>
      <x:c r="C1026" s="62"/>
      <x:c r="D1026" s="62"/>
      <x:c r="E1026" s="62"/>
      <x:c r="F1026" s="62"/>
      <x:c r="G1026" s="66"/>
      <x:c r="H1026" s="68"/>
      <x:c r="I1026" s="68"/>
      <x:c r="J1026" s="68"/>
      <x:c r="K1026" s="68"/>
      <x:c r="L1026" s="70"/>
      <x:c r="M1026" s="64" t="str">
        <x:f>IF(A1026="","",IF(AND(E1026&lt;&gt;"",F1026&lt;&gt;"",ABS(H1026-I1026)&lt;=0.01,ABS(J1026-K1026)&lt;=0.01,L1026=1),"一致","检查"))</x:f>
      </x:c>
      <x:c r="N1026" s="64" t="str">
        <x:f>IF(A1026="","",IF(COUNTIF($A$5:$A$1204,A1026)&gt;1,"重复",""))</x:f>
      </x:c>
    </x:row>
    <x:row r="1027">
      <x:c r="A1027" s="62"/>
      <x:c r="B1027" s="62"/>
      <x:c r="C1027" s="62"/>
      <x:c r="D1027" s="62"/>
      <x:c r="E1027" s="62"/>
      <x:c r="F1027" s="62"/>
      <x:c r="G1027" s="66"/>
      <x:c r="H1027" s="68"/>
      <x:c r="I1027" s="68"/>
      <x:c r="J1027" s="68"/>
      <x:c r="K1027" s="68"/>
      <x:c r="L1027" s="70"/>
      <x:c r="M1027" s="64" t="str">
        <x:f>IF(A1027="","",IF(AND(E1027&lt;&gt;"",F1027&lt;&gt;"",ABS(H1027-I1027)&lt;=0.01,ABS(J1027-K1027)&lt;=0.01,L1027=1),"一致","检查"))</x:f>
      </x:c>
      <x:c r="N1027" s="64" t="str">
        <x:f>IF(A1027="","",IF(COUNTIF($A$5:$A$1204,A1027)&gt;1,"重复",""))</x:f>
      </x:c>
    </x:row>
    <x:row r="1028">
      <x:c r="A1028" s="62"/>
      <x:c r="B1028" s="62"/>
      <x:c r="C1028" s="62"/>
      <x:c r="D1028" s="62"/>
      <x:c r="E1028" s="62"/>
      <x:c r="F1028" s="62"/>
      <x:c r="G1028" s="66"/>
      <x:c r="H1028" s="68"/>
      <x:c r="I1028" s="68"/>
      <x:c r="J1028" s="68"/>
      <x:c r="K1028" s="68"/>
      <x:c r="L1028" s="70"/>
      <x:c r="M1028" s="64" t="str">
        <x:f>IF(A1028="","",IF(AND(E1028&lt;&gt;"",F1028&lt;&gt;"",ABS(H1028-I1028)&lt;=0.01,ABS(J1028-K1028)&lt;=0.01,L1028=1),"一致","检查"))</x:f>
      </x:c>
      <x:c r="N1028" s="64" t="str">
        <x:f>IF(A1028="","",IF(COUNTIF($A$5:$A$1204,A1028)&gt;1,"重复",""))</x:f>
      </x:c>
    </x:row>
    <x:row r="1029">
      <x:c r="A1029" s="62"/>
      <x:c r="B1029" s="62"/>
      <x:c r="C1029" s="62"/>
      <x:c r="D1029" s="62"/>
      <x:c r="E1029" s="62"/>
      <x:c r="F1029" s="62"/>
      <x:c r="G1029" s="66"/>
      <x:c r="H1029" s="68"/>
      <x:c r="I1029" s="68"/>
      <x:c r="J1029" s="68"/>
      <x:c r="K1029" s="68"/>
      <x:c r="L1029" s="70"/>
      <x:c r="M1029" s="64" t="str">
        <x:f>IF(A1029="","",IF(AND(E1029&lt;&gt;"",F1029&lt;&gt;"",ABS(H1029-I1029)&lt;=0.01,ABS(J1029-K1029)&lt;=0.01,L1029=1),"一致","检查"))</x:f>
      </x:c>
      <x:c r="N1029" s="64" t="str">
        <x:f>IF(A1029="","",IF(COUNTIF($A$5:$A$1204,A1029)&gt;1,"重复",""))</x:f>
      </x:c>
    </x:row>
    <x:row r="1030">
      <x:c r="A1030" s="62"/>
      <x:c r="B1030" s="62"/>
      <x:c r="C1030" s="62"/>
      <x:c r="D1030" s="62"/>
      <x:c r="E1030" s="62"/>
      <x:c r="F1030" s="62"/>
      <x:c r="G1030" s="66"/>
      <x:c r="H1030" s="68"/>
      <x:c r="I1030" s="68"/>
      <x:c r="J1030" s="68"/>
      <x:c r="K1030" s="68"/>
      <x:c r="L1030" s="70"/>
      <x:c r="M1030" s="64" t="str">
        <x:f>IF(A1030="","",IF(AND(E1030&lt;&gt;"",F1030&lt;&gt;"",ABS(H1030-I1030)&lt;=0.01,ABS(J1030-K1030)&lt;=0.01,L1030=1),"一致","检查"))</x:f>
      </x:c>
      <x:c r="N1030" s="64" t="str">
        <x:f>IF(A1030="","",IF(COUNTIF($A$5:$A$1204,A1030)&gt;1,"重复",""))</x:f>
      </x:c>
    </x:row>
    <x:row r="1031">
      <x:c r="A1031" s="62"/>
      <x:c r="B1031" s="62"/>
      <x:c r="C1031" s="62"/>
      <x:c r="D1031" s="62"/>
      <x:c r="E1031" s="62"/>
      <x:c r="F1031" s="62"/>
      <x:c r="G1031" s="66"/>
      <x:c r="H1031" s="68"/>
      <x:c r="I1031" s="68"/>
      <x:c r="J1031" s="68"/>
      <x:c r="K1031" s="68"/>
      <x:c r="L1031" s="70"/>
      <x:c r="M1031" s="64" t="str">
        <x:f>IF(A1031="","",IF(AND(E1031&lt;&gt;"",F1031&lt;&gt;"",ABS(H1031-I1031)&lt;=0.01,ABS(J1031-K1031)&lt;=0.01,L1031=1),"一致","检查"))</x:f>
      </x:c>
      <x:c r="N1031" s="64" t="str">
        <x:f>IF(A1031="","",IF(COUNTIF($A$5:$A$1204,A1031)&gt;1,"重复",""))</x:f>
      </x:c>
    </x:row>
    <x:row r="1032">
      <x:c r="A1032" s="62"/>
      <x:c r="B1032" s="62"/>
      <x:c r="C1032" s="62"/>
      <x:c r="D1032" s="62"/>
      <x:c r="E1032" s="62"/>
      <x:c r="F1032" s="62"/>
      <x:c r="G1032" s="66"/>
      <x:c r="H1032" s="68"/>
      <x:c r="I1032" s="68"/>
      <x:c r="J1032" s="68"/>
      <x:c r="K1032" s="68"/>
      <x:c r="L1032" s="70"/>
      <x:c r="M1032" s="64" t="str">
        <x:f>IF(A1032="","",IF(AND(E1032&lt;&gt;"",F1032&lt;&gt;"",ABS(H1032-I1032)&lt;=0.01,ABS(J1032-K1032)&lt;=0.01,L1032=1),"一致","检查"))</x:f>
      </x:c>
      <x:c r="N1032" s="64" t="str">
        <x:f>IF(A1032="","",IF(COUNTIF($A$5:$A$1204,A1032)&gt;1,"重复",""))</x:f>
      </x:c>
    </x:row>
    <x:row r="1033">
      <x:c r="A1033" s="62"/>
      <x:c r="B1033" s="62"/>
      <x:c r="C1033" s="62"/>
      <x:c r="D1033" s="62"/>
      <x:c r="E1033" s="62"/>
      <x:c r="F1033" s="62"/>
      <x:c r="G1033" s="66"/>
      <x:c r="H1033" s="68"/>
      <x:c r="I1033" s="68"/>
      <x:c r="J1033" s="68"/>
      <x:c r="K1033" s="68"/>
      <x:c r="L1033" s="70"/>
      <x:c r="M1033" s="64" t="str">
        <x:f>IF(A1033="","",IF(AND(E1033&lt;&gt;"",F1033&lt;&gt;"",ABS(H1033-I1033)&lt;=0.01,ABS(J1033-K1033)&lt;=0.01,L1033=1),"一致","检查"))</x:f>
      </x:c>
      <x:c r="N1033" s="64" t="str">
        <x:f>IF(A1033="","",IF(COUNTIF($A$5:$A$1204,A1033)&gt;1,"重复",""))</x:f>
      </x:c>
    </x:row>
    <x:row r="1034">
      <x:c r="A1034" s="62"/>
      <x:c r="B1034" s="62"/>
      <x:c r="C1034" s="62"/>
      <x:c r="D1034" s="62"/>
      <x:c r="E1034" s="62"/>
      <x:c r="F1034" s="62"/>
      <x:c r="G1034" s="66"/>
      <x:c r="H1034" s="68"/>
      <x:c r="I1034" s="68"/>
      <x:c r="J1034" s="68"/>
      <x:c r="K1034" s="68"/>
      <x:c r="L1034" s="70"/>
      <x:c r="M1034" s="64" t="str">
        <x:f>IF(A1034="","",IF(AND(E1034&lt;&gt;"",F1034&lt;&gt;"",ABS(H1034-I1034)&lt;=0.01,ABS(J1034-K1034)&lt;=0.01,L1034=1),"一致","检查"))</x:f>
      </x:c>
      <x:c r="N1034" s="64" t="str">
        <x:f>IF(A1034="","",IF(COUNTIF($A$5:$A$1204,A1034)&gt;1,"重复",""))</x:f>
      </x:c>
    </x:row>
    <x:row r="1035">
      <x:c r="A1035" s="62"/>
      <x:c r="B1035" s="62"/>
      <x:c r="C1035" s="62"/>
      <x:c r="D1035" s="62"/>
      <x:c r="E1035" s="62"/>
      <x:c r="F1035" s="62"/>
      <x:c r="G1035" s="66"/>
      <x:c r="H1035" s="68"/>
      <x:c r="I1035" s="68"/>
      <x:c r="J1035" s="68"/>
      <x:c r="K1035" s="68"/>
      <x:c r="L1035" s="70"/>
      <x:c r="M1035" s="64" t="str">
        <x:f>IF(A1035="","",IF(AND(E1035&lt;&gt;"",F1035&lt;&gt;"",ABS(H1035-I1035)&lt;=0.01,ABS(J1035-K1035)&lt;=0.01,L1035=1),"一致","检查"))</x:f>
      </x:c>
      <x:c r="N1035" s="64" t="str">
        <x:f>IF(A1035="","",IF(COUNTIF($A$5:$A$1204,A1035)&gt;1,"重复",""))</x:f>
      </x:c>
    </x:row>
    <x:row r="1036">
      <x:c r="A1036" s="62"/>
      <x:c r="B1036" s="62"/>
      <x:c r="C1036" s="62"/>
      <x:c r="D1036" s="62"/>
      <x:c r="E1036" s="62"/>
      <x:c r="F1036" s="62"/>
      <x:c r="G1036" s="66"/>
      <x:c r="H1036" s="68"/>
      <x:c r="I1036" s="68"/>
      <x:c r="J1036" s="68"/>
      <x:c r="K1036" s="68"/>
      <x:c r="L1036" s="70"/>
      <x:c r="M1036" s="64" t="str">
        <x:f>IF(A1036="","",IF(AND(E1036&lt;&gt;"",F1036&lt;&gt;"",ABS(H1036-I1036)&lt;=0.01,ABS(J1036-K1036)&lt;=0.01,L1036=1),"一致","检查"))</x:f>
      </x:c>
      <x:c r="N1036" s="64" t="str">
        <x:f>IF(A1036="","",IF(COUNTIF($A$5:$A$1204,A1036)&gt;1,"重复",""))</x:f>
      </x:c>
    </x:row>
    <x:row r="1037">
      <x:c r="A1037" s="62"/>
      <x:c r="B1037" s="62"/>
      <x:c r="C1037" s="62"/>
      <x:c r="D1037" s="62"/>
      <x:c r="E1037" s="62"/>
      <x:c r="F1037" s="62"/>
      <x:c r="G1037" s="66"/>
      <x:c r="H1037" s="68"/>
      <x:c r="I1037" s="68"/>
      <x:c r="J1037" s="68"/>
      <x:c r="K1037" s="68"/>
      <x:c r="L1037" s="70"/>
      <x:c r="M1037" s="64" t="str">
        <x:f>IF(A1037="","",IF(AND(E1037&lt;&gt;"",F1037&lt;&gt;"",ABS(H1037-I1037)&lt;=0.01,ABS(J1037-K1037)&lt;=0.01,L1037=1),"一致","检查"))</x:f>
      </x:c>
      <x:c r="N1037" s="64" t="str">
        <x:f>IF(A1037="","",IF(COUNTIF($A$5:$A$1204,A1037)&gt;1,"重复",""))</x:f>
      </x:c>
    </x:row>
    <x:row r="1038">
      <x:c r="A1038" s="62"/>
      <x:c r="B1038" s="62"/>
      <x:c r="C1038" s="62"/>
      <x:c r="D1038" s="62"/>
      <x:c r="E1038" s="62"/>
      <x:c r="F1038" s="62"/>
      <x:c r="G1038" s="66"/>
      <x:c r="H1038" s="68"/>
      <x:c r="I1038" s="68"/>
      <x:c r="J1038" s="68"/>
      <x:c r="K1038" s="68"/>
      <x:c r="L1038" s="70"/>
      <x:c r="M1038" s="64" t="str">
        <x:f>IF(A1038="","",IF(AND(E1038&lt;&gt;"",F1038&lt;&gt;"",ABS(H1038-I1038)&lt;=0.01,ABS(J1038-K1038)&lt;=0.01,L1038=1),"一致","检查"))</x:f>
      </x:c>
      <x:c r="N1038" s="64" t="str">
        <x:f>IF(A1038="","",IF(COUNTIF($A$5:$A$1204,A1038)&gt;1,"重复",""))</x:f>
      </x:c>
    </x:row>
    <x:row r="1039">
      <x:c r="A1039" s="62"/>
      <x:c r="B1039" s="62"/>
      <x:c r="C1039" s="62"/>
      <x:c r="D1039" s="62"/>
      <x:c r="E1039" s="62"/>
      <x:c r="F1039" s="62"/>
      <x:c r="G1039" s="66"/>
      <x:c r="H1039" s="68"/>
      <x:c r="I1039" s="68"/>
      <x:c r="J1039" s="68"/>
      <x:c r="K1039" s="68"/>
      <x:c r="L1039" s="70"/>
      <x:c r="M1039" s="64" t="str">
        <x:f>IF(A1039="","",IF(AND(E1039&lt;&gt;"",F1039&lt;&gt;"",ABS(H1039-I1039)&lt;=0.01,ABS(J1039-K1039)&lt;=0.01,L1039=1),"一致","检查"))</x:f>
      </x:c>
      <x:c r="N1039" s="64" t="str">
        <x:f>IF(A1039="","",IF(COUNTIF($A$5:$A$1204,A1039)&gt;1,"重复",""))</x:f>
      </x:c>
    </x:row>
    <x:row r="1040">
      <x:c r="A1040" s="62"/>
      <x:c r="B1040" s="62"/>
      <x:c r="C1040" s="62"/>
      <x:c r="D1040" s="62"/>
      <x:c r="E1040" s="62"/>
      <x:c r="F1040" s="62"/>
      <x:c r="G1040" s="66"/>
      <x:c r="H1040" s="68"/>
      <x:c r="I1040" s="68"/>
      <x:c r="J1040" s="68"/>
      <x:c r="K1040" s="68"/>
      <x:c r="L1040" s="70"/>
      <x:c r="M1040" s="64" t="str">
        <x:f>IF(A1040="","",IF(AND(E1040&lt;&gt;"",F1040&lt;&gt;"",ABS(H1040-I1040)&lt;=0.01,ABS(J1040-K1040)&lt;=0.01,L1040=1),"一致","检查"))</x:f>
      </x:c>
      <x:c r="N1040" s="64" t="str">
        <x:f>IF(A1040="","",IF(COUNTIF($A$5:$A$1204,A1040)&gt;1,"重复",""))</x:f>
      </x:c>
    </x:row>
    <x:row r="1041">
      <x:c r="A1041" s="62"/>
      <x:c r="B1041" s="62"/>
      <x:c r="C1041" s="62"/>
      <x:c r="D1041" s="62"/>
      <x:c r="E1041" s="62"/>
      <x:c r="F1041" s="62"/>
      <x:c r="G1041" s="66"/>
      <x:c r="H1041" s="68"/>
      <x:c r="I1041" s="68"/>
      <x:c r="J1041" s="68"/>
      <x:c r="K1041" s="68"/>
      <x:c r="L1041" s="70"/>
      <x:c r="M1041" s="64" t="str">
        <x:f>IF(A1041="","",IF(AND(E1041&lt;&gt;"",F1041&lt;&gt;"",ABS(H1041-I1041)&lt;=0.01,ABS(J1041-K1041)&lt;=0.01,L1041=1),"一致","检查"))</x:f>
      </x:c>
      <x:c r="N1041" s="64" t="str">
        <x:f>IF(A1041="","",IF(COUNTIF($A$5:$A$1204,A1041)&gt;1,"重复",""))</x:f>
      </x:c>
    </x:row>
    <x:row r="1042">
      <x:c r="A1042" s="62"/>
      <x:c r="B1042" s="62"/>
      <x:c r="C1042" s="62"/>
      <x:c r="D1042" s="62"/>
      <x:c r="E1042" s="62"/>
      <x:c r="F1042" s="62"/>
      <x:c r="G1042" s="66"/>
      <x:c r="H1042" s="68"/>
      <x:c r="I1042" s="68"/>
      <x:c r="J1042" s="68"/>
      <x:c r="K1042" s="68"/>
      <x:c r="L1042" s="70"/>
      <x:c r="M1042" s="64" t="str">
        <x:f>IF(A1042="","",IF(AND(E1042&lt;&gt;"",F1042&lt;&gt;"",ABS(H1042-I1042)&lt;=0.01,ABS(J1042-K1042)&lt;=0.01,L1042=1),"一致","检查"))</x:f>
      </x:c>
      <x:c r="N1042" s="64" t="str">
        <x:f>IF(A1042="","",IF(COUNTIF($A$5:$A$1204,A1042)&gt;1,"重复",""))</x:f>
      </x:c>
    </x:row>
    <x:row r="1043">
      <x:c r="A1043" s="62"/>
      <x:c r="B1043" s="62"/>
      <x:c r="C1043" s="62"/>
      <x:c r="D1043" s="62"/>
      <x:c r="E1043" s="62"/>
      <x:c r="F1043" s="62"/>
      <x:c r="G1043" s="66"/>
      <x:c r="H1043" s="68"/>
      <x:c r="I1043" s="68"/>
      <x:c r="J1043" s="68"/>
      <x:c r="K1043" s="68"/>
      <x:c r="L1043" s="70"/>
      <x:c r="M1043" s="64" t="str">
        <x:f>IF(A1043="","",IF(AND(E1043&lt;&gt;"",F1043&lt;&gt;"",ABS(H1043-I1043)&lt;=0.01,ABS(J1043-K1043)&lt;=0.01,L1043=1),"一致","检查"))</x:f>
      </x:c>
      <x:c r="N1043" s="64" t="str">
        <x:f>IF(A1043="","",IF(COUNTIF($A$5:$A$1204,A1043)&gt;1,"重复",""))</x:f>
      </x:c>
    </x:row>
    <x:row r="1044">
      <x:c r="A1044" s="62"/>
      <x:c r="B1044" s="62"/>
      <x:c r="C1044" s="62"/>
      <x:c r="D1044" s="62"/>
      <x:c r="E1044" s="62"/>
      <x:c r="F1044" s="62"/>
      <x:c r="G1044" s="66"/>
      <x:c r="H1044" s="68"/>
      <x:c r="I1044" s="68"/>
      <x:c r="J1044" s="68"/>
      <x:c r="K1044" s="68"/>
      <x:c r="L1044" s="70"/>
      <x:c r="M1044" s="64" t="str">
        <x:f>IF(A1044="","",IF(AND(E1044&lt;&gt;"",F1044&lt;&gt;"",ABS(H1044-I1044)&lt;=0.01,ABS(J1044-K1044)&lt;=0.01,L1044=1),"一致","检查"))</x:f>
      </x:c>
      <x:c r="N1044" s="64" t="str">
        <x:f>IF(A1044="","",IF(COUNTIF($A$5:$A$1204,A1044)&gt;1,"重复",""))</x:f>
      </x:c>
    </x:row>
    <x:row r="1045">
      <x:c r="A1045" s="62"/>
      <x:c r="B1045" s="62"/>
      <x:c r="C1045" s="62"/>
      <x:c r="D1045" s="62"/>
      <x:c r="E1045" s="62"/>
      <x:c r="F1045" s="62"/>
      <x:c r="G1045" s="66"/>
      <x:c r="H1045" s="68"/>
      <x:c r="I1045" s="68"/>
      <x:c r="J1045" s="68"/>
      <x:c r="K1045" s="68"/>
      <x:c r="L1045" s="70"/>
      <x:c r="M1045" s="64" t="str">
        <x:f>IF(A1045="","",IF(AND(E1045&lt;&gt;"",F1045&lt;&gt;"",ABS(H1045-I1045)&lt;=0.01,ABS(J1045-K1045)&lt;=0.01,L1045=1),"一致","检查"))</x:f>
      </x:c>
      <x:c r="N1045" s="64" t="str">
        <x:f>IF(A1045="","",IF(COUNTIF($A$5:$A$1204,A1045)&gt;1,"重复",""))</x:f>
      </x:c>
    </x:row>
    <x:row r="1046">
      <x:c r="A1046" s="62"/>
      <x:c r="B1046" s="62"/>
      <x:c r="C1046" s="62"/>
      <x:c r="D1046" s="62"/>
      <x:c r="E1046" s="62"/>
      <x:c r="F1046" s="62"/>
      <x:c r="G1046" s="66"/>
      <x:c r="H1046" s="68"/>
      <x:c r="I1046" s="68"/>
      <x:c r="J1046" s="68"/>
      <x:c r="K1046" s="68"/>
      <x:c r="L1046" s="70"/>
      <x:c r="M1046" s="64" t="str">
        <x:f>IF(A1046="","",IF(AND(E1046&lt;&gt;"",F1046&lt;&gt;"",ABS(H1046-I1046)&lt;=0.01,ABS(J1046-K1046)&lt;=0.01,L1046=1),"一致","检查"))</x:f>
      </x:c>
      <x:c r="N1046" s="64" t="str">
        <x:f>IF(A1046="","",IF(COUNTIF($A$5:$A$1204,A1046)&gt;1,"重复",""))</x:f>
      </x:c>
    </x:row>
    <x:row r="1047">
      <x:c r="A1047" s="62"/>
      <x:c r="B1047" s="62"/>
      <x:c r="C1047" s="62"/>
      <x:c r="D1047" s="62"/>
      <x:c r="E1047" s="62"/>
      <x:c r="F1047" s="62"/>
      <x:c r="G1047" s="66"/>
      <x:c r="H1047" s="68"/>
      <x:c r="I1047" s="68"/>
      <x:c r="J1047" s="68"/>
      <x:c r="K1047" s="68"/>
      <x:c r="L1047" s="70"/>
      <x:c r="M1047" s="64" t="str">
        <x:f>IF(A1047="","",IF(AND(E1047&lt;&gt;"",F1047&lt;&gt;"",ABS(H1047-I1047)&lt;=0.01,ABS(J1047-K1047)&lt;=0.01,L1047=1),"一致","检查"))</x:f>
      </x:c>
      <x:c r="N1047" s="64" t="str">
        <x:f>IF(A1047="","",IF(COUNTIF($A$5:$A$1204,A1047)&gt;1,"重复",""))</x:f>
      </x:c>
    </x:row>
    <x:row r="1048">
      <x:c r="A1048" s="62"/>
      <x:c r="B1048" s="62"/>
      <x:c r="C1048" s="62"/>
      <x:c r="D1048" s="62"/>
      <x:c r="E1048" s="62"/>
      <x:c r="F1048" s="62"/>
      <x:c r="G1048" s="66"/>
      <x:c r="H1048" s="68"/>
      <x:c r="I1048" s="68"/>
      <x:c r="J1048" s="68"/>
      <x:c r="K1048" s="68"/>
      <x:c r="L1048" s="70"/>
      <x:c r="M1048" s="64" t="str">
        <x:f>IF(A1048="","",IF(AND(E1048&lt;&gt;"",F1048&lt;&gt;"",ABS(H1048-I1048)&lt;=0.01,ABS(J1048-K1048)&lt;=0.01,L1048=1),"一致","检查"))</x:f>
      </x:c>
      <x:c r="N1048" s="64" t="str">
        <x:f>IF(A1048="","",IF(COUNTIF($A$5:$A$1204,A1048)&gt;1,"重复",""))</x:f>
      </x:c>
    </x:row>
    <x:row r="1049">
      <x:c r="A1049" s="62"/>
      <x:c r="B1049" s="62"/>
      <x:c r="C1049" s="62"/>
      <x:c r="D1049" s="62"/>
      <x:c r="E1049" s="62"/>
      <x:c r="F1049" s="62"/>
      <x:c r="G1049" s="66"/>
      <x:c r="H1049" s="68"/>
      <x:c r="I1049" s="68"/>
      <x:c r="J1049" s="68"/>
      <x:c r="K1049" s="68"/>
      <x:c r="L1049" s="70"/>
      <x:c r="M1049" s="64" t="str">
        <x:f>IF(A1049="","",IF(AND(E1049&lt;&gt;"",F1049&lt;&gt;"",ABS(H1049-I1049)&lt;=0.01,ABS(J1049-K1049)&lt;=0.01,L1049=1),"一致","检查"))</x:f>
      </x:c>
      <x:c r="N1049" s="64" t="str">
        <x:f>IF(A1049="","",IF(COUNTIF($A$5:$A$1204,A1049)&gt;1,"重复",""))</x:f>
      </x:c>
    </x:row>
    <x:row r="1050">
      <x:c r="A1050" s="62"/>
      <x:c r="B1050" s="62"/>
      <x:c r="C1050" s="62"/>
      <x:c r="D1050" s="62"/>
      <x:c r="E1050" s="62"/>
      <x:c r="F1050" s="62"/>
      <x:c r="G1050" s="66"/>
      <x:c r="H1050" s="68"/>
      <x:c r="I1050" s="68"/>
      <x:c r="J1050" s="68"/>
      <x:c r="K1050" s="68"/>
      <x:c r="L1050" s="70"/>
      <x:c r="M1050" s="64" t="str">
        <x:f>IF(A1050="","",IF(AND(E1050&lt;&gt;"",F1050&lt;&gt;"",ABS(H1050-I1050)&lt;=0.01,ABS(J1050-K1050)&lt;=0.01,L1050=1),"一致","检查"))</x:f>
      </x:c>
      <x:c r="N1050" s="64" t="str">
        <x:f>IF(A1050="","",IF(COUNTIF($A$5:$A$1204,A1050)&gt;1,"重复",""))</x:f>
      </x:c>
    </x:row>
    <x:row r="1051">
      <x:c r="A1051" s="62"/>
      <x:c r="B1051" s="62"/>
      <x:c r="C1051" s="62"/>
      <x:c r="D1051" s="62"/>
      <x:c r="E1051" s="62"/>
      <x:c r="F1051" s="62"/>
      <x:c r="G1051" s="66"/>
      <x:c r="H1051" s="68"/>
      <x:c r="I1051" s="68"/>
      <x:c r="J1051" s="68"/>
      <x:c r="K1051" s="68"/>
      <x:c r="L1051" s="70"/>
      <x:c r="M1051" s="64" t="str">
        <x:f>IF(A1051="","",IF(AND(E1051&lt;&gt;"",F1051&lt;&gt;"",ABS(H1051-I1051)&lt;=0.01,ABS(J1051-K1051)&lt;=0.01,L1051=1),"一致","检查"))</x:f>
      </x:c>
      <x:c r="N1051" s="64" t="str">
        <x:f>IF(A1051="","",IF(COUNTIF($A$5:$A$1204,A1051)&gt;1,"重复",""))</x:f>
      </x:c>
    </x:row>
    <x:row r="1052">
      <x:c r="A1052" s="62"/>
      <x:c r="B1052" s="62"/>
      <x:c r="C1052" s="62"/>
      <x:c r="D1052" s="62"/>
      <x:c r="E1052" s="62"/>
      <x:c r="F1052" s="62"/>
      <x:c r="G1052" s="66"/>
      <x:c r="H1052" s="68"/>
      <x:c r="I1052" s="68"/>
      <x:c r="J1052" s="68"/>
      <x:c r="K1052" s="68"/>
      <x:c r="L1052" s="70"/>
      <x:c r="M1052" s="64" t="str">
        <x:f>IF(A1052="","",IF(AND(E1052&lt;&gt;"",F1052&lt;&gt;"",ABS(H1052-I1052)&lt;=0.01,ABS(J1052-K1052)&lt;=0.01,L1052=1),"一致","检查"))</x:f>
      </x:c>
      <x:c r="N1052" s="64" t="str">
        <x:f>IF(A1052="","",IF(COUNTIF($A$5:$A$1204,A1052)&gt;1,"重复",""))</x:f>
      </x:c>
    </x:row>
    <x:row r="1053">
      <x:c r="A1053" s="62"/>
      <x:c r="B1053" s="62"/>
      <x:c r="C1053" s="62"/>
      <x:c r="D1053" s="62"/>
      <x:c r="E1053" s="62"/>
      <x:c r="F1053" s="62"/>
      <x:c r="G1053" s="66"/>
      <x:c r="H1053" s="68"/>
      <x:c r="I1053" s="68"/>
      <x:c r="J1053" s="68"/>
      <x:c r="K1053" s="68"/>
      <x:c r="L1053" s="70"/>
      <x:c r="M1053" s="64" t="str">
        <x:f>IF(A1053="","",IF(AND(E1053&lt;&gt;"",F1053&lt;&gt;"",ABS(H1053-I1053)&lt;=0.01,ABS(J1053-K1053)&lt;=0.01,L1053=1),"一致","检查"))</x:f>
      </x:c>
      <x:c r="N1053" s="64" t="str">
        <x:f>IF(A1053="","",IF(COUNTIF($A$5:$A$1204,A1053)&gt;1,"重复",""))</x:f>
      </x:c>
    </x:row>
    <x:row r="1054">
      <x:c r="A1054" s="62"/>
      <x:c r="B1054" s="62"/>
      <x:c r="C1054" s="62"/>
      <x:c r="D1054" s="62"/>
      <x:c r="E1054" s="62"/>
      <x:c r="F1054" s="62"/>
      <x:c r="G1054" s="66"/>
      <x:c r="H1054" s="68"/>
      <x:c r="I1054" s="68"/>
      <x:c r="J1054" s="68"/>
      <x:c r="K1054" s="68"/>
      <x:c r="L1054" s="70"/>
      <x:c r="M1054" s="64" t="str">
        <x:f>IF(A1054="","",IF(AND(E1054&lt;&gt;"",F1054&lt;&gt;"",ABS(H1054-I1054)&lt;=0.01,ABS(J1054-K1054)&lt;=0.01,L1054=1),"一致","检查"))</x:f>
      </x:c>
      <x:c r="N1054" s="64" t="str">
        <x:f>IF(A1054="","",IF(COUNTIF($A$5:$A$1204,A1054)&gt;1,"重复",""))</x:f>
      </x:c>
    </x:row>
    <x:row r="1055">
      <x:c r="A1055" s="62"/>
      <x:c r="B1055" s="62"/>
      <x:c r="C1055" s="62"/>
      <x:c r="D1055" s="62"/>
      <x:c r="E1055" s="62"/>
      <x:c r="F1055" s="62"/>
      <x:c r="G1055" s="66"/>
      <x:c r="H1055" s="68"/>
      <x:c r="I1055" s="68"/>
      <x:c r="J1055" s="68"/>
      <x:c r="K1055" s="68"/>
      <x:c r="L1055" s="70"/>
      <x:c r="M1055" s="64" t="str">
        <x:f>IF(A1055="","",IF(AND(E1055&lt;&gt;"",F1055&lt;&gt;"",ABS(H1055-I1055)&lt;=0.01,ABS(J1055-K1055)&lt;=0.01,L1055=1),"一致","检查"))</x:f>
      </x:c>
      <x:c r="N1055" s="64" t="str">
        <x:f>IF(A1055="","",IF(COUNTIF($A$5:$A$1204,A1055)&gt;1,"重复",""))</x:f>
      </x:c>
    </x:row>
    <x:row r="1056">
      <x:c r="A1056" s="62"/>
      <x:c r="B1056" s="62"/>
      <x:c r="C1056" s="62"/>
      <x:c r="D1056" s="62"/>
      <x:c r="E1056" s="62"/>
      <x:c r="F1056" s="62"/>
      <x:c r="G1056" s="66"/>
      <x:c r="H1056" s="68"/>
      <x:c r="I1056" s="68"/>
      <x:c r="J1056" s="68"/>
      <x:c r="K1056" s="68"/>
      <x:c r="L1056" s="70"/>
      <x:c r="M1056" s="64" t="str">
        <x:f>IF(A1056="","",IF(AND(E1056&lt;&gt;"",F1056&lt;&gt;"",ABS(H1056-I1056)&lt;=0.01,ABS(J1056-K1056)&lt;=0.01,L1056=1),"一致","检查"))</x:f>
      </x:c>
      <x:c r="N1056" s="64" t="str">
        <x:f>IF(A1056="","",IF(COUNTIF($A$5:$A$1204,A1056)&gt;1,"重复",""))</x:f>
      </x:c>
    </x:row>
    <x:row r="1057">
      <x:c r="A1057" s="62"/>
      <x:c r="B1057" s="62"/>
      <x:c r="C1057" s="62"/>
      <x:c r="D1057" s="62"/>
      <x:c r="E1057" s="62"/>
      <x:c r="F1057" s="62"/>
      <x:c r="G1057" s="66"/>
      <x:c r="H1057" s="68"/>
      <x:c r="I1057" s="68"/>
      <x:c r="J1057" s="68"/>
      <x:c r="K1057" s="68"/>
      <x:c r="L1057" s="70"/>
      <x:c r="M1057" s="64" t="str">
        <x:f>IF(A1057="","",IF(AND(E1057&lt;&gt;"",F1057&lt;&gt;"",ABS(H1057-I1057)&lt;=0.01,ABS(J1057-K1057)&lt;=0.01,L1057=1),"一致","检查"))</x:f>
      </x:c>
      <x:c r="N1057" s="64" t="str">
        <x:f>IF(A1057="","",IF(COUNTIF($A$5:$A$1204,A1057)&gt;1,"重复",""))</x:f>
      </x:c>
    </x:row>
    <x:row r="1058">
      <x:c r="A1058" s="62"/>
      <x:c r="B1058" s="62"/>
      <x:c r="C1058" s="62"/>
      <x:c r="D1058" s="62"/>
      <x:c r="E1058" s="62"/>
      <x:c r="F1058" s="62"/>
      <x:c r="G1058" s="66"/>
      <x:c r="H1058" s="68"/>
      <x:c r="I1058" s="68"/>
      <x:c r="J1058" s="68"/>
      <x:c r="K1058" s="68"/>
      <x:c r="L1058" s="70"/>
      <x:c r="M1058" s="64" t="str">
        <x:f>IF(A1058="","",IF(AND(E1058&lt;&gt;"",F1058&lt;&gt;"",ABS(H1058-I1058)&lt;=0.01,ABS(J1058-K1058)&lt;=0.01,L1058=1),"一致","检查"))</x:f>
      </x:c>
      <x:c r="N1058" s="64" t="str">
        <x:f>IF(A1058="","",IF(COUNTIF($A$5:$A$1204,A1058)&gt;1,"重复",""))</x:f>
      </x:c>
    </x:row>
    <x:row r="1059">
      <x:c r="A1059" s="62"/>
      <x:c r="B1059" s="62"/>
      <x:c r="C1059" s="62"/>
      <x:c r="D1059" s="62"/>
      <x:c r="E1059" s="62"/>
      <x:c r="F1059" s="62"/>
      <x:c r="G1059" s="66"/>
      <x:c r="H1059" s="68"/>
      <x:c r="I1059" s="68"/>
      <x:c r="J1059" s="68"/>
      <x:c r="K1059" s="68"/>
      <x:c r="L1059" s="70"/>
      <x:c r="M1059" s="64" t="str">
        <x:f>IF(A1059="","",IF(AND(E1059&lt;&gt;"",F1059&lt;&gt;"",ABS(H1059-I1059)&lt;=0.01,ABS(J1059-K1059)&lt;=0.01,L1059=1),"一致","检查"))</x:f>
      </x:c>
      <x:c r="N1059" s="64" t="str">
        <x:f>IF(A1059="","",IF(COUNTIF($A$5:$A$1204,A1059)&gt;1,"重复",""))</x:f>
      </x:c>
    </x:row>
    <x:row r="1060">
      <x:c r="A1060" s="62"/>
      <x:c r="B1060" s="62"/>
      <x:c r="C1060" s="62"/>
      <x:c r="D1060" s="62"/>
      <x:c r="E1060" s="62"/>
      <x:c r="F1060" s="62"/>
      <x:c r="G1060" s="66"/>
      <x:c r="H1060" s="68"/>
      <x:c r="I1060" s="68"/>
      <x:c r="J1060" s="68"/>
      <x:c r="K1060" s="68"/>
      <x:c r="L1060" s="70"/>
      <x:c r="M1060" s="64" t="str">
        <x:f>IF(A1060="","",IF(AND(E1060&lt;&gt;"",F1060&lt;&gt;"",ABS(H1060-I1060)&lt;=0.01,ABS(J1060-K1060)&lt;=0.01,L1060=1),"一致","检查"))</x:f>
      </x:c>
      <x:c r="N1060" s="64" t="str">
        <x:f>IF(A1060="","",IF(COUNTIF($A$5:$A$1204,A1060)&gt;1,"重复",""))</x:f>
      </x:c>
    </x:row>
    <x:row r="1061">
      <x:c r="A1061" s="62"/>
      <x:c r="B1061" s="62"/>
      <x:c r="C1061" s="62"/>
      <x:c r="D1061" s="62"/>
      <x:c r="E1061" s="62"/>
      <x:c r="F1061" s="62"/>
      <x:c r="G1061" s="66"/>
      <x:c r="H1061" s="68"/>
      <x:c r="I1061" s="68"/>
      <x:c r="J1061" s="68"/>
      <x:c r="K1061" s="68"/>
      <x:c r="L1061" s="70"/>
      <x:c r="M1061" s="64" t="str">
        <x:f>IF(A1061="","",IF(AND(E1061&lt;&gt;"",F1061&lt;&gt;"",ABS(H1061-I1061)&lt;=0.01,ABS(J1061-K1061)&lt;=0.01,L1061=1),"一致","检查"))</x:f>
      </x:c>
      <x:c r="N1061" s="64" t="str">
        <x:f>IF(A1061="","",IF(COUNTIF($A$5:$A$1204,A1061)&gt;1,"重复",""))</x:f>
      </x:c>
    </x:row>
    <x:row r="1062">
      <x:c r="A1062" s="62"/>
      <x:c r="B1062" s="62"/>
      <x:c r="C1062" s="62"/>
      <x:c r="D1062" s="62"/>
      <x:c r="E1062" s="62"/>
      <x:c r="F1062" s="62"/>
      <x:c r="G1062" s="66"/>
      <x:c r="H1062" s="68"/>
      <x:c r="I1062" s="68"/>
      <x:c r="J1062" s="68"/>
      <x:c r="K1062" s="68"/>
      <x:c r="L1062" s="70"/>
      <x:c r="M1062" s="64" t="str">
        <x:f>IF(A1062="","",IF(AND(E1062&lt;&gt;"",F1062&lt;&gt;"",ABS(H1062-I1062)&lt;=0.01,ABS(J1062-K1062)&lt;=0.01,L1062=1),"一致","检查"))</x:f>
      </x:c>
      <x:c r="N1062" s="64" t="str">
        <x:f>IF(A1062="","",IF(COUNTIF($A$5:$A$1204,A1062)&gt;1,"重复",""))</x:f>
      </x:c>
    </x:row>
    <x:row r="1063">
      <x:c r="A1063" s="62"/>
      <x:c r="B1063" s="62"/>
      <x:c r="C1063" s="62"/>
      <x:c r="D1063" s="62"/>
      <x:c r="E1063" s="62"/>
      <x:c r="F1063" s="62"/>
      <x:c r="G1063" s="66"/>
      <x:c r="H1063" s="68"/>
      <x:c r="I1063" s="68"/>
      <x:c r="J1063" s="68"/>
      <x:c r="K1063" s="68"/>
      <x:c r="L1063" s="70"/>
      <x:c r="M1063" s="64" t="str">
        <x:f>IF(A1063="","",IF(AND(E1063&lt;&gt;"",F1063&lt;&gt;"",ABS(H1063-I1063)&lt;=0.01,ABS(J1063-K1063)&lt;=0.01,L1063=1),"一致","检查"))</x:f>
      </x:c>
      <x:c r="N1063" s="64" t="str">
        <x:f>IF(A1063="","",IF(COUNTIF($A$5:$A$1204,A1063)&gt;1,"重复",""))</x:f>
      </x:c>
    </x:row>
    <x:row r="1064">
      <x:c r="A1064" s="62"/>
      <x:c r="B1064" s="62"/>
      <x:c r="C1064" s="62"/>
      <x:c r="D1064" s="62"/>
      <x:c r="E1064" s="62"/>
      <x:c r="F1064" s="62"/>
      <x:c r="G1064" s="66"/>
      <x:c r="H1064" s="68"/>
      <x:c r="I1064" s="68"/>
      <x:c r="J1064" s="68"/>
      <x:c r="K1064" s="68"/>
      <x:c r="L1064" s="70"/>
      <x:c r="M1064" s="64" t="str">
        <x:f>IF(A1064="","",IF(AND(E1064&lt;&gt;"",F1064&lt;&gt;"",ABS(H1064-I1064)&lt;=0.01,ABS(J1064-K1064)&lt;=0.01,L1064=1),"一致","检查"))</x:f>
      </x:c>
      <x:c r="N1064" s="64" t="str">
        <x:f>IF(A1064="","",IF(COUNTIF($A$5:$A$1204,A1064)&gt;1,"重复",""))</x:f>
      </x:c>
    </x:row>
    <x:row r="1065">
      <x:c r="A1065" s="62"/>
      <x:c r="B1065" s="62"/>
      <x:c r="C1065" s="62"/>
      <x:c r="D1065" s="62"/>
      <x:c r="E1065" s="62"/>
      <x:c r="F1065" s="62"/>
      <x:c r="G1065" s="66"/>
      <x:c r="H1065" s="68"/>
      <x:c r="I1065" s="68"/>
      <x:c r="J1065" s="68"/>
      <x:c r="K1065" s="68"/>
      <x:c r="L1065" s="70"/>
      <x:c r="M1065" s="64" t="str">
        <x:f>IF(A1065="","",IF(AND(E1065&lt;&gt;"",F1065&lt;&gt;"",ABS(H1065-I1065)&lt;=0.01,ABS(J1065-K1065)&lt;=0.01,L1065=1),"一致","检查"))</x:f>
      </x:c>
      <x:c r="N1065" s="64" t="str">
        <x:f>IF(A1065="","",IF(COUNTIF($A$5:$A$1204,A1065)&gt;1,"重复",""))</x:f>
      </x:c>
    </x:row>
    <x:row r="1066">
      <x:c r="A1066" s="62"/>
      <x:c r="B1066" s="62"/>
      <x:c r="C1066" s="62"/>
      <x:c r="D1066" s="62"/>
      <x:c r="E1066" s="62"/>
      <x:c r="F1066" s="62"/>
      <x:c r="G1066" s="66"/>
      <x:c r="H1066" s="68"/>
      <x:c r="I1066" s="68"/>
      <x:c r="J1066" s="68"/>
      <x:c r="K1066" s="68"/>
      <x:c r="L1066" s="70"/>
      <x:c r="M1066" s="64" t="str">
        <x:f>IF(A1066="","",IF(AND(E1066&lt;&gt;"",F1066&lt;&gt;"",ABS(H1066-I1066)&lt;=0.01,ABS(J1066-K1066)&lt;=0.01,L1066=1),"一致","检查"))</x:f>
      </x:c>
      <x:c r="N1066" s="64" t="str">
        <x:f>IF(A1066="","",IF(COUNTIF($A$5:$A$1204,A1066)&gt;1,"重复",""))</x:f>
      </x:c>
    </x:row>
    <x:row r="1067">
      <x:c r="A1067" s="62"/>
      <x:c r="B1067" s="62"/>
      <x:c r="C1067" s="62"/>
      <x:c r="D1067" s="62"/>
      <x:c r="E1067" s="62"/>
      <x:c r="F1067" s="62"/>
      <x:c r="G1067" s="66"/>
      <x:c r="H1067" s="68"/>
      <x:c r="I1067" s="68"/>
      <x:c r="J1067" s="68"/>
      <x:c r="K1067" s="68"/>
      <x:c r="L1067" s="70"/>
      <x:c r="M1067" s="64" t="str">
        <x:f>IF(A1067="","",IF(AND(E1067&lt;&gt;"",F1067&lt;&gt;"",ABS(H1067-I1067)&lt;=0.01,ABS(J1067-K1067)&lt;=0.01,L1067=1),"一致","检查"))</x:f>
      </x:c>
      <x:c r="N1067" s="64" t="str">
        <x:f>IF(A1067="","",IF(COUNTIF($A$5:$A$1204,A1067)&gt;1,"重复",""))</x:f>
      </x:c>
    </x:row>
    <x:row r="1068">
      <x:c r="A1068" s="62"/>
      <x:c r="B1068" s="62"/>
      <x:c r="C1068" s="62"/>
      <x:c r="D1068" s="62"/>
      <x:c r="E1068" s="62"/>
      <x:c r="F1068" s="62"/>
      <x:c r="G1068" s="66"/>
      <x:c r="H1068" s="68"/>
      <x:c r="I1068" s="68"/>
      <x:c r="J1068" s="68"/>
      <x:c r="K1068" s="68"/>
      <x:c r="L1068" s="70"/>
      <x:c r="M1068" s="64" t="str">
        <x:f>IF(A1068="","",IF(AND(E1068&lt;&gt;"",F1068&lt;&gt;"",ABS(H1068-I1068)&lt;=0.01,ABS(J1068-K1068)&lt;=0.01,L1068=1),"一致","检查"))</x:f>
      </x:c>
      <x:c r="N1068" s="64" t="str">
        <x:f>IF(A1068="","",IF(COUNTIF($A$5:$A$1204,A1068)&gt;1,"重复",""))</x:f>
      </x:c>
    </x:row>
    <x:row r="1069">
      <x:c r="A1069" s="62"/>
      <x:c r="B1069" s="62"/>
      <x:c r="C1069" s="62"/>
      <x:c r="D1069" s="62"/>
      <x:c r="E1069" s="62"/>
      <x:c r="F1069" s="62"/>
      <x:c r="G1069" s="66"/>
      <x:c r="H1069" s="68"/>
      <x:c r="I1069" s="68"/>
      <x:c r="J1069" s="68"/>
      <x:c r="K1069" s="68"/>
      <x:c r="L1069" s="70"/>
      <x:c r="M1069" s="64" t="str">
        <x:f>IF(A1069="","",IF(AND(E1069&lt;&gt;"",F1069&lt;&gt;"",ABS(H1069-I1069)&lt;=0.01,ABS(J1069-K1069)&lt;=0.01,L1069=1),"一致","检查"))</x:f>
      </x:c>
      <x:c r="N1069" s="64" t="str">
        <x:f>IF(A1069="","",IF(COUNTIF($A$5:$A$1204,A1069)&gt;1,"重复",""))</x:f>
      </x:c>
    </x:row>
    <x:row r="1070">
      <x:c r="A1070" s="62"/>
      <x:c r="B1070" s="62"/>
      <x:c r="C1070" s="62"/>
      <x:c r="D1070" s="62"/>
      <x:c r="E1070" s="62"/>
      <x:c r="F1070" s="62"/>
      <x:c r="G1070" s="66"/>
      <x:c r="H1070" s="68"/>
      <x:c r="I1070" s="68"/>
      <x:c r="J1070" s="68"/>
      <x:c r="K1070" s="68"/>
      <x:c r="L1070" s="70"/>
      <x:c r="M1070" s="64" t="str">
        <x:f>IF(A1070="","",IF(AND(E1070&lt;&gt;"",F1070&lt;&gt;"",ABS(H1070-I1070)&lt;=0.01,ABS(J1070-K1070)&lt;=0.01,L1070=1),"一致","检查"))</x:f>
      </x:c>
      <x:c r="N1070" s="64" t="str">
        <x:f>IF(A1070="","",IF(COUNTIF($A$5:$A$1204,A1070)&gt;1,"重复",""))</x:f>
      </x:c>
    </x:row>
    <x:row r="1071">
      <x:c r="A1071" s="62"/>
      <x:c r="B1071" s="62"/>
      <x:c r="C1071" s="62"/>
      <x:c r="D1071" s="62"/>
      <x:c r="E1071" s="62"/>
      <x:c r="F1071" s="62"/>
      <x:c r="G1071" s="66"/>
      <x:c r="H1071" s="68"/>
      <x:c r="I1071" s="68"/>
      <x:c r="J1071" s="68"/>
      <x:c r="K1071" s="68"/>
      <x:c r="L1071" s="70"/>
      <x:c r="M1071" s="64" t="str">
        <x:f>IF(A1071="","",IF(AND(E1071&lt;&gt;"",F1071&lt;&gt;"",ABS(H1071-I1071)&lt;=0.01,ABS(J1071-K1071)&lt;=0.01,L1071=1),"一致","检查"))</x:f>
      </x:c>
      <x:c r="N1071" s="64" t="str">
        <x:f>IF(A1071="","",IF(COUNTIF($A$5:$A$1204,A1071)&gt;1,"重复",""))</x:f>
      </x:c>
    </x:row>
    <x:row r="1072">
      <x:c r="A1072" s="62"/>
      <x:c r="B1072" s="62"/>
      <x:c r="C1072" s="62"/>
      <x:c r="D1072" s="62"/>
      <x:c r="E1072" s="62"/>
      <x:c r="F1072" s="62"/>
      <x:c r="G1072" s="66"/>
      <x:c r="H1072" s="68"/>
      <x:c r="I1072" s="68"/>
      <x:c r="J1072" s="68"/>
      <x:c r="K1072" s="68"/>
      <x:c r="L1072" s="70"/>
      <x:c r="M1072" s="64" t="str">
        <x:f>IF(A1072="","",IF(AND(E1072&lt;&gt;"",F1072&lt;&gt;"",ABS(H1072-I1072)&lt;=0.01,ABS(J1072-K1072)&lt;=0.01,L1072=1),"一致","检查"))</x:f>
      </x:c>
      <x:c r="N1072" s="64" t="str">
        <x:f>IF(A1072="","",IF(COUNTIF($A$5:$A$1204,A1072)&gt;1,"重复",""))</x:f>
      </x:c>
    </x:row>
    <x:row r="1073">
      <x:c r="A1073" s="62"/>
      <x:c r="B1073" s="62"/>
      <x:c r="C1073" s="62"/>
      <x:c r="D1073" s="62"/>
      <x:c r="E1073" s="62"/>
      <x:c r="F1073" s="62"/>
      <x:c r="G1073" s="66"/>
      <x:c r="H1073" s="68"/>
      <x:c r="I1073" s="68"/>
      <x:c r="J1073" s="68"/>
      <x:c r="K1073" s="68"/>
      <x:c r="L1073" s="70"/>
      <x:c r="M1073" s="64" t="str">
        <x:f>IF(A1073="","",IF(AND(E1073&lt;&gt;"",F1073&lt;&gt;"",ABS(H1073-I1073)&lt;=0.01,ABS(J1073-K1073)&lt;=0.01,L1073=1),"一致","检查"))</x:f>
      </x:c>
      <x:c r="N1073" s="64" t="str">
        <x:f>IF(A1073="","",IF(COUNTIF($A$5:$A$1204,A1073)&gt;1,"重复",""))</x:f>
      </x:c>
    </x:row>
    <x:row r="1074">
      <x:c r="A1074" s="62"/>
      <x:c r="B1074" s="62"/>
      <x:c r="C1074" s="62"/>
      <x:c r="D1074" s="62"/>
      <x:c r="E1074" s="62"/>
      <x:c r="F1074" s="62"/>
      <x:c r="G1074" s="66"/>
      <x:c r="H1074" s="68"/>
      <x:c r="I1074" s="68"/>
      <x:c r="J1074" s="68"/>
      <x:c r="K1074" s="68"/>
      <x:c r="L1074" s="70"/>
      <x:c r="M1074" s="64" t="str">
        <x:f>IF(A1074="","",IF(AND(E1074&lt;&gt;"",F1074&lt;&gt;"",ABS(H1074-I1074)&lt;=0.01,ABS(J1074-K1074)&lt;=0.01,L1074=1),"一致","检查"))</x:f>
      </x:c>
      <x:c r="N1074" s="64" t="str">
        <x:f>IF(A1074="","",IF(COUNTIF($A$5:$A$1204,A1074)&gt;1,"重复",""))</x:f>
      </x:c>
    </x:row>
    <x:row r="1075">
      <x:c r="A1075" s="62"/>
      <x:c r="B1075" s="62"/>
      <x:c r="C1075" s="62"/>
      <x:c r="D1075" s="62"/>
      <x:c r="E1075" s="62"/>
      <x:c r="F1075" s="62"/>
      <x:c r="G1075" s="66"/>
      <x:c r="H1075" s="68"/>
      <x:c r="I1075" s="68"/>
      <x:c r="J1075" s="68"/>
      <x:c r="K1075" s="68"/>
      <x:c r="L1075" s="70"/>
      <x:c r="M1075" s="64" t="str">
        <x:f>IF(A1075="","",IF(AND(E1075&lt;&gt;"",F1075&lt;&gt;"",ABS(H1075-I1075)&lt;=0.01,ABS(J1075-K1075)&lt;=0.01,L1075=1),"一致","检查"))</x:f>
      </x:c>
      <x:c r="N1075" s="64" t="str">
        <x:f>IF(A1075="","",IF(COUNTIF($A$5:$A$1204,A1075)&gt;1,"重复",""))</x:f>
      </x:c>
    </x:row>
    <x:row r="1076">
      <x:c r="A1076" s="62"/>
      <x:c r="B1076" s="62"/>
      <x:c r="C1076" s="62"/>
      <x:c r="D1076" s="62"/>
      <x:c r="E1076" s="62"/>
      <x:c r="F1076" s="62"/>
      <x:c r="G1076" s="66"/>
      <x:c r="H1076" s="68"/>
      <x:c r="I1076" s="68"/>
      <x:c r="J1076" s="68"/>
      <x:c r="K1076" s="68"/>
      <x:c r="L1076" s="70"/>
      <x:c r="M1076" s="64" t="str">
        <x:f>IF(A1076="","",IF(AND(E1076&lt;&gt;"",F1076&lt;&gt;"",ABS(H1076-I1076)&lt;=0.01,ABS(J1076-K1076)&lt;=0.01,L1076=1),"一致","检查"))</x:f>
      </x:c>
      <x:c r="N1076" s="64" t="str">
        <x:f>IF(A1076="","",IF(COUNTIF($A$5:$A$1204,A1076)&gt;1,"重复",""))</x:f>
      </x:c>
    </x:row>
    <x:row r="1077">
      <x:c r="A1077" s="62"/>
      <x:c r="B1077" s="62"/>
      <x:c r="C1077" s="62"/>
      <x:c r="D1077" s="62"/>
      <x:c r="E1077" s="62"/>
      <x:c r="F1077" s="62"/>
      <x:c r="G1077" s="66"/>
      <x:c r="H1077" s="68"/>
      <x:c r="I1077" s="68"/>
      <x:c r="J1077" s="68"/>
      <x:c r="K1077" s="68"/>
      <x:c r="L1077" s="70"/>
      <x:c r="M1077" s="64" t="str">
        <x:f>IF(A1077="","",IF(AND(E1077&lt;&gt;"",F1077&lt;&gt;"",ABS(H1077-I1077)&lt;=0.01,ABS(J1077-K1077)&lt;=0.01,L1077=1),"一致","检查"))</x:f>
      </x:c>
      <x:c r="N1077" s="64" t="str">
        <x:f>IF(A1077="","",IF(COUNTIF($A$5:$A$1204,A1077)&gt;1,"重复",""))</x:f>
      </x:c>
    </x:row>
    <x:row r="1078">
      <x:c r="A1078" s="62"/>
      <x:c r="B1078" s="62"/>
      <x:c r="C1078" s="62"/>
      <x:c r="D1078" s="62"/>
      <x:c r="E1078" s="62"/>
      <x:c r="F1078" s="62"/>
      <x:c r="G1078" s="66"/>
      <x:c r="H1078" s="68"/>
      <x:c r="I1078" s="68"/>
      <x:c r="J1078" s="68"/>
      <x:c r="K1078" s="68"/>
      <x:c r="L1078" s="70"/>
      <x:c r="M1078" s="64" t="str">
        <x:f>IF(A1078="","",IF(AND(E1078&lt;&gt;"",F1078&lt;&gt;"",ABS(H1078-I1078)&lt;=0.01,ABS(J1078-K1078)&lt;=0.01,L1078=1),"一致","检查"))</x:f>
      </x:c>
      <x:c r="N1078" s="64" t="str">
        <x:f>IF(A1078="","",IF(COUNTIF($A$5:$A$1204,A1078)&gt;1,"重复",""))</x:f>
      </x:c>
    </x:row>
    <x:row r="1079">
      <x:c r="A1079" s="62"/>
      <x:c r="B1079" s="62"/>
      <x:c r="C1079" s="62"/>
      <x:c r="D1079" s="62"/>
      <x:c r="E1079" s="62"/>
      <x:c r="F1079" s="62"/>
      <x:c r="G1079" s="66"/>
      <x:c r="H1079" s="68"/>
      <x:c r="I1079" s="68"/>
      <x:c r="J1079" s="68"/>
      <x:c r="K1079" s="68"/>
      <x:c r="L1079" s="70"/>
      <x:c r="M1079" s="64" t="str">
        <x:f>IF(A1079="","",IF(AND(E1079&lt;&gt;"",F1079&lt;&gt;"",ABS(H1079-I1079)&lt;=0.01,ABS(J1079-K1079)&lt;=0.01,L1079=1),"一致","检查"))</x:f>
      </x:c>
      <x:c r="N1079" s="64" t="str">
        <x:f>IF(A1079="","",IF(COUNTIF($A$5:$A$1204,A1079)&gt;1,"重复",""))</x:f>
      </x:c>
    </x:row>
    <x:row r="1080">
      <x:c r="A1080" s="62"/>
      <x:c r="B1080" s="62"/>
      <x:c r="C1080" s="62"/>
      <x:c r="D1080" s="62"/>
      <x:c r="E1080" s="62"/>
      <x:c r="F1080" s="62"/>
      <x:c r="G1080" s="66"/>
      <x:c r="H1080" s="68"/>
      <x:c r="I1080" s="68"/>
      <x:c r="J1080" s="68"/>
      <x:c r="K1080" s="68"/>
      <x:c r="L1080" s="70"/>
      <x:c r="M1080" s="64" t="str">
        <x:f>IF(A1080="","",IF(AND(E1080&lt;&gt;"",F1080&lt;&gt;"",ABS(H1080-I1080)&lt;=0.01,ABS(J1080-K1080)&lt;=0.01,L1080=1),"一致","检查"))</x:f>
      </x:c>
      <x:c r="N1080" s="64" t="str">
        <x:f>IF(A1080="","",IF(COUNTIF($A$5:$A$1204,A1080)&gt;1,"重复",""))</x:f>
      </x:c>
    </x:row>
    <x:row r="1081">
      <x:c r="A1081" s="62"/>
      <x:c r="B1081" s="62"/>
      <x:c r="C1081" s="62"/>
      <x:c r="D1081" s="62"/>
      <x:c r="E1081" s="62"/>
      <x:c r="F1081" s="62"/>
      <x:c r="G1081" s="66"/>
      <x:c r="H1081" s="68"/>
      <x:c r="I1081" s="68"/>
      <x:c r="J1081" s="68"/>
      <x:c r="K1081" s="68"/>
      <x:c r="L1081" s="70"/>
      <x:c r="M1081" s="64" t="str">
        <x:f>IF(A1081="","",IF(AND(E1081&lt;&gt;"",F1081&lt;&gt;"",ABS(H1081-I1081)&lt;=0.01,ABS(J1081-K1081)&lt;=0.01,L1081=1),"一致","检查"))</x:f>
      </x:c>
      <x:c r="N1081" s="64" t="str">
        <x:f>IF(A1081="","",IF(COUNTIF($A$5:$A$1204,A1081)&gt;1,"重复",""))</x:f>
      </x:c>
    </x:row>
    <x:row r="1082">
      <x:c r="A1082" s="62"/>
      <x:c r="B1082" s="62"/>
      <x:c r="C1082" s="62"/>
      <x:c r="D1082" s="62"/>
      <x:c r="E1082" s="62"/>
      <x:c r="F1082" s="62"/>
      <x:c r="G1082" s="66"/>
      <x:c r="H1082" s="68"/>
      <x:c r="I1082" s="68"/>
      <x:c r="J1082" s="68"/>
      <x:c r="K1082" s="68"/>
      <x:c r="L1082" s="70"/>
      <x:c r="M1082" s="64" t="str">
        <x:f>IF(A1082="","",IF(AND(E1082&lt;&gt;"",F1082&lt;&gt;"",ABS(H1082-I1082)&lt;=0.01,ABS(J1082-K1082)&lt;=0.01,L1082=1),"一致","检查"))</x:f>
      </x:c>
      <x:c r="N1082" s="64" t="str">
        <x:f>IF(A1082="","",IF(COUNTIF($A$5:$A$1204,A1082)&gt;1,"重复",""))</x:f>
      </x:c>
    </x:row>
    <x:row r="1083">
      <x:c r="A1083" s="62"/>
      <x:c r="B1083" s="62"/>
      <x:c r="C1083" s="62"/>
      <x:c r="D1083" s="62"/>
      <x:c r="E1083" s="62"/>
      <x:c r="F1083" s="62"/>
      <x:c r="G1083" s="66"/>
      <x:c r="H1083" s="68"/>
      <x:c r="I1083" s="68"/>
      <x:c r="J1083" s="68"/>
      <x:c r="K1083" s="68"/>
      <x:c r="L1083" s="70"/>
      <x:c r="M1083" s="64" t="str">
        <x:f>IF(A1083="","",IF(AND(E1083&lt;&gt;"",F1083&lt;&gt;"",ABS(H1083-I1083)&lt;=0.01,ABS(J1083-K1083)&lt;=0.01,L1083=1),"一致","检查"))</x:f>
      </x:c>
      <x:c r="N1083" s="64" t="str">
        <x:f>IF(A1083="","",IF(COUNTIF($A$5:$A$1204,A1083)&gt;1,"重复",""))</x:f>
      </x:c>
    </x:row>
    <x:row r="1084">
      <x:c r="A1084" s="62"/>
      <x:c r="B1084" s="62"/>
      <x:c r="C1084" s="62"/>
      <x:c r="D1084" s="62"/>
      <x:c r="E1084" s="62"/>
      <x:c r="F1084" s="62"/>
      <x:c r="G1084" s="66"/>
      <x:c r="H1084" s="68"/>
      <x:c r="I1084" s="68"/>
      <x:c r="J1084" s="68"/>
      <x:c r="K1084" s="68"/>
      <x:c r="L1084" s="70"/>
      <x:c r="M1084" s="64" t="str">
        <x:f>IF(A1084="","",IF(AND(E1084&lt;&gt;"",F1084&lt;&gt;"",ABS(H1084-I1084)&lt;=0.01,ABS(J1084-K1084)&lt;=0.01,L1084=1),"一致","检查"))</x:f>
      </x:c>
      <x:c r="N1084" s="64" t="str">
        <x:f>IF(A1084="","",IF(COUNTIF($A$5:$A$1204,A1084)&gt;1,"重复",""))</x:f>
      </x:c>
    </x:row>
    <x:row r="1085">
      <x:c r="A1085" s="62"/>
      <x:c r="B1085" s="62"/>
      <x:c r="C1085" s="62"/>
      <x:c r="D1085" s="62"/>
      <x:c r="E1085" s="62"/>
      <x:c r="F1085" s="62"/>
      <x:c r="G1085" s="66"/>
      <x:c r="H1085" s="68"/>
      <x:c r="I1085" s="68"/>
      <x:c r="J1085" s="68"/>
      <x:c r="K1085" s="68"/>
      <x:c r="L1085" s="70"/>
      <x:c r="M1085" s="64" t="str">
        <x:f>IF(A1085="","",IF(AND(E1085&lt;&gt;"",F1085&lt;&gt;"",ABS(H1085-I1085)&lt;=0.01,ABS(J1085-K1085)&lt;=0.01,L1085=1),"一致","检查"))</x:f>
      </x:c>
      <x:c r="N1085" s="64" t="str">
        <x:f>IF(A1085="","",IF(COUNTIF($A$5:$A$1204,A1085)&gt;1,"重复",""))</x:f>
      </x:c>
    </x:row>
    <x:row r="1086">
      <x:c r="A1086" s="62"/>
      <x:c r="B1086" s="62"/>
      <x:c r="C1086" s="62"/>
      <x:c r="D1086" s="62"/>
      <x:c r="E1086" s="62"/>
      <x:c r="F1086" s="62"/>
      <x:c r="G1086" s="66"/>
      <x:c r="H1086" s="68"/>
      <x:c r="I1086" s="68"/>
      <x:c r="J1086" s="68"/>
      <x:c r="K1086" s="68"/>
      <x:c r="L1086" s="70"/>
      <x:c r="M1086" s="64" t="str">
        <x:f>IF(A1086="","",IF(AND(E1086&lt;&gt;"",F1086&lt;&gt;"",ABS(H1086-I1086)&lt;=0.01,ABS(J1086-K1086)&lt;=0.01,L1086=1),"一致","检查"))</x:f>
      </x:c>
      <x:c r="N1086" s="64" t="str">
        <x:f>IF(A1086="","",IF(COUNTIF($A$5:$A$1204,A1086)&gt;1,"重复",""))</x:f>
      </x:c>
    </x:row>
    <x:row r="1087">
      <x:c r="A1087" s="62"/>
      <x:c r="B1087" s="62"/>
      <x:c r="C1087" s="62"/>
      <x:c r="D1087" s="62"/>
      <x:c r="E1087" s="62"/>
      <x:c r="F1087" s="62"/>
      <x:c r="G1087" s="66"/>
      <x:c r="H1087" s="68"/>
      <x:c r="I1087" s="68"/>
      <x:c r="J1087" s="68"/>
      <x:c r="K1087" s="68"/>
      <x:c r="L1087" s="70"/>
      <x:c r="M1087" s="64" t="str">
        <x:f>IF(A1087="","",IF(AND(E1087&lt;&gt;"",F1087&lt;&gt;"",ABS(H1087-I1087)&lt;=0.01,ABS(J1087-K1087)&lt;=0.01,L1087=1),"一致","检查"))</x:f>
      </x:c>
      <x:c r="N1087" s="64" t="str">
        <x:f>IF(A1087="","",IF(COUNTIF($A$5:$A$1204,A1087)&gt;1,"重复",""))</x:f>
      </x:c>
    </x:row>
    <x:row r="1088">
      <x:c r="A1088" s="62"/>
      <x:c r="B1088" s="62"/>
      <x:c r="C1088" s="62"/>
      <x:c r="D1088" s="62"/>
      <x:c r="E1088" s="62"/>
      <x:c r="F1088" s="62"/>
      <x:c r="G1088" s="66"/>
      <x:c r="H1088" s="68"/>
      <x:c r="I1088" s="68"/>
      <x:c r="J1088" s="68"/>
      <x:c r="K1088" s="68"/>
      <x:c r="L1088" s="70"/>
      <x:c r="M1088" s="64" t="str">
        <x:f>IF(A1088="","",IF(AND(E1088&lt;&gt;"",F1088&lt;&gt;"",ABS(H1088-I1088)&lt;=0.01,ABS(J1088-K1088)&lt;=0.01,L1088=1),"一致","检查"))</x:f>
      </x:c>
      <x:c r="N1088" s="64" t="str">
        <x:f>IF(A1088="","",IF(COUNTIF($A$5:$A$1204,A1088)&gt;1,"重复",""))</x:f>
      </x:c>
    </x:row>
    <x:row r="1089">
      <x:c r="A1089" s="62"/>
      <x:c r="B1089" s="62"/>
      <x:c r="C1089" s="62"/>
      <x:c r="D1089" s="62"/>
      <x:c r="E1089" s="62"/>
      <x:c r="F1089" s="62"/>
      <x:c r="G1089" s="66"/>
      <x:c r="H1089" s="68"/>
      <x:c r="I1089" s="68"/>
      <x:c r="J1089" s="68"/>
      <x:c r="K1089" s="68"/>
      <x:c r="L1089" s="70"/>
      <x:c r="M1089" s="64" t="str">
        <x:f>IF(A1089="","",IF(AND(E1089&lt;&gt;"",F1089&lt;&gt;"",ABS(H1089-I1089)&lt;=0.01,ABS(J1089-K1089)&lt;=0.01,L1089=1),"一致","检查"))</x:f>
      </x:c>
      <x:c r="N1089" s="64" t="str">
        <x:f>IF(A1089="","",IF(COUNTIF($A$5:$A$1204,A1089)&gt;1,"重复",""))</x:f>
      </x:c>
    </x:row>
    <x:row r="1090">
      <x:c r="A1090" s="62"/>
      <x:c r="B1090" s="62"/>
      <x:c r="C1090" s="62"/>
      <x:c r="D1090" s="62"/>
      <x:c r="E1090" s="62"/>
      <x:c r="F1090" s="62"/>
      <x:c r="G1090" s="66"/>
      <x:c r="H1090" s="68"/>
      <x:c r="I1090" s="68"/>
      <x:c r="J1090" s="68"/>
      <x:c r="K1090" s="68"/>
      <x:c r="L1090" s="70"/>
      <x:c r="M1090" s="64" t="str">
        <x:f>IF(A1090="","",IF(AND(E1090&lt;&gt;"",F1090&lt;&gt;"",ABS(H1090-I1090)&lt;=0.01,ABS(J1090-K1090)&lt;=0.01,L1090=1),"一致","检查"))</x:f>
      </x:c>
      <x:c r="N1090" s="64" t="str">
        <x:f>IF(A1090="","",IF(COUNTIF($A$5:$A$1204,A1090)&gt;1,"重复",""))</x:f>
      </x:c>
    </x:row>
    <x:row r="1091">
      <x:c r="A1091" s="62"/>
      <x:c r="B1091" s="62"/>
      <x:c r="C1091" s="62"/>
      <x:c r="D1091" s="62"/>
      <x:c r="E1091" s="62"/>
      <x:c r="F1091" s="62"/>
      <x:c r="G1091" s="66"/>
      <x:c r="H1091" s="68"/>
      <x:c r="I1091" s="68"/>
      <x:c r="J1091" s="68"/>
      <x:c r="K1091" s="68"/>
      <x:c r="L1091" s="70"/>
      <x:c r="M1091" s="64" t="str">
        <x:f>IF(A1091="","",IF(AND(E1091&lt;&gt;"",F1091&lt;&gt;"",ABS(H1091-I1091)&lt;=0.01,ABS(J1091-K1091)&lt;=0.01,L1091=1),"一致","检查"))</x:f>
      </x:c>
      <x:c r="N1091" s="64" t="str">
        <x:f>IF(A1091="","",IF(COUNTIF($A$5:$A$1204,A1091)&gt;1,"重复",""))</x:f>
      </x:c>
    </x:row>
    <x:row r="1092">
      <x:c r="A1092" s="62"/>
      <x:c r="B1092" s="62"/>
      <x:c r="C1092" s="62"/>
      <x:c r="D1092" s="62"/>
      <x:c r="E1092" s="62"/>
      <x:c r="F1092" s="62"/>
      <x:c r="G1092" s="66"/>
      <x:c r="H1092" s="68"/>
      <x:c r="I1092" s="68"/>
      <x:c r="J1092" s="68"/>
      <x:c r="K1092" s="68"/>
      <x:c r="L1092" s="70"/>
      <x:c r="M1092" s="64" t="str">
        <x:f>IF(A1092="","",IF(AND(E1092&lt;&gt;"",F1092&lt;&gt;"",ABS(H1092-I1092)&lt;=0.01,ABS(J1092-K1092)&lt;=0.01,L1092=1),"一致","检查"))</x:f>
      </x:c>
      <x:c r="N1092" s="64" t="str">
        <x:f>IF(A1092="","",IF(COUNTIF($A$5:$A$1204,A1092)&gt;1,"重复",""))</x:f>
      </x:c>
    </x:row>
    <x:row r="1093">
      <x:c r="A1093" s="62"/>
      <x:c r="B1093" s="62"/>
      <x:c r="C1093" s="62"/>
      <x:c r="D1093" s="62"/>
      <x:c r="E1093" s="62"/>
      <x:c r="F1093" s="62"/>
      <x:c r="G1093" s="66"/>
      <x:c r="H1093" s="68"/>
      <x:c r="I1093" s="68"/>
      <x:c r="J1093" s="68"/>
      <x:c r="K1093" s="68"/>
      <x:c r="L1093" s="70"/>
      <x:c r="M1093" s="64" t="str">
        <x:f>IF(A1093="","",IF(AND(E1093&lt;&gt;"",F1093&lt;&gt;"",ABS(H1093-I1093)&lt;=0.01,ABS(J1093-K1093)&lt;=0.01,L1093=1),"一致","检查"))</x:f>
      </x:c>
      <x:c r="N1093" s="64" t="str">
        <x:f>IF(A1093="","",IF(COUNTIF($A$5:$A$1204,A1093)&gt;1,"重复",""))</x:f>
      </x:c>
    </x:row>
    <x:row r="1094">
      <x:c r="A1094" s="62"/>
      <x:c r="B1094" s="62"/>
      <x:c r="C1094" s="62"/>
      <x:c r="D1094" s="62"/>
      <x:c r="E1094" s="62"/>
      <x:c r="F1094" s="62"/>
      <x:c r="G1094" s="66"/>
      <x:c r="H1094" s="68"/>
      <x:c r="I1094" s="68"/>
      <x:c r="J1094" s="68"/>
      <x:c r="K1094" s="68"/>
      <x:c r="L1094" s="70"/>
      <x:c r="M1094" s="64" t="str">
        <x:f>IF(A1094="","",IF(AND(E1094&lt;&gt;"",F1094&lt;&gt;"",ABS(H1094-I1094)&lt;=0.01,ABS(J1094-K1094)&lt;=0.01,L1094=1),"一致","检查"))</x:f>
      </x:c>
      <x:c r="N1094" s="64" t="str">
        <x:f>IF(A1094="","",IF(COUNTIF($A$5:$A$1204,A1094)&gt;1,"重复",""))</x:f>
      </x:c>
    </x:row>
    <x:row r="1095">
      <x:c r="A1095" s="62"/>
      <x:c r="B1095" s="62"/>
      <x:c r="C1095" s="62"/>
      <x:c r="D1095" s="62"/>
      <x:c r="E1095" s="62"/>
      <x:c r="F1095" s="62"/>
      <x:c r="G1095" s="66"/>
      <x:c r="H1095" s="68"/>
      <x:c r="I1095" s="68"/>
      <x:c r="J1095" s="68"/>
      <x:c r="K1095" s="68"/>
      <x:c r="L1095" s="70"/>
      <x:c r="M1095" s="64" t="str">
        <x:f>IF(A1095="","",IF(AND(E1095&lt;&gt;"",F1095&lt;&gt;"",ABS(H1095-I1095)&lt;=0.01,ABS(J1095-K1095)&lt;=0.01,L1095=1),"一致","检查"))</x:f>
      </x:c>
      <x:c r="N1095" s="64" t="str">
        <x:f>IF(A1095="","",IF(COUNTIF($A$5:$A$1204,A1095)&gt;1,"重复",""))</x:f>
      </x:c>
    </x:row>
    <x:row r="1096">
      <x:c r="A1096" s="62"/>
      <x:c r="B1096" s="62"/>
      <x:c r="C1096" s="62"/>
      <x:c r="D1096" s="62"/>
      <x:c r="E1096" s="62"/>
      <x:c r="F1096" s="62"/>
      <x:c r="G1096" s="66"/>
      <x:c r="H1096" s="68"/>
      <x:c r="I1096" s="68"/>
      <x:c r="J1096" s="68"/>
      <x:c r="K1096" s="68"/>
      <x:c r="L1096" s="70"/>
      <x:c r="M1096" s="64" t="str">
        <x:f>IF(A1096="","",IF(AND(E1096&lt;&gt;"",F1096&lt;&gt;"",ABS(H1096-I1096)&lt;=0.01,ABS(J1096-K1096)&lt;=0.01,L1096=1),"一致","检查"))</x:f>
      </x:c>
      <x:c r="N1096" s="64" t="str">
        <x:f>IF(A1096="","",IF(COUNTIF($A$5:$A$1204,A1096)&gt;1,"重复",""))</x:f>
      </x:c>
    </x:row>
    <x:row r="1097">
      <x:c r="A1097" s="62"/>
      <x:c r="B1097" s="62"/>
      <x:c r="C1097" s="62"/>
      <x:c r="D1097" s="62"/>
      <x:c r="E1097" s="62"/>
      <x:c r="F1097" s="62"/>
      <x:c r="G1097" s="66"/>
      <x:c r="H1097" s="68"/>
      <x:c r="I1097" s="68"/>
      <x:c r="J1097" s="68"/>
      <x:c r="K1097" s="68"/>
      <x:c r="L1097" s="70"/>
      <x:c r="M1097" s="64" t="str">
        <x:f>IF(A1097="","",IF(AND(E1097&lt;&gt;"",F1097&lt;&gt;"",ABS(H1097-I1097)&lt;=0.01,ABS(J1097-K1097)&lt;=0.01,L1097=1),"一致","检查"))</x:f>
      </x:c>
      <x:c r="N1097" s="64" t="str">
        <x:f>IF(A1097="","",IF(COUNTIF($A$5:$A$1204,A1097)&gt;1,"重复",""))</x:f>
      </x:c>
    </x:row>
    <x:row r="1098">
      <x:c r="A1098" s="62"/>
      <x:c r="B1098" s="62"/>
      <x:c r="C1098" s="62"/>
      <x:c r="D1098" s="62"/>
      <x:c r="E1098" s="62"/>
      <x:c r="F1098" s="62"/>
      <x:c r="G1098" s="66"/>
      <x:c r="H1098" s="68"/>
      <x:c r="I1098" s="68"/>
      <x:c r="J1098" s="68"/>
      <x:c r="K1098" s="68"/>
      <x:c r="L1098" s="70"/>
      <x:c r="M1098" s="64" t="str">
        <x:f>IF(A1098="","",IF(AND(E1098&lt;&gt;"",F1098&lt;&gt;"",ABS(H1098-I1098)&lt;=0.01,ABS(J1098-K1098)&lt;=0.01,L1098=1),"一致","检查"))</x:f>
      </x:c>
      <x:c r="N1098" s="64" t="str">
        <x:f>IF(A1098="","",IF(COUNTIF($A$5:$A$1204,A1098)&gt;1,"重复",""))</x:f>
      </x:c>
    </x:row>
    <x:row r="1099">
      <x:c r="A1099" s="62"/>
      <x:c r="B1099" s="62"/>
      <x:c r="C1099" s="62"/>
      <x:c r="D1099" s="62"/>
      <x:c r="E1099" s="62"/>
      <x:c r="F1099" s="62"/>
      <x:c r="G1099" s="66"/>
      <x:c r="H1099" s="68"/>
      <x:c r="I1099" s="68"/>
      <x:c r="J1099" s="68"/>
      <x:c r="K1099" s="68"/>
      <x:c r="L1099" s="70"/>
      <x:c r="M1099" s="64" t="str">
        <x:f>IF(A1099="","",IF(AND(E1099&lt;&gt;"",F1099&lt;&gt;"",ABS(H1099-I1099)&lt;=0.01,ABS(J1099-K1099)&lt;=0.01,L1099=1),"一致","检查"))</x:f>
      </x:c>
      <x:c r="N1099" s="64" t="str">
        <x:f>IF(A1099="","",IF(COUNTIF($A$5:$A$1204,A1099)&gt;1,"重复",""))</x:f>
      </x:c>
    </x:row>
    <x:row r="1100">
      <x:c r="A1100" s="62"/>
      <x:c r="B1100" s="62"/>
      <x:c r="C1100" s="62"/>
      <x:c r="D1100" s="62"/>
      <x:c r="E1100" s="62"/>
      <x:c r="F1100" s="62"/>
      <x:c r="G1100" s="66"/>
      <x:c r="H1100" s="68"/>
      <x:c r="I1100" s="68"/>
      <x:c r="J1100" s="68"/>
      <x:c r="K1100" s="68"/>
      <x:c r="L1100" s="70"/>
      <x:c r="M1100" s="64" t="str">
        <x:f>IF(A1100="","",IF(AND(E1100&lt;&gt;"",F1100&lt;&gt;"",ABS(H1100-I1100)&lt;=0.01,ABS(J1100-K1100)&lt;=0.01,L1100=1),"一致","检查"))</x:f>
      </x:c>
      <x:c r="N1100" s="64" t="str">
        <x:f>IF(A1100="","",IF(COUNTIF($A$5:$A$1204,A1100)&gt;1,"重复",""))</x:f>
      </x:c>
    </x:row>
    <x:row r="1101">
      <x:c r="A1101" s="62"/>
      <x:c r="B1101" s="62"/>
      <x:c r="C1101" s="62"/>
      <x:c r="D1101" s="62"/>
      <x:c r="E1101" s="62"/>
      <x:c r="F1101" s="62"/>
      <x:c r="G1101" s="66"/>
      <x:c r="H1101" s="68"/>
      <x:c r="I1101" s="68"/>
      <x:c r="J1101" s="68"/>
      <x:c r="K1101" s="68"/>
      <x:c r="L1101" s="70"/>
      <x:c r="M1101" s="64" t="str">
        <x:f>IF(A1101="","",IF(AND(E1101&lt;&gt;"",F1101&lt;&gt;"",ABS(H1101-I1101)&lt;=0.01,ABS(J1101-K1101)&lt;=0.01,L1101=1),"一致","检查"))</x:f>
      </x:c>
      <x:c r="N1101" s="64" t="str">
        <x:f>IF(A1101="","",IF(COUNTIF($A$5:$A$1204,A1101)&gt;1,"重复",""))</x:f>
      </x:c>
    </x:row>
    <x:row r="1102">
      <x:c r="A1102" s="62"/>
      <x:c r="B1102" s="62"/>
      <x:c r="C1102" s="62"/>
      <x:c r="D1102" s="62"/>
      <x:c r="E1102" s="62"/>
      <x:c r="F1102" s="62"/>
      <x:c r="G1102" s="66"/>
      <x:c r="H1102" s="68"/>
      <x:c r="I1102" s="68"/>
      <x:c r="J1102" s="68"/>
      <x:c r="K1102" s="68"/>
      <x:c r="L1102" s="70"/>
      <x:c r="M1102" s="64" t="str">
        <x:f>IF(A1102="","",IF(AND(E1102&lt;&gt;"",F1102&lt;&gt;"",ABS(H1102-I1102)&lt;=0.01,ABS(J1102-K1102)&lt;=0.01,L1102=1),"一致","检查"))</x:f>
      </x:c>
      <x:c r="N1102" s="64" t="str">
        <x:f>IF(A1102="","",IF(COUNTIF($A$5:$A$1204,A1102)&gt;1,"重复",""))</x:f>
      </x:c>
    </x:row>
    <x:row r="1103">
      <x:c r="A1103" s="62"/>
      <x:c r="B1103" s="62"/>
      <x:c r="C1103" s="62"/>
      <x:c r="D1103" s="62"/>
      <x:c r="E1103" s="62"/>
      <x:c r="F1103" s="62"/>
      <x:c r="G1103" s="66"/>
      <x:c r="H1103" s="68"/>
      <x:c r="I1103" s="68"/>
      <x:c r="J1103" s="68"/>
      <x:c r="K1103" s="68"/>
      <x:c r="L1103" s="70"/>
      <x:c r="M1103" s="64" t="str">
        <x:f>IF(A1103="","",IF(AND(E1103&lt;&gt;"",F1103&lt;&gt;"",ABS(H1103-I1103)&lt;=0.01,ABS(J1103-K1103)&lt;=0.01,L1103=1),"一致","检查"))</x:f>
      </x:c>
      <x:c r="N1103" s="64" t="str">
        <x:f>IF(A1103="","",IF(COUNTIF($A$5:$A$1204,A1103)&gt;1,"重复",""))</x:f>
      </x:c>
    </x:row>
    <x:row r="1104">
      <x:c r="A1104" s="62"/>
      <x:c r="B1104" s="62"/>
      <x:c r="C1104" s="62"/>
      <x:c r="D1104" s="62"/>
      <x:c r="E1104" s="62"/>
      <x:c r="F1104" s="62"/>
      <x:c r="G1104" s="66"/>
      <x:c r="H1104" s="68"/>
      <x:c r="I1104" s="68"/>
      <x:c r="J1104" s="68"/>
      <x:c r="K1104" s="68"/>
      <x:c r="L1104" s="70"/>
      <x:c r="M1104" s="64" t="str">
        <x:f>IF(A1104="","",IF(AND(E1104&lt;&gt;"",F1104&lt;&gt;"",ABS(H1104-I1104)&lt;=0.01,ABS(J1104-K1104)&lt;=0.01,L1104=1),"一致","检查"))</x:f>
      </x:c>
      <x:c r="N1104" s="64" t="str">
        <x:f>IF(A1104="","",IF(COUNTIF($A$5:$A$1204,A1104)&gt;1,"重复",""))</x:f>
      </x:c>
    </x:row>
    <x:row r="1105">
      <x:c r="A1105" s="62"/>
      <x:c r="B1105" s="62"/>
      <x:c r="C1105" s="62"/>
      <x:c r="D1105" s="62"/>
      <x:c r="E1105" s="62"/>
      <x:c r="F1105" s="62"/>
      <x:c r="G1105" s="66"/>
      <x:c r="H1105" s="68"/>
      <x:c r="I1105" s="68"/>
      <x:c r="J1105" s="68"/>
      <x:c r="K1105" s="68"/>
      <x:c r="L1105" s="70"/>
      <x:c r="M1105" s="64" t="str">
        <x:f>IF(A1105="","",IF(AND(E1105&lt;&gt;"",F1105&lt;&gt;"",ABS(H1105-I1105)&lt;=0.01,ABS(J1105-K1105)&lt;=0.01,L1105=1),"一致","检查"))</x:f>
      </x:c>
      <x:c r="N1105" s="64" t="str">
        <x:f>IF(A1105="","",IF(COUNTIF($A$5:$A$1204,A1105)&gt;1,"重复",""))</x:f>
      </x:c>
    </x:row>
    <x:row r="1106">
      <x:c r="A1106" s="62"/>
      <x:c r="B1106" s="62"/>
      <x:c r="C1106" s="62"/>
      <x:c r="D1106" s="62"/>
      <x:c r="E1106" s="62"/>
      <x:c r="F1106" s="62"/>
      <x:c r="G1106" s="66"/>
      <x:c r="H1106" s="68"/>
      <x:c r="I1106" s="68"/>
      <x:c r="J1106" s="68"/>
      <x:c r="K1106" s="68"/>
      <x:c r="L1106" s="70"/>
      <x:c r="M1106" s="64" t="str">
        <x:f>IF(A1106="","",IF(AND(E1106&lt;&gt;"",F1106&lt;&gt;"",ABS(H1106-I1106)&lt;=0.01,ABS(J1106-K1106)&lt;=0.01,L1106=1),"一致","检查"))</x:f>
      </x:c>
      <x:c r="N1106" s="64" t="str">
        <x:f>IF(A1106="","",IF(COUNTIF($A$5:$A$1204,A1106)&gt;1,"重复",""))</x:f>
      </x:c>
    </x:row>
    <x:row r="1107">
      <x:c r="A1107" s="62"/>
      <x:c r="B1107" s="62"/>
      <x:c r="C1107" s="62"/>
      <x:c r="D1107" s="62"/>
      <x:c r="E1107" s="62"/>
      <x:c r="F1107" s="62"/>
      <x:c r="G1107" s="66"/>
      <x:c r="H1107" s="68"/>
      <x:c r="I1107" s="68"/>
      <x:c r="J1107" s="68"/>
      <x:c r="K1107" s="68"/>
      <x:c r="L1107" s="70"/>
      <x:c r="M1107" s="64" t="str">
        <x:f>IF(A1107="","",IF(AND(E1107&lt;&gt;"",F1107&lt;&gt;"",ABS(H1107-I1107)&lt;=0.01,ABS(J1107-K1107)&lt;=0.01,L1107=1),"一致","检查"))</x:f>
      </x:c>
      <x:c r="N1107" s="64" t="str">
        <x:f>IF(A1107="","",IF(COUNTIF($A$5:$A$1204,A1107)&gt;1,"重复",""))</x:f>
      </x:c>
    </x:row>
    <x:row r="1108">
      <x:c r="A1108" s="62"/>
      <x:c r="B1108" s="62"/>
      <x:c r="C1108" s="62"/>
      <x:c r="D1108" s="62"/>
      <x:c r="E1108" s="62"/>
      <x:c r="F1108" s="62"/>
      <x:c r="G1108" s="66"/>
      <x:c r="H1108" s="68"/>
      <x:c r="I1108" s="68"/>
      <x:c r="J1108" s="68"/>
      <x:c r="K1108" s="68"/>
      <x:c r="L1108" s="70"/>
      <x:c r="M1108" s="64" t="str">
        <x:f>IF(A1108="","",IF(AND(E1108&lt;&gt;"",F1108&lt;&gt;"",ABS(H1108-I1108)&lt;=0.01,ABS(J1108-K1108)&lt;=0.01,L1108=1),"一致","检查"))</x:f>
      </x:c>
      <x:c r="N1108" s="64" t="str">
        <x:f>IF(A1108="","",IF(COUNTIF($A$5:$A$1204,A1108)&gt;1,"重复",""))</x:f>
      </x:c>
    </x:row>
    <x:row r="1109">
      <x:c r="A1109" s="62"/>
      <x:c r="B1109" s="62"/>
      <x:c r="C1109" s="62"/>
      <x:c r="D1109" s="62"/>
      <x:c r="E1109" s="62"/>
      <x:c r="F1109" s="62"/>
      <x:c r="G1109" s="66"/>
      <x:c r="H1109" s="68"/>
      <x:c r="I1109" s="68"/>
      <x:c r="J1109" s="68"/>
      <x:c r="K1109" s="68"/>
      <x:c r="L1109" s="70"/>
      <x:c r="M1109" s="64" t="str">
        <x:f>IF(A1109="","",IF(AND(E1109&lt;&gt;"",F1109&lt;&gt;"",ABS(H1109-I1109)&lt;=0.01,ABS(J1109-K1109)&lt;=0.01,L1109=1),"一致","检查"))</x:f>
      </x:c>
      <x:c r="N1109" s="64" t="str">
        <x:f>IF(A1109="","",IF(COUNTIF($A$5:$A$1204,A1109)&gt;1,"重复",""))</x:f>
      </x:c>
    </x:row>
    <x:row r="1110">
      <x:c r="A1110" s="62"/>
      <x:c r="B1110" s="62"/>
      <x:c r="C1110" s="62"/>
      <x:c r="D1110" s="62"/>
      <x:c r="E1110" s="62"/>
      <x:c r="F1110" s="62"/>
      <x:c r="G1110" s="66"/>
      <x:c r="H1110" s="68"/>
      <x:c r="I1110" s="68"/>
      <x:c r="J1110" s="68"/>
      <x:c r="K1110" s="68"/>
      <x:c r="L1110" s="70"/>
      <x:c r="M1110" s="64" t="str">
        <x:f>IF(A1110="","",IF(AND(E1110&lt;&gt;"",F1110&lt;&gt;"",ABS(H1110-I1110)&lt;=0.01,ABS(J1110-K1110)&lt;=0.01,L1110=1),"一致","检查"))</x:f>
      </x:c>
      <x:c r="N1110" s="64" t="str">
        <x:f>IF(A1110="","",IF(COUNTIF($A$5:$A$1204,A1110)&gt;1,"重复",""))</x:f>
      </x:c>
    </x:row>
    <x:row r="1111">
      <x:c r="A1111" s="62"/>
      <x:c r="B1111" s="62"/>
      <x:c r="C1111" s="62"/>
      <x:c r="D1111" s="62"/>
      <x:c r="E1111" s="62"/>
      <x:c r="F1111" s="62"/>
      <x:c r="G1111" s="66"/>
      <x:c r="H1111" s="68"/>
      <x:c r="I1111" s="68"/>
      <x:c r="J1111" s="68"/>
      <x:c r="K1111" s="68"/>
      <x:c r="L1111" s="70"/>
      <x:c r="M1111" s="64" t="str">
        <x:f>IF(A1111="","",IF(AND(E1111&lt;&gt;"",F1111&lt;&gt;"",ABS(H1111-I1111)&lt;=0.01,ABS(J1111-K1111)&lt;=0.01,L1111=1),"一致","检查"))</x:f>
      </x:c>
      <x:c r="N1111" s="64" t="str">
        <x:f>IF(A1111="","",IF(COUNTIF($A$5:$A$1204,A1111)&gt;1,"重复",""))</x:f>
      </x:c>
    </x:row>
    <x:row r="1112">
      <x:c r="A1112" s="62"/>
      <x:c r="B1112" s="62"/>
      <x:c r="C1112" s="62"/>
      <x:c r="D1112" s="62"/>
      <x:c r="E1112" s="62"/>
      <x:c r="F1112" s="62"/>
      <x:c r="G1112" s="66"/>
      <x:c r="H1112" s="68"/>
      <x:c r="I1112" s="68"/>
      <x:c r="J1112" s="68"/>
      <x:c r="K1112" s="68"/>
      <x:c r="L1112" s="70"/>
      <x:c r="M1112" s="64" t="str">
        <x:f>IF(A1112="","",IF(AND(E1112&lt;&gt;"",F1112&lt;&gt;"",ABS(H1112-I1112)&lt;=0.01,ABS(J1112-K1112)&lt;=0.01,L1112=1),"一致","检查"))</x:f>
      </x:c>
      <x:c r="N1112" s="64" t="str">
        <x:f>IF(A1112="","",IF(COUNTIF($A$5:$A$1204,A1112)&gt;1,"重复",""))</x:f>
      </x:c>
    </x:row>
    <x:row r="1113">
      <x:c r="A1113" s="62"/>
      <x:c r="B1113" s="62"/>
      <x:c r="C1113" s="62"/>
      <x:c r="D1113" s="62"/>
      <x:c r="E1113" s="62"/>
      <x:c r="F1113" s="62"/>
      <x:c r="G1113" s="66"/>
      <x:c r="H1113" s="68"/>
      <x:c r="I1113" s="68"/>
      <x:c r="J1113" s="68"/>
      <x:c r="K1113" s="68"/>
      <x:c r="L1113" s="70"/>
      <x:c r="M1113" s="64" t="str">
        <x:f>IF(A1113="","",IF(AND(E1113&lt;&gt;"",F1113&lt;&gt;"",ABS(H1113-I1113)&lt;=0.01,ABS(J1113-K1113)&lt;=0.01,L1113=1),"一致","检查"))</x:f>
      </x:c>
      <x:c r="N1113" s="64" t="str">
        <x:f>IF(A1113="","",IF(COUNTIF($A$5:$A$1204,A1113)&gt;1,"重复",""))</x:f>
      </x:c>
    </x:row>
    <x:row r="1114">
      <x:c r="A1114" s="62"/>
      <x:c r="B1114" s="62"/>
      <x:c r="C1114" s="62"/>
      <x:c r="D1114" s="62"/>
      <x:c r="E1114" s="62"/>
      <x:c r="F1114" s="62"/>
      <x:c r="G1114" s="66"/>
      <x:c r="H1114" s="68"/>
      <x:c r="I1114" s="68"/>
      <x:c r="J1114" s="68"/>
      <x:c r="K1114" s="68"/>
      <x:c r="L1114" s="70"/>
      <x:c r="M1114" s="64" t="str">
        <x:f>IF(A1114="","",IF(AND(E1114&lt;&gt;"",F1114&lt;&gt;"",ABS(H1114-I1114)&lt;=0.01,ABS(J1114-K1114)&lt;=0.01,L1114=1),"一致","检查"))</x:f>
      </x:c>
      <x:c r="N1114" s="64" t="str">
        <x:f>IF(A1114="","",IF(COUNTIF($A$5:$A$1204,A1114)&gt;1,"重复",""))</x:f>
      </x:c>
    </x:row>
    <x:row r="1115">
      <x:c r="A1115" s="62"/>
      <x:c r="B1115" s="62"/>
      <x:c r="C1115" s="62"/>
      <x:c r="D1115" s="62"/>
      <x:c r="E1115" s="62"/>
      <x:c r="F1115" s="62"/>
      <x:c r="G1115" s="66"/>
      <x:c r="H1115" s="68"/>
      <x:c r="I1115" s="68"/>
      <x:c r="J1115" s="68"/>
      <x:c r="K1115" s="68"/>
      <x:c r="L1115" s="70"/>
      <x:c r="M1115" s="64" t="str">
        <x:f>IF(A1115="","",IF(AND(E1115&lt;&gt;"",F1115&lt;&gt;"",ABS(H1115-I1115)&lt;=0.01,ABS(J1115-K1115)&lt;=0.01,L1115=1),"一致","检查"))</x:f>
      </x:c>
      <x:c r="N1115" s="64" t="str">
        <x:f>IF(A1115="","",IF(COUNTIF($A$5:$A$1204,A1115)&gt;1,"重复",""))</x:f>
      </x:c>
    </x:row>
    <x:row r="1116">
      <x:c r="A1116" s="62"/>
      <x:c r="B1116" s="62"/>
      <x:c r="C1116" s="62"/>
      <x:c r="D1116" s="62"/>
      <x:c r="E1116" s="62"/>
      <x:c r="F1116" s="62"/>
      <x:c r="G1116" s="66"/>
      <x:c r="H1116" s="68"/>
      <x:c r="I1116" s="68"/>
      <x:c r="J1116" s="68"/>
      <x:c r="K1116" s="68"/>
      <x:c r="L1116" s="70"/>
      <x:c r="M1116" s="64" t="str">
        <x:f>IF(A1116="","",IF(AND(E1116&lt;&gt;"",F1116&lt;&gt;"",ABS(H1116-I1116)&lt;=0.01,ABS(J1116-K1116)&lt;=0.01,L1116=1),"一致","检查"))</x:f>
      </x:c>
      <x:c r="N1116" s="64" t="str">
        <x:f>IF(A1116="","",IF(COUNTIF($A$5:$A$1204,A1116)&gt;1,"重复",""))</x:f>
      </x:c>
    </x:row>
    <x:row r="1117">
      <x:c r="A1117" s="62"/>
      <x:c r="B1117" s="62"/>
      <x:c r="C1117" s="62"/>
      <x:c r="D1117" s="62"/>
      <x:c r="E1117" s="62"/>
      <x:c r="F1117" s="62"/>
      <x:c r="G1117" s="66"/>
      <x:c r="H1117" s="68"/>
      <x:c r="I1117" s="68"/>
      <x:c r="J1117" s="68"/>
      <x:c r="K1117" s="68"/>
      <x:c r="L1117" s="70"/>
      <x:c r="M1117" s="64" t="str">
        <x:f>IF(A1117="","",IF(AND(E1117&lt;&gt;"",F1117&lt;&gt;"",ABS(H1117-I1117)&lt;=0.01,ABS(J1117-K1117)&lt;=0.01,L1117=1),"一致","检查"))</x:f>
      </x:c>
      <x:c r="N1117" s="64" t="str">
        <x:f>IF(A1117="","",IF(COUNTIF($A$5:$A$1204,A1117)&gt;1,"重复",""))</x:f>
      </x:c>
    </x:row>
    <x:row r="1118">
      <x:c r="A1118" s="62"/>
      <x:c r="B1118" s="62"/>
      <x:c r="C1118" s="62"/>
      <x:c r="D1118" s="62"/>
      <x:c r="E1118" s="62"/>
      <x:c r="F1118" s="62"/>
      <x:c r="G1118" s="66"/>
      <x:c r="H1118" s="68"/>
      <x:c r="I1118" s="68"/>
      <x:c r="J1118" s="68"/>
      <x:c r="K1118" s="68"/>
      <x:c r="L1118" s="70"/>
      <x:c r="M1118" s="64" t="str">
        <x:f>IF(A1118="","",IF(AND(E1118&lt;&gt;"",F1118&lt;&gt;"",ABS(H1118-I1118)&lt;=0.01,ABS(J1118-K1118)&lt;=0.01,L1118=1),"一致","检查"))</x:f>
      </x:c>
      <x:c r="N1118" s="64" t="str">
        <x:f>IF(A1118="","",IF(COUNTIF($A$5:$A$1204,A1118)&gt;1,"重复",""))</x:f>
      </x:c>
    </x:row>
    <x:row r="1119">
      <x:c r="A1119" s="62"/>
      <x:c r="B1119" s="62"/>
      <x:c r="C1119" s="62"/>
      <x:c r="D1119" s="62"/>
      <x:c r="E1119" s="62"/>
      <x:c r="F1119" s="62"/>
      <x:c r="G1119" s="66"/>
      <x:c r="H1119" s="68"/>
      <x:c r="I1119" s="68"/>
      <x:c r="J1119" s="68"/>
      <x:c r="K1119" s="68"/>
      <x:c r="L1119" s="70"/>
      <x:c r="M1119" s="64" t="str">
        <x:f>IF(A1119="","",IF(AND(E1119&lt;&gt;"",F1119&lt;&gt;"",ABS(H1119-I1119)&lt;=0.01,ABS(J1119-K1119)&lt;=0.01,L1119=1),"一致","检查"))</x:f>
      </x:c>
      <x:c r="N1119" s="64" t="str">
        <x:f>IF(A1119="","",IF(COUNTIF($A$5:$A$1204,A1119)&gt;1,"重复",""))</x:f>
      </x:c>
    </x:row>
    <x:row r="1120">
      <x:c r="A1120" s="62"/>
      <x:c r="B1120" s="62"/>
      <x:c r="C1120" s="62"/>
      <x:c r="D1120" s="62"/>
      <x:c r="E1120" s="62"/>
      <x:c r="F1120" s="62"/>
      <x:c r="G1120" s="66"/>
      <x:c r="H1120" s="68"/>
      <x:c r="I1120" s="68"/>
      <x:c r="J1120" s="68"/>
      <x:c r="K1120" s="68"/>
      <x:c r="L1120" s="70"/>
      <x:c r="M1120" s="64" t="str">
        <x:f>IF(A1120="","",IF(AND(E1120&lt;&gt;"",F1120&lt;&gt;"",ABS(H1120-I1120)&lt;=0.01,ABS(J1120-K1120)&lt;=0.01,L1120=1),"一致","检查"))</x:f>
      </x:c>
      <x:c r="N1120" s="64" t="str">
        <x:f>IF(A1120="","",IF(COUNTIF($A$5:$A$1204,A1120)&gt;1,"重复",""))</x:f>
      </x:c>
    </x:row>
    <x:row r="1121">
      <x:c r="A1121" s="62"/>
      <x:c r="B1121" s="62"/>
      <x:c r="C1121" s="62"/>
      <x:c r="D1121" s="62"/>
      <x:c r="E1121" s="62"/>
      <x:c r="F1121" s="62"/>
      <x:c r="G1121" s="66"/>
      <x:c r="H1121" s="68"/>
      <x:c r="I1121" s="68"/>
      <x:c r="J1121" s="68"/>
      <x:c r="K1121" s="68"/>
      <x:c r="L1121" s="70"/>
      <x:c r="M1121" s="64" t="str">
        <x:f>IF(A1121="","",IF(AND(E1121&lt;&gt;"",F1121&lt;&gt;"",ABS(H1121-I1121)&lt;=0.01,ABS(J1121-K1121)&lt;=0.01,L1121=1),"一致","检查"))</x:f>
      </x:c>
      <x:c r="N1121" s="64" t="str">
        <x:f>IF(A1121="","",IF(COUNTIF($A$5:$A$1204,A1121)&gt;1,"重复",""))</x:f>
      </x:c>
    </x:row>
    <x:row r="1122">
      <x:c r="A1122" s="62"/>
      <x:c r="B1122" s="62"/>
      <x:c r="C1122" s="62"/>
      <x:c r="D1122" s="62"/>
      <x:c r="E1122" s="62"/>
      <x:c r="F1122" s="62"/>
      <x:c r="G1122" s="66"/>
      <x:c r="H1122" s="68"/>
      <x:c r="I1122" s="68"/>
      <x:c r="J1122" s="68"/>
      <x:c r="K1122" s="68"/>
      <x:c r="L1122" s="70"/>
      <x:c r="M1122" s="64" t="str">
        <x:f>IF(A1122="","",IF(AND(E1122&lt;&gt;"",F1122&lt;&gt;"",ABS(H1122-I1122)&lt;=0.01,ABS(J1122-K1122)&lt;=0.01,L1122=1),"一致","检查"))</x:f>
      </x:c>
      <x:c r="N1122" s="64" t="str">
        <x:f>IF(A1122="","",IF(COUNTIF($A$5:$A$1204,A1122)&gt;1,"重复",""))</x:f>
      </x:c>
    </x:row>
    <x:row r="1123">
      <x:c r="A1123" s="62"/>
      <x:c r="B1123" s="62"/>
      <x:c r="C1123" s="62"/>
      <x:c r="D1123" s="62"/>
      <x:c r="E1123" s="62"/>
      <x:c r="F1123" s="62"/>
      <x:c r="G1123" s="66"/>
      <x:c r="H1123" s="68"/>
      <x:c r="I1123" s="68"/>
      <x:c r="J1123" s="68"/>
      <x:c r="K1123" s="68"/>
      <x:c r="L1123" s="70"/>
      <x:c r="M1123" s="64" t="str">
        <x:f>IF(A1123="","",IF(AND(E1123&lt;&gt;"",F1123&lt;&gt;"",ABS(H1123-I1123)&lt;=0.01,ABS(J1123-K1123)&lt;=0.01,L1123=1),"一致","检查"))</x:f>
      </x:c>
      <x:c r="N1123" s="64" t="str">
        <x:f>IF(A1123="","",IF(COUNTIF($A$5:$A$1204,A1123)&gt;1,"重复",""))</x:f>
      </x:c>
    </x:row>
    <x:row r="1124">
      <x:c r="A1124" s="62"/>
      <x:c r="B1124" s="62"/>
      <x:c r="C1124" s="62"/>
      <x:c r="D1124" s="62"/>
      <x:c r="E1124" s="62"/>
      <x:c r="F1124" s="62"/>
      <x:c r="G1124" s="66"/>
      <x:c r="H1124" s="68"/>
      <x:c r="I1124" s="68"/>
      <x:c r="J1124" s="68"/>
      <x:c r="K1124" s="68"/>
      <x:c r="L1124" s="70"/>
      <x:c r="M1124" s="64" t="str">
        <x:f>IF(A1124="","",IF(AND(E1124&lt;&gt;"",F1124&lt;&gt;"",ABS(H1124-I1124)&lt;=0.01,ABS(J1124-K1124)&lt;=0.01,L1124=1),"一致","检查"))</x:f>
      </x:c>
      <x:c r="N1124" s="64" t="str">
        <x:f>IF(A1124="","",IF(COUNTIF($A$5:$A$1204,A1124)&gt;1,"重复",""))</x:f>
      </x:c>
    </x:row>
    <x:row r="1125">
      <x:c r="A1125" s="62"/>
      <x:c r="B1125" s="62"/>
      <x:c r="C1125" s="62"/>
      <x:c r="D1125" s="62"/>
      <x:c r="E1125" s="62"/>
      <x:c r="F1125" s="62"/>
      <x:c r="G1125" s="66"/>
      <x:c r="H1125" s="68"/>
      <x:c r="I1125" s="68"/>
      <x:c r="J1125" s="68"/>
      <x:c r="K1125" s="68"/>
      <x:c r="L1125" s="70"/>
      <x:c r="M1125" s="64" t="str">
        <x:f>IF(A1125="","",IF(AND(E1125&lt;&gt;"",F1125&lt;&gt;"",ABS(H1125-I1125)&lt;=0.01,ABS(J1125-K1125)&lt;=0.01,L1125=1),"一致","检查"))</x:f>
      </x:c>
      <x:c r="N1125" s="64" t="str">
        <x:f>IF(A1125="","",IF(COUNTIF($A$5:$A$1204,A1125)&gt;1,"重复",""))</x:f>
      </x:c>
    </x:row>
    <x:row r="1126">
      <x:c r="A1126" s="62"/>
      <x:c r="B1126" s="62"/>
      <x:c r="C1126" s="62"/>
      <x:c r="D1126" s="62"/>
      <x:c r="E1126" s="62"/>
      <x:c r="F1126" s="62"/>
      <x:c r="G1126" s="66"/>
      <x:c r="H1126" s="68"/>
      <x:c r="I1126" s="68"/>
      <x:c r="J1126" s="68"/>
      <x:c r="K1126" s="68"/>
      <x:c r="L1126" s="70"/>
      <x:c r="M1126" s="64" t="str">
        <x:f>IF(A1126="","",IF(AND(E1126&lt;&gt;"",F1126&lt;&gt;"",ABS(H1126-I1126)&lt;=0.01,ABS(J1126-K1126)&lt;=0.01,L1126=1),"一致","检查"))</x:f>
      </x:c>
      <x:c r="N1126" s="64" t="str">
        <x:f>IF(A1126="","",IF(COUNTIF($A$5:$A$1204,A1126)&gt;1,"重复",""))</x:f>
      </x:c>
    </x:row>
    <x:row r="1127">
      <x:c r="A1127" s="62"/>
      <x:c r="B1127" s="62"/>
      <x:c r="C1127" s="62"/>
      <x:c r="D1127" s="62"/>
      <x:c r="E1127" s="62"/>
      <x:c r="F1127" s="62"/>
      <x:c r="G1127" s="66"/>
      <x:c r="H1127" s="68"/>
      <x:c r="I1127" s="68"/>
      <x:c r="J1127" s="68"/>
      <x:c r="K1127" s="68"/>
      <x:c r="L1127" s="70"/>
      <x:c r="M1127" s="64" t="str">
        <x:f>IF(A1127="","",IF(AND(E1127&lt;&gt;"",F1127&lt;&gt;"",ABS(H1127-I1127)&lt;=0.01,ABS(J1127-K1127)&lt;=0.01,L1127=1),"一致","检查"))</x:f>
      </x:c>
      <x:c r="N1127" s="64" t="str">
        <x:f>IF(A1127="","",IF(COUNTIF($A$5:$A$1204,A1127)&gt;1,"重复",""))</x:f>
      </x:c>
    </x:row>
    <x:row r="1128">
      <x:c r="A1128" s="62"/>
      <x:c r="B1128" s="62"/>
      <x:c r="C1128" s="62"/>
      <x:c r="D1128" s="62"/>
      <x:c r="E1128" s="62"/>
      <x:c r="F1128" s="62"/>
      <x:c r="G1128" s="66"/>
      <x:c r="H1128" s="68"/>
      <x:c r="I1128" s="68"/>
      <x:c r="J1128" s="68"/>
      <x:c r="K1128" s="68"/>
      <x:c r="L1128" s="70"/>
      <x:c r="M1128" s="64" t="str">
        <x:f>IF(A1128="","",IF(AND(E1128&lt;&gt;"",F1128&lt;&gt;"",ABS(H1128-I1128)&lt;=0.01,ABS(J1128-K1128)&lt;=0.01,L1128=1),"一致","检查"))</x:f>
      </x:c>
      <x:c r="N1128" s="64" t="str">
        <x:f>IF(A1128="","",IF(COUNTIF($A$5:$A$1204,A1128)&gt;1,"重复",""))</x:f>
      </x:c>
    </x:row>
    <x:row r="1129">
      <x:c r="A1129" s="62"/>
      <x:c r="B1129" s="62"/>
      <x:c r="C1129" s="62"/>
      <x:c r="D1129" s="62"/>
      <x:c r="E1129" s="62"/>
      <x:c r="F1129" s="62"/>
      <x:c r="G1129" s="66"/>
      <x:c r="H1129" s="68"/>
      <x:c r="I1129" s="68"/>
      <x:c r="J1129" s="68"/>
      <x:c r="K1129" s="68"/>
      <x:c r="L1129" s="70"/>
      <x:c r="M1129" s="64" t="str">
        <x:f>IF(A1129="","",IF(AND(E1129&lt;&gt;"",F1129&lt;&gt;"",ABS(H1129-I1129)&lt;=0.01,ABS(J1129-K1129)&lt;=0.01,L1129=1),"一致","检查"))</x:f>
      </x:c>
      <x:c r="N1129" s="64" t="str">
        <x:f>IF(A1129="","",IF(COUNTIF($A$5:$A$1204,A1129)&gt;1,"重复",""))</x:f>
      </x:c>
    </x:row>
    <x:row r="1130">
      <x:c r="A1130" s="62"/>
      <x:c r="B1130" s="62"/>
      <x:c r="C1130" s="62"/>
      <x:c r="D1130" s="62"/>
      <x:c r="E1130" s="62"/>
      <x:c r="F1130" s="62"/>
      <x:c r="G1130" s="66"/>
      <x:c r="H1130" s="68"/>
      <x:c r="I1130" s="68"/>
      <x:c r="J1130" s="68"/>
      <x:c r="K1130" s="68"/>
      <x:c r="L1130" s="70"/>
      <x:c r="M1130" s="64" t="str">
        <x:f>IF(A1130="","",IF(AND(E1130&lt;&gt;"",F1130&lt;&gt;"",ABS(H1130-I1130)&lt;=0.01,ABS(J1130-K1130)&lt;=0.01,L1130=1),"一致","检查"))</x:f>
      </x:c>
      <x:c r="N1130" s="64" t="str">
        <x:f>IF(A1130="","",IF(COUNTIF($A$5:$A$1204,A1130)&gt;1,"重复",""))</x:f>
      </x:c>
    </x:row>
    <x:row r="1131">
      <x:c r="A1131" s="62"/>
      <x:c r="B1131" s="62"/>
      <x:c r="C1131" s="62"/>
      <x:c r="D1131" s="62"/>
      <x:c r="E1131" s="62"/>
      <x:c r="F1131" s="62"/>
      <x:c r="G1131" s="66"/>
      <x:c r="H1131" s="68"/>
      <x:c r="I1131" s="68"/>
      <x:c r="J1131" s="68"/>
      <x:c r="K1131" s="68"/>
      <x:c r="L1131" s="70"/>
      <x:c r="M1131" s="64" t="str">
        <x:f>IF(A1131="","",IF(AND(E1131&lt;&gt;"",F1131&lt;&gt;"",ABS(H1131-I1131)&lt;=0.01,ABS(J1131-K1131)&lt;=0.01,L1131=1),"一致","检查"))</x:f>
      </x:c>
      <x:c r="N1131" s="64" t="str">
        <x:f>IF(A1131="","",IF(COUNTIF($A$5:$A$1204,A1131)&gt;1,"重复",""))</x:f>
      </x:c>
    </x:row>
    <x:row r="1132">
      <x:c r="A1132" s="62"/>
      <x:c r="B1132" s="62"/>
      <x:c r="C1132" s="62"/>
      <x:c r="D1132" s="62"/>
      <x:c r="E1132" s="62"/>
      <x:c r="F1132" s="62"/>
      <x:c r="G1132" s="66"/>
      <x:c r="H1132" s="68"/>
      <x:c r="I1132" s="68"/>
      <x:c r="J1132" s="68"/>
      <x:c r="K1132" s="68"/>
      <x:c r="L1132" s="70"/>
      <x:c r="M1132" s="64" t="str">
        <x:f>IF(A1132="","",IF(AND(E1132&lt;&gt;"",F1132&lt;&gt;"",ABS(H1132-I1132)&lt;=0.01,ABS(J1132-K1132)&lt;=0.01,L1132=1),"一致","检查"))</x:f>
      </x:c>
      <x:c r="N1132" s="64" t="str">
        <x:f>IF(A1132="","",IF(COUNTIF($A$5:$A$1204,A1132)&gt;1,"重复",""))</x:f>
      </x:c>
    </x:row>
    <x:row r="1133">
      <x:c r="A1133" s="62"/>
      <x:c r="B1133" s="62"/>
      <x:c r="C1133" s="62"/>
      <x:c r="D1133" s="62"/>
      <x:c r="E1133" s="62"/>
      <x:c r="F1133" s="62"/>
      <x:c r="G1133" s="66"/>
      <x:c r="H1133" s="68"/>
      <x:c r="I1133" s="68"/>
      <x:c r="J1133" s="68"/>
      <x:c r="K1133" s="68"/>
      <x:c r="L1133" s="70"/>
      <x:c r="M1133" s="64" t="str">
        <x:f>IF(A1133="","",IF(AND(E1133&lt;&gt;"",F1133&lt;&gt;"",ABS(H1133-I1133)&lt;=0.01,ABS(J1133-K1133)&lt;=0.01,L1133=1),"一致","检查"))</x:f>
      </x:c>
      <x:c r="N1133" s="64" t="str">
        <x:f>IF(A1133="","",IF(COUNTIF($A$5:$A$1204,A1133)&gt;1,"重复",""))</x:f>
      </x:c>
    </x:row>
    <x:row r="1134">
      <x:c r="A1134" s="62"/>
      <x:c r="B1134" s="62"/>
      <x:c r="C1134" s="62"/>
      <x:c r="D1134" s="62"/>
      <x:c r="E1134" s="62"/>
      <x:c r="F1134" s="62"/>
      <x:c r="G1134" s="66"/>
      <x:c r="H1134" s="68"/>
      <x:c r="I1134" s="68"/>
      <x:c r="J1134" s="68"/>
      <x:c r="K1134" s="68"/>
      <x:c r="L1134" s="70"/>
      <x:c r="M1134" s="64" t="str">
        <x:f>IF(A1134="","",IF(AND(E1134&lt;&gt;"",F1134&lt;&gt;"",ABS(H1134-I1134)&lt;=0.01,ABS(J1134-K1134)&lt;=0.01,L1134=1),"一致","检查"))</x:f>
      </x:c>
      <x:c r="N1134" s="64" t="str">
        <x:f>IF(A1134="","",IF(COUNTIF($A$5:$A$1204,A1134)&gt;1,"重复",""))</x:f>
      </x:c>
    </x:row>
    <x:row r="1135">
      <x:c r="A1135" s="62"/>
      <x:c r="B1135" s="62"/>
      <x:c r="C1135" s="62"/>
      <x:c r="D1135" s="62"/>
      <x:c r="E1135" s="62"/>
      <x:c r="F1135" s="62"/>
      <x:c r="G1135" s="66"/>
      <x:c r="H1135" s="68"/>
      <x:c r="I1135" s="68"/>
      <x:c r="J1135" s="68"/>
      <x:c r="K1135" s="68"/>
      <x:c r="L1135" s="70"/>
      <x:c r="M1135" s="64" t="str">
        <x:f>IF(A1135="","",IF(AND(E1135&lt;&gt;"",F1135&lt;&gt;"",ABS(H1135-I1135)&lt;=0.01,ABS(J1135-K1135)&lt;=0.01,L1135=1),"一致","检查"))</x:f>
      </x:c>
      <x:c r="N1135" s="64" t="str">
        <x:f>IF(A1135="","",IF(COUNTIF($A$5:$A$1204,A1135)&gt;1,"重复",""))</x:f>
      </x:c>
    </x:row>
    <x:row r="1136">
      <x:c r="A1136" s="62"/>
      <x:c r="B1136" s="62"/>
      <x:c r="C1136" s="62"/>
      <x:c r="D1136" s="62"/>
      <x:c r="E1136" s="62"/>
      <x:c r="F1136" s="62"/>
      <x:c r="G1136" s="66"/>
      <x:c r="H1136" s="68"/>
      <x:c r="I1136" s="68"/>
      <x:c r="J1136" s="68"/>
      <x:c r="K1136" s="68"/>
      <x:c r="L1136" s="70"/>
      <x:c r="M1136" s="64" t="str">
        <x:f>IF(A1136="","",IF(AND(E1136&lt;&gt;"",F1136&lt;&gt;"",ABS(H1136-I1136)&lt;=0.01,ABS(J1136-K1136)&lt;=0.01,L1136=1),"一致","检查"))</x:f>
      </x:c>
      <x:c r="N1136" s="64" t="str">
        <x:f>IF(A1136="","",IF(COUNTIF($A$5:$A$1204,A1136)&gt;1,"重复",""))</x:f>
      </x:c>
    </x:row>
    <x:row r="1137">
      <x:c r="A1137" s="62"/>
      <x:c r="B1137" s="62"/>
      <x:c r="C1137" s="62"/>
      <x:c r="D1137" s="62"/>
      <x:c r="E1137" s="62"/>
      <x:c r="F1137" s="62"/>
      <x:c r="G1137" s="66"/>
      <x:c r="H1137" s="68"/>
      <x:c r="I1137" s="68"/>
      <x:c r="J1137" s="68"/>
      <x:c r="K1137" s="68"/>
      <x:c r="L1137" s="70"/>
      <x:c r="M1137" s="64" t="str">
        <x:f>IF(A1137="","",IF(AND(E1137&lt;&gt;"",F1137&lt;&gt;"",ABS(H1137-I1137)&lt;=0.01,ABS(J1137-K1137)&lt;=0.01,L1137=1),"一致","检查"))</x:f>
      </x:c>
      <x:c r="N1137" s="64" t="str">
        <x:f>IF(A1137="","",IF(COUNTIF($A$5:$A$1204,A1137)&gt;1,"重复",""))</x:f>
      </x:c>
    </x:row>
    <x:row r="1138">
      <x:c r="A1138" s="62"/>
      <x:c r="B1138" s="62"/>
      <x:c r="C1138" s="62"/>
      <x:c r="D1138" s="62"/>
      <x:c r="E1138" s="62"/>
      <x:c r="F1138" s="62"/>
      <x:c r="G1138" s="66"/>
      <x:c r="H1138" s="68"/>
      <x:c r="I1138" s="68"/>
      <x:c r="J1138" s="68"/>
      <x:c r="K1138" s="68"/>
      <x:c r="L1138" s="70"/>
      <x:c r="M1138" s="64" t="str">
        <x:f>IF(A1138="","",IF(AND(E1138&lt;&gt;"",F1138&lt;&gt;"",ABS(H1138-I1138)&lt;=0.01,ABS(J1138-K1138)&lt;=0.01,L1138=1),"一致","检查"))</x:f>
      </x:c>
      <x:c r="N1138" s="64" t="str">
        <x:f>IF(A1138="","",IF(COUNTIF($A$5:$A$1204,A1138)&gt;1,"重复",""))</x:f>
      </x:c>
    </x:row>
    <x:row r="1139">
      <x:c r="A1139" s="62"/>
      <x:c r="B1139" s="62"/>
      <x:c r="C1139" s="62"/>
      <x:c r="D1139" s="62"/>
      <x:c r="E1139" s="62"/>
      <x:c r="F1139" s="62"/>
      <x:c r="G1139" s="66"/>
      <x:c r="H1139" s="68"/>
      <x:c r="I1139" s="68"/>
      <x:c r="J1139" s="68"/>
      <x:c r="K1139" s="68"/>
      <x:c r="L1139" s="70"/>
      <x:c r="M1139" s="64" t="str">
        <x:f>IF(A1139="","",IF(AND(E1139&lt;&gt;"",F1139&lt;&gt;"",ABS(H1139-I1139)&lt;=0.01,ABS(J1139-K1139)&lt;=0.01,L1139=1),"一致","检查"))</x:f>
      </x:c>
      <x:c r="N1139" s="64" t="str">
        <x:f>IF(A1139="","",IF(COUNTIF($A$5:$A$1204,A1139)&gt;1,"重复",""))</x:f>
      </x:c>
    </x:row>
    <x:row r="1140">
      <x:c r="A1140" s="62"/>
      <x:c r="B1140" s="62"/>
      <x:c r="C1140" s="62"/>
      <x:c r="D1140" s="62"/>
      <x:c r="E1140" s="62"/>
      <x:c r="F1140" s="62"/>
      <x:c r="G1140" s="66"/>
      <x:c r="H1140" s="68"/>
      <x:c r="I1140" s="68"/>
      <x:c r="J1140" s="68"/>
      <x:c r="K1140" s="68"/>
      <x:c r="L1140" s="70"/>
      <x:c r="M1140" s="64" t="str">
        <x:f>IF(A1140="","",IF(AND(E1140&lt;&gt;"",F1140&lt;&gt;"",ABS(H1140-I1140)&lt;=0.01,ABS(J1140-K1140)&lt;=0.01,L1140=1),"一致","检查"))</x:f>
      </x:c>
      <x:c r="N1140" s="64" t="str">
        <x:f>IF(A1140="","",IF(COUNTIF($A$5:$A$1204,A1140)&gt;1,"重复",""))</x:f>
      </x:c>
    </x:row>
    <x:row r="1141">
      <x:c r="A1141" s="62"/>
      <x:c r="B1141" s="62"/>
      <x:c r="C1141" s="62"/>
      <x:c r="D1141" s="62"/>
      <x:c r="E1141" s="62"/>
      <x:c r="F1141" s="62"/>
      <x:c r="G1141" s="66"/>
      <x:c r="H1141" s="68"/>
      <x:c r="I1141" s="68"/>
      <x:c r="J1141" s="68"/>
      <x:c r="K1141" s="68"/>
      <x:c r="L1141" s="70"/>
      <x:c r="M1141" s="64" t="str">
        <x:f>IF(A1141="","",IF(AND(E1141&lt;&gt;"",F1141&lt;&gt;"",ABS(H1141-I1141)&lt;=0.01,ABS(J1141-K1141)&lt;=0.01,L1141=1),"一致","检查"))</x:f>
      </x:c>
      <x:c r="N1141" s="64" t="str">
        <x:f>IF(A1141="","",IF(COUNTIF($A$5:$A$1204,A1141)&gt;1,"重复",""))</x:f>
      </x:c>
    </x:row>
    <x:row r="1142">
      <x:c r="A1142" s="62"/>
      <x:c r="B1142" s="62"/>
      <x:c r="C1142" s="62"/>
      <x:c r="D1142" s="62"/>
      <x:c r="E1142" s="62"/>
      <x:c r="F1142" s="62"/>
      <x:c r="G1142" s="66"/>
      <x:c r="H1142" s="68"/>
      <x:c r="I1142" s="68"/>
      <x:c r="J1142" s="68"/>
      <x:c r="K1142" s="68"/>
      <x:c r="L1142" s="70"/>
      <x:c r="M1142" s="64" t="str">
        <x:f>IF(A1142="","",IF(AND(E1142&lt;&gt;"",F1142&lt;&gt;"",ABS(H1142-I1142)&lt;=0.01,ABS(J1142-K1142)&lt;=0.01,L1142=1),"一致","检查"))</x:f>
      </x:c>
      <x:c r="N1142" s="64" t="str">
        <x:f>IF(A1142="","",IF(COUNTIF($A$5:$A$1204,A1142)&gt;1,"重复",""))</x:f>
      </x:c>
    </x:row>
    <x:row r="1143">
      <x:c r="A1143" s="62"/>
      <x:c r="B1143" s="62"/>
      <x:c r="C1143" s="62"/>
      <x:c r="D1143" s="62"/>
      <x:c r="E1143" s="62"/>
      <x:c r="F1143" s="62"/>
      <x:c r="G1143" s="66"/>
      <x:c r="H1143" s="68"/>
      <x:c r="I1143" s="68"/>
      <x:c r="J1143" s="68"/>
      <x:c r="K1143" s="68"/>
      <x:c r="L1143" s="70"/>
      <x:c r="M1143" s="64" t="str">
        <x:f>IF(A1143="","",IF(AND(E1143&lt;&gt;"",F1143&lt;&gt;"",ABS(H1143-I1143)&lt;=0.01,ABS(J1143-K1143)&lt;=0.01,L1143=1),"一致","检查"))</x:f>
      </x:c>
      <x:c r="N1143" s="64" t="str">
        <x:f>IF(A1143="","",IF(COUNTIF($A$5:$A$1204,A1143)&gt;1,"重复",""))</x:f>
      </x:c>
    </x:row>
    <x:row r="1144">
      <x:c r="A1144" s="62"/>
      <x:c r="B1144" s="62"/>
      <x:c r="C1144" s="62"/>
      <x:c r="D1144" s="62"/>
      <x:c r="E1144" s="62"/>
      <x:c r="F1144" s="62"/>
      <x:c r="G1144" s="66"/>
      <x:c r="H1144" s="68"/>
      <x:c r="I1144" s="68"/>
      <x:c r="J1144" s="68"/>
      <x:c r="K1144" s="68"/>
      <x:c r="L1144" s="70"/>
      <x:c r="M1144" s="64" t="str">
        <x:f>IF(A1144="","",IF(AND(E1144&lt;&gt;"",F1144&lt;&gt;"",ABS(H1144-I1144)&lt;=0.01,ABS(J1144-K1144)&lt;=0.01,L1144=1),"一致","检查"))</x:f>
      </x:c>
      <x:c r="N1144" s="64" t="str">
        <x:f>IF(A1144="","",IF(COUNTIF($A$5:$A$1204,A1144)&gt;1,"重复",""))</x:f>
      </x:c>
    </x:row>
    <x:row r="1145">
      <x:c r="A1145" s="62"/>
      <x:c r="B1145" s="62"/>
      <x:c r="C1145" s="62"/>
      <x:c r="D1145" s="62"/>
      <x:c r="E1145" s="62"/>
      <x:c r="F1145" s="62"/>
      <x:c r="G1145" s="66"/>
      <x:c r="H1145" s="68"/>
      <x:c r="I1145" s="68"/>
      <x:c r="J1145" s="68"/>
      <x:c r="K1145" s="68"/>
      <x:c r="L1145" s="70"/>
      <x:c r="M1145" s="64" t="str">
        <x:f>IF(A1145="","",IF(AND(E1145&lt;&gt;"",F1145&lt;&gt;"",ABS(H1145-I1145)&lt;=0.01,ABS(J1145-K1145)&lt;=0.01,L1145=1),"一致","检查"))</x:f>
      </x:c>
      <x:c r="N1145" s="64" t="str">
        <x:f>IF(A1145="","",IF(COUNTIF($A$5:$A$1204,A1145)&gt;1,"重复",""))</x:f>
      </x:c>
    </x:row>
    <x:row r="1146">
      <x:c r="A1146" s="62"/>
      <x:c r="B1146" s="62"/>
      <x:c r="C1146" s="62"/>
      <x:c r="D1146" s="62"/>
      <x:c r="E1146" s="62"/>
      <x:c r="F1146" s="62"/>
      <x:c r="G1146" s="66"/>
      <x:c r="H1146" s="68"/>
      <x:c r="I1146" s="68"/>
      <x:c r="J1146" s="68"/>
      <x:c r="K1146" s="68"/>
      <x:c r="L1146" s="70"/>
      <x:c r="M1146" s="64" t="str">
        <x:f>IF(A1146="","",IF(AND(E1146&lt;&gt;"",F1146&lt;&gt;"",ABS(H1146-I1146)&lt;=0.01,ABS(J1146-K1146)&lt;=0.01,L1146=1),"一致","检查"))</x:f>
      </x:c>
      <x:c r="N1146" s="64" t="str">
        <x:f>IF(A1146="","",IF(COUNTIF($A$5:$A$1204,A1146)&gt;1,"重复",""))</x:f>
      </x:c>
    </x:row>
    <x:row r="1147">
      <x:c r="A1147" s="62"/>
      <x:c r="B1147" s="62"/>
      <x:c r="C1147" s="62"/>
      <x:c r="D1147" s="62"/>
      <x:c r="E1147" s="62"/>
      <x:c r="F1147" s="62"/>
      <x:c r="G1147" s="66"/>
      <x:c r="H1147" s="68"/>
      <x:c r="I1147" s="68"/>
      <x:c r="J1147" s="68"/>
      <x:c r="K1147" s="68"/>
      <x:c r="L1147" s="70"/>
      <x:c r="M1147" s="64" t="str">
        <x:f>IF(A1147="","",IF(AND(E1147&lt;&gt;"",F1147&lt;&gt;"",ABS(H1147-I1147)&lt;=0.01,ABS(J1147-K1147)&lt;=0.01,L1147=1),"一致","检查"))</x:f>
      </x:c>
      <x:c r="N1147" s="64" t="str">
        <x:f>IF(A1147="","",IF(COUNTIF($A$5:$A$1204,A1147)&gt;1,"重复",""))</x:f>
      </x:c>
    </x:row>
    <x:row r="1148">
      <x:c r="A1148" s="62"/>
      <x:c r="B1148" s="62"/>
      <x:c r="C1148" s="62"/>
      <x:c r="D1148" s="62"/>
      <x:c r="E1148" s="62"/>
      <x:c r="F1148" s="62"/>
      <x:c r="G1148" s="66"/>
      <x:c r="H1148" s="68"/>
      <x:c r="I1148" s="68"/>
      <x:c r="J1148" s="68"/>
      <x:c r="K1148" s="68"/>
      <x:c r="L1148" s="70"/>
      <x:c r="M1148" s="64" t="str">
        <x:f>IF(A1148="","",IF(AND(E1148&lt;&gt;"",F1148&lt;&gt;"",ABS(H1148-I1148)&lt;=0.01,ABS(J1148-K1148)&lt;=0.01,L1148=1),"一致","检查"))</x:f>
      </x:c>
      <x:c r="N1148" s="64" t="str">
        <x:f>IF(A1148="","",IF(COUNTIF($A$5:$A$1204,A1148)&gt;1,"重复",""))</x:f>
      </x:c>
    </x:row>
    <x:row r="1149">
      <x:c r="A1149" s="62"/>
      <x:c r="B1149" s="62"/>
      <x:c r="C1149" s="62"/>
      <x:c r="D1149" s="62"/>
      <x:c r="E1149" s="62"/>
      <x:c r="F1149" s="62"/>
      <x:c r="G1149" s="66"/>
      <x:c r="H1149" s="68"/>
      <x:c r="I1149" s="68"/>
      <x:c r="J1149" s="68"/>
      <x:c r="K1149" s="68"/>
      <x:c r="L1149" s="70"/>
      <x:c r="M1149" s="64" t="str">
        <x:f>IF(A1149="","",IF(AND(E1149&lt;&gt;"",F1149&lt;&gt;"",ABS(H1149-I1149)&lt;=0.01,ABS(J1149-K1149)&lt;=0.01,L1149=1),"一致","检查"))</x:f>
      </x:c>
      <x:c r="N1149" s="64" t="str">
        <x:f>IF(A1149="","",IF(COUNTIF($A$5:$A$1204,A1149)&gt;1,"重复",""))</x:f>
      </x:c>
    </x:row>
    <x:row r="1150">
      <x:c r="A1150" s="62"/>
      <x:c r="B1150" s="62"/>
      <x:c r="C1150" s="62"/>
      <x:c r="D1150" s="62"/>
      <x:c r="E1150" s="62"/>
      <x:c r="F1150" s="62"/>
      <x:c r="G1150" s="66"/>
      <x:c r="H1150" s="68"/>
      <x:c r="I1150" s="68"/>
      <x:c r="J1150" s="68"/>
      <x:c r="K1150" s="68"/>
      <x:c r="L1150" s="70"/>
      <x:c r="M1150" s="64" t="str">
        <x:f>IF(A1150="","",IF(AND(E1150&lt;&gt;"",F1150&lt;&gt;"",ABS(H1150-I1150)&lt;=0.01,ABS(J1150-K1150)&lt;=0.01,L1150=1),"一致","检查"))</x:f>
      </x:c>
      <x:c r="N1150" s="64" t="str">
        <x:f>IF(A1150="","",IF(COUNTIF($A$5:$A$1204,A1150)&gt;1,"重复",""))</x:f>
      </x:c>
    </x:row>
    <x:row r="1151">
      <x:c r="A1151" s="62"/>
      <x:c r="B1151" s="62"/>
      <x:c r="C1151" s="62"/>
      <x:c r="D1151" s="62"/>
      <x:c r="E1151" s="62"/>
      <x:c r="F1151" s="62"/>
      <x:c r="G1151" s="66"/>
      <x:c r="H1151" s="68"/>
      <x:c r="I1151" s="68"/>
      <x:c r="J1151" s="68"/>
      <x:c r="K1151" s="68"/>
      <x:c r="L1151" s="70"/>
      <x:c r="M1151" s="64" t="str">
        <x:f>IF(A1151="","",IF(AND(E1151&lt;&gt;"",F1151&lt;&gt;"",ABS(H1151-I1151)&lt;=0.01,ABS(J1151-K1151)&lt;=0.01,L1151=1),"一致","检查"))</x:f>
      </x:c>
      <x:c r="N1151" s="64" t="str">
        <x:f>IF(A1151="","",IF(COUNTIF($A$5:$A$1204,A1151)&gt;1,"重复",""))</x:f>
      </x:c>
    </x:row>
    <x:row r="1152">
      <x:c r="A1152" s="62"/>
      <x:c r="B1152" s="62"/>
      <x:c r="C1152" s="62"/>
      <x:c r="D1152" s="62"/>
      <x:c r="E1152" s="62"/>
      <x:c r="F1152" s="62"/>
      <x:c r="G1152" s="66"/>
      <x:c r="H1152" s="68"/>
      <x:c r="I1152" s="68"/>
      <x:c r="J1152" s="68"/>
      <x:c r="K1152" s="68"/>
      <x:c r="L1152" s="70"/>
      <x:c r="M1152" s="64" t="str">
        <x:f>IF(A1152="","",IF(AND(E1152&lt;&gt;"",F1152&lt;&gt;"",ABS(H1152-I1152)&lt;=0.01,ABS(J1152-K1152)&lt;=0.01,L1152=1),"一致","检查"))</x:f>
      </x:c>
      <x:c r="N1152" s="64" t="str">
        <x:f>IF(A1152="","",IF(COUNTIF($A$5:$A$1204,A1152)&gt;1,"重复",""))</x:f>
      </x:c>
    </x:row>
    <x:row r="1153">
      <x:c r="A1153" s="62"/>
      <x:c r="B1153" s="62"/>
      <x:c r="C1153" s="62"/>
      <x:c r="D1153" s="62"/>
      <x:c r="E1153" s="62"/>
      <x:c r="F1153" s="62"/>
      <x:c r="G1153" s="66"/>
      <x:c r="H1153" s="68"/>
      <x:c r="I1153" s="68"/>
      <x:c r="J1153" s="68"/>
      <x:c r="K1153" s="68"/>
      <x:c r="L1153" s="70"/>
      <x:c r="M1153" s="64" t="str">
        <x:f>IF(A1153="","",IF(AND(E1153&lt;&gt;"",F1153&lt;&gt;"",ABS(H1153-I1153)&lt;=0.01,ABS(J1153-K1153)&lt;=0.01,L1153=1),"一致","检查"))</x:f>
      </x:c>
      <x:c r="N1153" s="64" t="str">
        <x:f>IF(A1153="","",IF(COUNTIF($A$5:$A$1204,A1153)&gt;1,"重复",""))</x:f>
      </x:c>
    </x:row>
    <x:row r="1154">
      <x:c r="A1154" s="62"/>
      <x:c r="B1154" s="62"/>
      <x:c r="C1154" s="62"/>
      <x:c r="D1154" s="62"/>
      <x:c r="E1154" s="62"/>
      <x:c r="F1154" s="62"/>
      <x:c r="G1154" s="66"/>
      <x:c r="H1154" s="68"/>
      <x:c r="I1154" s="68"/>
      <x:c r="J1154" s="68"/>
      <x:c r="K1154" s="68"/>
      <x:c r="L1154" s="70"/>
      <x:c r="M1154" s="64" t="str">
        <x:f>IF(A1154="","",IF(AND(E1154&lt;&gt;"",F1154&lt;&gt;"",ABS(H1154-I1154)&lt;=0.01,ABS(J1154-K1154)&lt;=0.01,L1154=1),"一致","检查"))</x:f>
      </x:c>
      <x:c r="N1154" s="64" t="str">
        <x:f>IF(A1154="","",IF(COUNTIF($A$5:$A$1204,A1154)&gt;1,"重复",""))</x:f>
      </x:c>
    </x:row>
    <x:row r="1155">
      <x:c r="A1155" s="62"/>
      <x:c r="B1155" s="62"/>
      <x:c r="C1155" s="62"/>
      <x:c r="D1155" s="62"/>
      <x:c r="E1155" s="62"/>
      <x:c r="F1155" s="62"/>
      <x:c r="G1155" s="66"/>
      <x:c r="H1155" s="68"/>
      <x:c r="I1155" s="68"/>
      <x:c r="J1155" s="68"/>
      <x:c r="K1155" s="68"/>
      <x:c r="L1155" s="70"/>
      <x:c r="M1155" s="64" t="str">
        <x:f>IF(A1155="","",IF(AND(E1155&lt;&gt;"",F1155&lt;&gt;"",ABS(H1155-I1155)&lt;=0.01,ABS(J1155-K1155)&lt;=0.01,L1155=1),"一致","检查"))</x:f>
      </x:c>
      <x:c r="N1155" s="64" t="str">
        <x:f>IF(A1155="","",IF(COUNTIF($A$5:$A$1204,A1155)&gt;1,"重复",""))</x:f>
      </x:c>
    </x:row>
    <x:row r="1156">
      <x:c r="A1156" s="62"/>
      <x:c r="B1156" s="62"/>
      <x:c r="C1156" s="62"/>
      <x:c r="D1156" s="62"/>
      <x:c r="E1156" s="62"/>
      <x:c r="F1156" s="62"/>
      <x:c r="G1156" s="66"/>
      <x:c r="H1156" s="68"/>
      <x:c r="I1156" s="68"/>
      <x:c r="J1156" s="68"/>
      <x:c r="K1156" s="68"/>
      <x:c r="L1156" s="70"/>
      <x:c r="M1156" s="64" t="str">
        <x:f>IF(A1156="","",IF(AND(E1156&lt;&gt;"",F1156&lt;&gt;"",ABS(H1156-I1156)&lt;=0.01,ABS(J1156-K1156)&lt;=0.01,L1156=1),"一致","检查"))</x:f>
      </x:c>
      <x:c r="N1156" s="64" t="str">
        <x:f>IF(A1156="","",IF(COUNTIF($A$5:$A$1204,A1156)&gt;1,"重复",""))</x:f>
      </x:c>
    </x:row>
    <x:row r="1157">
      <x:c r="A1157" s="62"/>
      <x:c r="B1157" s="62"/>
      <x:c r="C1157" s="62"/>
      <x:c r="D1157" s="62"/>
      <x:c r="E1157" s="62"/>
      <x:c r="F1157" s="62"/>
      <x:c r="G1157" s="66"/>
      <x:c r="H1157" s="68"/>
      <x:c r="I1157" s="68"/>
      <x:c r="J1157" s="68"/>
      <x:c r="K1157" s="68"/>
      <x:c r="L1157" s="70"/>
      <x:c r="M1157" s="64" t="str">
        <x:f>IF(A1157="","",IF(AND(E1157&lt;&gt;"",F1157&lt;&gt;"",ABS(H1157-I1157)&lt;=0.01,ABS(J1157-K1157)&lt;=0.01,L1157=1),"一致","检查"))</x:f>
      </x:c>
      <x:c r="N1157" s="64" t="str">
        <x:f>IF(A1157="","",IF(COUNTIF($A$5:$A$1204,A1157)&gt;1,"重复",""))</x:f>
      </x:c>
    </x:row>
    <x:row r="1158">
      <x:c r="A1158" s="62"/>
      <x:c r="B1158" s="62"/>
      <x:c r="C1158" s="62"/>
      <x:c r="D1158" s="62"/>
      <x:c r="E1158" s="62"/>
      <x:c r="F1158" s="62"/>
      <x:c r="G1158" s="66"/>
      <x:c r="H1158" s="68"/>
      <x:c r="I1158" s="68"/>
      <x:c r="J1158" s="68"/>
      <x:c r="K1158" s="68"/>
      <x:c r="L1158" s="70"/>
      <x:c r="M1158" s="64" t="str">
        <x:f>IF(A1158="","",IF(AND(E1158&lt;&gt;"",F1158&lt;&gt;"",ABS(H1158-I1158)&lt;=0.01,ABS(J1158-K1158)&lt;=0.01,L1158=1),"一致","检查"))</x:f>
      </x:c>
      <x:c r="N1158" s="64" t="str">
        <x:f>IF(A1158="","",IF(COUNTIF($A$5:$A$1204,A1158)&gt;1,"重复",""))</x:f>
      </x:c>
    </x:row>
    <x:row r="1159">
      <x:c r="A1159" s="62"/>
      <x:c r="B1159" s="62"/>
      <x:c r="C1159" s="62"/>
      <x:c r="D1159" s="62"/>
      <x:c r="E1159" s="62"/>
      <x:c r="F1159" s="62"/>
      <x:c r="G1159" s="66"/>
      <x:c r="H1159" s="68"/>
      <x:c r="I1159" s="68"/>
      <x:c r="J1159" s="68"/>
      <x:c r="K1159" s="68"/>
      <x:c r="L1159" s="70"/>
      <x:c r="M1159" s="64" t="str">
        <x:f>IF(A1159="","",IF(AND(E1159&lt;&gt;"",F1159&lt;&gt;"",ABS(H1159-I1159)&lt;=0.01,ABS(J1159-K1159)&lt;=0.01,L1159=1),"一致","检查"))</x:f>
      </x:c>
      <x:c r="N1159" s="64" t="str">
        <x:f>IF(A1159="","",IF(COUNTIF($A$5:$A$1204,A1159)&gt;1,"重复",""))</x:f>
      </x:c>
    </x:row>
    <x:row r="1160">
      <x:c r="A1160" s="62"/>
      <x:c r="B1160" s="62"/>
      <x:c r="C1160" s="62"/>
      <x:c r="D1160" s="62"/>
      <x:c r="E1160" s="62"/>
      <x:c r="F1160" s="62"/>
      <x:c r="G1160" s="66"/>
      <x:c r="H1160" s="68"/>
      <x:c r="I1160" s="68"/>
      <x:c r="J1160" s="68"/>
      <x:c r="K1160" s="68"/>
      <x:c r="L1160" s="70"/>
      <x:c r="M1160" s="64" t="str">
        <x:f>IF(A1160="","",IF(AND(E1160&lt;&gt;"",F1160&lt;&gt;"",ABS(H1160-I1160)&lt;=0.01,ABS(J1160-K1160)&lt;=0.01,L1160=1),"一致","检查"))</x:f>
      </x:c>
      <x:c r="N1160" s="64" t="str">
        <x:f>IF(A1160="","",IF(COUNTIF($A$5:$A$1204,A1160)&gt;1,"重复",""))</x:f>
      </x:c>
    </x:row>
    <x:row r="1161">
      <x:c r="A1161" s="62"/>
      <x:c r="B1161" s="62"/>
      <x:c r="C1161" s="62"/>
      <x:c r="D1161" s="62"/>
      <x:c r="E1161" s="62"/>
      <x:c r="F1161" s="62"/>
      <x:c r="G1161" s="66"/>
      <x:c r="H1161" s="68"/>
      <x:c r="I1161" s="68"/>
      <x:c r="J1161" s="68"/>
      <x:c r="K1161" s="68"/>
      <x:c r="L1161" s="70"/>
      <x:c r="M1161" s="64" t="str">
        <x:f>IF(A1161="","",IF(AND(E1161&lt;&gt;"",F1161&lt;&gt;"",ABS(H1161-I1161)&lt;=0.01,ABS(J1161-K1161)&lt;=0.01,L1161=1),"一致","检查"))</x:f>
      </x:c>
      <x:c r="N1161" s="64" t="str">
        <x:f>IF(A1161="","",IF(COUNTIF($A$5:$A$1204,A1161)&gt;1,"重复",""))</x:f>
      </x:c>
    </x:row>
    <x:row r="1162">
      <x:c r="A1162" s="62"/>
      <x:c r="B1162" s="62"/>
      <x:c r="C1162" s="62"/>
      <x:c r="D1162" s="62"/>
      <x:c r="E1162" s="62"/>
      <x:c r="F1162" s="62"/>
      <x:c r="G1162" s="66"/>
      <x:c r="H1162" s="68"/>
      <x:c r="I1162" s="68"/>
      <x:c r="J1162" s="68"/>
      <x:c r="K1162" s="68"/>
      <x:c r="L1162" s="70"/>
      <x:c r="M1162" s="64" t="str">
        <x:f>IF(A1162="","",IF(AND(E1162&lt;&gt;"",F1162&lt;&gt;"",ABS(H1162-I1162)&lt;=0.01,ABS(J1162-K1162)&lt;=0.01,L1162=1),"一致","检查"))</x:f>
      </x:c>
      <x:c r="N1162" s="64" t="str">
        <x:f>IF(A1162="","",IF(COUNTIF($A$5:$A$1204,A1162)&gt;1,"重复",""))</x:f>
      </x:c>
    </x:row>
    <x:row r="1163">
      <x:c r="A1163" s="62"/>
      <x:c r="B1163" s="62"/>
      <x:c r="C1163" s="62"/>
      <x:c r="D1163" s="62"/>
      <x:c r="E1163" s="62"/>
      <x:c r="F1163" s="62"/>
      <x:c r="G1163" s="66"/>
      <x:c r="H1163" s="68"/>
      <x:c r="I1163" s="68"/>
      <x:c r="J1163" s="68"/>
      <x:c r="K1163" s="68"/>
      <x:c r="L1163" s="70"/>
      <x:c r="M1163" s="64" t="str">
        <x:f>IF(A1163="","",IF(AND(E1163&lt;&gt;"",F1163&lt;&gt;"",ABS(H1163-I1163)&lt;=0.01,ABS(J1163-K1163)&lt;=0.01,L1163=1),"一致","检查"))</x:f>
      </x:c>
      <x:c r="N1163" s="64" t="str">
        <x:f>IF(A1163="","",IF(COUNTIF($A$5:$A$1204,A1163)&gt;1,"重复",""))</x:f>
      </x:c>
    </x:row>
    <x:row r="1164">
      <x:c r="A1164" s="62"/>
      <x:c r="B1164" s="62"/>
      <x:c r="C1164" s="62"/>
      <x:c r="D1164" s="62"/>
      <x:c r="E1164" s="62"/>
      <x:c r="F1164" s="62"/>
      <x:c r="G1164" s="66"/>
      <x:c r="H1164" s="68"/>
      <x:c r="I1164" s="68"/>
      <x:c r="J1164" s="68"/>
      <x:c r="K1164" s="68"/>
      <x:c r="L1164" s="70"/>
      <x:c r="M1164" s="64" t="str">
        <x:f>IF(A1164="","",IF(AND(E1164&lt;&gt;"",F1164&lt;&gt;"",ABS(H1164-I1164)&lt;=0.01,ABS(J1164-K1164)&lt;=0.01,L1164=1),"一致","检查"))</x:f>
      </x:c>
      <x:c r="N1164" s="64" t="str">
        <x:f>IF(A1164="","",IF(COUNTIF($A$5:$A$1204,A1164)&gt;1,"重复",""))</x:f>
      </x:c>
    </x:row>
    <x:row r="1165">
      <x:c r="A1165" s="62"/>
      <x:c r="B1165" s="62"/>
      <x:c r="C1165" s="62"/>
      <x:c r="D1165" s="62"/>
      <x:c r="E1165" s="62"/>
      <x:c r="F1165" s="62"/>
      <x:c r="G1165" s="66"/>
      <x:c r="H1165" s="68"/>
      <x:c r="I1165" s="68"/>
      <x:c r="J1165" s="68"/>
      <x:c r="K1165" s="68"/>
      <x:c r="L1165" s="70"/>
      <x:c r="M1165" s="64" t="str">
        <x:f>IF(A1165="","",IF(AND(E1165&lt;&gt;"",F1165&lt;&gt;"",ABS(H1165-I1165)&lt;=0.01,ABS(J1165-K1165)&lt;=0.01,L1165=1),"一致","检查"))</x:f>
      </x:c>
      <x:c r="N1165" s="64" t="str">
        <x:f>IF(A1165="","",IF(COUNTIF($A$5:$A$1204,A1165)&gt;1,"重复",""))</x:f>
      </x:c>
    </x:row>
    <x:row r="1166">
      <x:c r="A1166" s="62"/>
      <x:c r="B1166" s="62"/>
      <x:c r="C1166" s="62"/>
      <x:c r="D1166" s="62"/>
      <x:c r="E1166" s="62"/>
      <x:c r="F1166" s="62"/>
      <x:c r="G1166" s="66"/>
      <x:c r="H1166" s="68"/>
      <x:c r="I1166" s="68"/>
      <x:c r="J1166" s="68"/>
      <x:c r="K1166" s="68"/>
      <x:c r="L1166" s="70"/>
      <x:c r="M1166" s="64" t="str">
        <x:f>IF(A1166="","",IF(AND(E1166&lt;&gt;"",F1166&lt;&gt;"",ABS(H1166-I1166)&lt;=0.01,ABS(J1166-K1166)&lt;=0.01,L1166=1),"一致","检查"))</x:f>
      </x:c>
      <x:c r="N1166" s="64" t="str">
        <x:f>IF(A1166="","",IF(COUNTIF($A$5:$A$1204,A1166)&gt;1,"重复",""))</x:f>
      </x:c>
    </x:row>
    <x:row r="1167">
      <x:c r="A1167" s="62"/>
      <x:c r="B1167" s="62"/>
      <x:c r="C1167" s="62"/>
      <x:c r="D1167" s="62"/>
      <x:c r="E1167" s="62"/>
      <x:c r="F1167" s="62"/>
      <x:c r="G1167" s="66"/>
      <x:c r="H1167" s="68"/>
      <x:c r="I1167" s="68"/>
      <x:c r="J1167" s="68"/>
      <x:c r="K1167" s="68"/>
      <x:c r="L1167" s="70"/>
      <x:c r="M1167" s="64" t="str">
        <x:f>IF(A1167="","",IF(AND(E1167&lt;&gt;"",F1167&lt;&gt;"",ABS(H1167-I1167)&lt;=0.01,ABS(J1167-K1167)&lt;=0.01,L1167=1),"一致","检查"))</x:f>
      </x:c>
      <x:c r="N1167" s="64" t="str">
        <x:f>IF(A1167="","",IF(COUNTIF($A$5:$A$1204,A1167)&gt;1,"重复",""))</x:f>
      </x:c>
    </x:row>
    <x:row r="1168">
      <x:c r="A1168" s="62"/>
      <x:c r="B1168" s="62"/>
      <x:c r="C1168" s="62"/>
      <x:c r="D1168" s="62"/>
      <x:c r="E1168" s="62"/>
      <x:c r="F1168" s="62"/>
      <x:c r="G1168" s="66"/>
      <x:c r="H1168" s="68"/>
      <x:c r="I1168" s="68"/>
      <x:c r="J1168" s="68"/>
      <x:c r="K1168" s="68"/>
      <x:c r="L1168" s="70"/>
      <x:c r="M1168" s="64" t="str">
        <x:f>IF(A1168="","",IF(AND(E1168&lt;&gt;"",F1168&lt;&gt;"",ABS(H1168-I1168)&lt;=0.01,ABS(J1168-K1168)&lt;=0.01,L1168=1),"一致","检查"))</x:f>
      </x:c>
      <x:c r="N1168" s="64" t="str">
        <x:f>IF(A1168="","",IF(COUNTIF($A$5:$A$1204,A1168)&gt;1,"重复",""))</x:f>
      </x:c>
    </x:row>
    <x:row r="1169">
      <x:c r="A1169" s="62"/>
      <x:c r="B1169" s="62"/>
      <x:c r="C1169" s="62"/>
      <x:c r="D1169" s="62"/>
      <x:c r="E1169" s="62"/>
      <x:c r="F1169" s="62"/>
      <x:c r="G1169" s="66"/>
      <x:c r="H1169" s="68"/>
      <x:c r="I1169" s="68"/>
      <x:c r="J1169" s="68"/>
      <x:c r="K1169" s="68"/>
      <x:c r="L1169" s="70"/>
      <x:c r="M1169" s="64" t="str">
        <x:f>IF(A1169="","",IF(AND(E1169&lt;&gt;"",F1169&lt;&gt;"",ABS(H1169-I1169)&lt;=0.01,ABS(J1169-K1169)&lt;=0.01,L1169=1),"一致","检查"))</x:f>
      </x:c>
      <x:c r="N1169" s="64" t="str">
        <x:f>IF(A1169="","",IF(COUNTIF($A$5:$A$1204,A1169)&gt;1,"重复",""))</x:f>
      </x:c>
    </x:row>
    <x:row r="1170">
      <x:c r="A1170" s="62"/>
      <x:c r="B1170" s="62"/>
      <x:c r="C1170" s="62"/>
      <x:c r="D1170" s="62"/>
      <x:c r="E1170" s="62"/>
      <x:c r="F1170" s="62"/>
      <x:c r="G1170" s="66"/>
      <x:c r="H1170" s="68"/>
      <x:c r="I1170" s="68"/>
      <x:c r="J1170" s="68"/>
      <x:c r="K1170" s="68"/>
      <x:c r="L1170" s="70"/>
      <x:c r="M1170" s="64" t="str">
        <x:f>IF(A1170="","",IF(AND(E1170&lt;&gt;"",F1170&lt;&gt;"",ABS(H1170-I1170)&lt;=0.01,ABS(J1170-K1170)&lt;=0.01,L1170=1),"一致","检查"))</x:f>
      </x:c>
      <x:c r="N1170" s="64" t="str">
        <x:f>IF(A1170="","",IF(COUNTIF($A$5:$A$1204,A1170)&gt;1,"重复",""))</x:f>
      </x:c>
    </x:row>
    <x:row r="1171">
      <x:c r="A1171" s="62"/>
      <x:c r="B1171" s="62"/>
      <x:c r="C1171" s="62"/>
      <x:c r="D1171" s="62"/>
      <x:c r="E1171" s="62"/>
      <x:c r="F1171" s="62"/>
      <x:c r="G1171" s="66"/>
      <x:c r="H1171" s="68"/>
      <x:c r="I1171" s="68"/>
      <x:c r="J1171" s="68"/>
      <x:c r="K1171" s="68"/>
      <x:c r="L1171" s="70"/>
      <x:c r="M1171" s="64" t="str">
        <x:f>IF(A1171="","",IF(AND(E1171&lt;&gt;"",F1171&lt;&gt;"",ABS(H1171-I1171)&lt;=0.01,ABS(J1171-K1171)&lt;=0.01,L1171=1),"一致","检查"))</x:f>
      </x:c>
      <x:c r="N1171" s="64" t="str">
        <x:f>IF(A1171="","",IF(COUNTIF($A$5:$A$1204,A1171)&gt;1,"重复",""))</x:f>
      </x:c>
    </x:row>
    <x:row r="1172">
      <x:c r="A1172" s="62"/>
      <x:c r="B1172" s="62"/>
      <x:c r="C1172" s="62"/>
      <x:c r="D1172" s="62"/>
      <x:c r="E1172" s="62"/>
      <x:c r="F1172" s="62"/>
      <x:c r="G1172" s="66"/>
      <x:c r="H1172" s="68"/>
      <x:c r="I1172" s="68"/>
      <x:c r="J1172" s="68"/>
      <x:c r="K1172" s="68"/>
      <x:c r="L1172" s="70"/>
      <x:c r="M1172" s="64" t="str">
        <x:f>IF(A1172="","",IF(AND(E1172&lt;&gt;"",F1172&lt;&gt;"",ABS(H1172-I1172)&lt;=0.01,ABS(J1172-K1172)&lt;=0.01,L1172=1),"一致","检查"))</x:f>
      </x:c>
      <x:c r="N1172" s="64" t="str">
        <x:f>IF(A1172="","",IF(COUNTIF($A$5:$A$1204,A1172)&gt;1,"重复",""))</x:f>
      </x:c>
    </x:row>
    <x:row r="1173">
      <x:c r="A1173" s="62"/>
      <x:c r="B1173" s="62"/>
      <x:c r="C1173" s="62"/>
      <x:c r="D1173" s="62"/>
      <x:c r="E1173" s="62"/>
      <x:c r="F1173" s="62"/>
      <x:c r="G1173" s="66"/>
      <x:c r="H1173" s="68"/>
      <x:c r="I1173" s="68"/>
      <x:c r="J1173" s="68"/>
      <x:c r="K1173" s="68"/>
      <x:c r="L1173" s="70"/>
      <x:c r="M1173" s="64" t="str">
        <x:f>IF(A1173="","",IF(AND(E1173&lt;&gt;"",F1173&lt;&gt;"",ABS(H1173-I1173)&lt;=0.01,ABS(J1173-K1173)&lt;=0.01,L1173=1),"一致","检查"))</x:f>
      </x:c>
      <x:c r="N1173" s="64" t="str">
        <x:f>IF(A1173="","",IF(COUNTIF($A$5:$A$1204,A1173)&gt;1,"重复",""))</x:f>
      </x:c>
    </x:row>
    <x:row r="1174">
      <x:c r="A1174" s="62"/>
      <x:c r="B1174" s="62"/>
      <x:c r="C1174" s="62"/>
      <x:c r="D1174" s="62"/>
      <x:c r="E1174" s="62"/>
      <x:c r="F1174" s="62"/>
      <x:c r="G1174" s="66"/>
      <x:c r="H1174" s="68"/>
      <x:c r="I1174" s="68"/>
      <x:c r="J1174" s="68"/>
      <x:c r="K1174" s="68"/>
      <x:c r="L1174" s="70"/>
      <x:c r="M1174" s="64" t="str">
        <x:f>IF(A1174="","",IF(AND(E1174&lt;&gt;"",F1174&lt;&gt;"",ABS(H1174-I1174)&lt;=0.01,ABS(J1174-K1174)&lt;=0.01,L1174=1),"一致","检查"))</x:f>
      </x:c>
      <x:c r="N1174" s="64" t="str">
        <x:f>IF(A1174="","",IF(COUNTIF($A$5:$A$1204,A1174)&gt;1,"重复",""))</x:f>
      </x:c>
    </x:row>
    <x:row r="1175">
      <x:c r="A1175" s="62"/>
      <x:c r="B1175" s="62"/>
      <x:c r="C1175" s="62"/>
      <x:c r="D1175" s="62"/>
      <x:c r="E1175" s="62"/>
      <x:c r="F1175" s="62"/>
      <x:c r="G1175" s="66"/>
      <x:c r="H1175" s="68"/>
      <x:c r="I1175" s="68"/>
      <x:c r="J1175" s="68"/>
      <x:c r="K1175" s="68"/>
      <x:c r="L1175" s="70"/>
      <x:c r="M1175" s="64" t="str">
        <x:f>IF(A1175="","",IF(AND(E1175&lt;&gt;"",F1175&lt;&gt;"",ABS(H1175-I1175)&lt;=0.01,ABS(J1175-K1175)&lt;=0.01,L1175=1),"一致","检查"))</x:f>
      </x:c>
      <x:c r="N1175" s="64" t="str">
        <x:f>IF(A1175="","",IF(COUNTIF($A$5:$A$1204,A1175)&gt;1,"重复",""))</x:f>
      </x:c>
    </x:row>
    <x:row r="1176">
      <x:c r="A1176" s="62"/>
      <x:c r="B1176" s="62"/>
      <x:c r="C1176" s="62"/>
      <x:c r="D1176" s="62"/>
      <x:c r="E1176" s="62"/>
      <x:c r="F1176" s="62"/>
      <x:c r="G1176" s="66"/>
      <x:c r="H1176" s="68"/>
      <x:c r="I1176" s="68"/>
      <x:c r="J1176" s="68"/>
      <x:c r="K1176" s="68"/>
      <x:c r="L1176" s="70"/>
      <x:c r="M1176" s="64" t="str">
        <x:f>IF(A1176="","",IF(AND(E1176&lt;&gt;"",F1176&lt;&gt;"",ABS(H1176-I1176)&lt;=0.01,ABS(J1176-K1176)&lt;=0.01,L1176=1),"一致","检查"))</x:f>
      </x:c>
      <x:c r="N1176" s="64" t="str">
        <x:f>IF(A1176="","",IF(COUNTIF($A$5:$A$1204,A1176)&gt;1,"重复",""))</x:f>
      </x:c>
    </x:row>
    <x:row r="1177">
      <x:c r="A1177" s="62"/>
      <x:c r="B1177" s="62"/>
      <x:c r="C1177" s="62"/>
      <x:c r="D1177" s="62"/>
      <x:c r="E1177" s="62"/>
      <x:c r="F1177" s="62"/>
      <x:c r="G1177" s="66"/>
      <x:c r="H1177" s="68"/>
      <x:c r="I1177" s="68"/>
      <x:c r="J1177" s="68"/>
      <x:c r="K1177" s="68"/>
      <x:c r="L1177" s="70"/>
      <x:c r="M1177" s="64" t="str">
        <x:f>IF(A1177="","",IF(AND(E1177&lt;&gt;"",F1177&lt;&gt;"",ABS(H1177-I1177)&lt;=0.01,ABS(J1177-K1177)&lt;=0.01,L1177=1),"一致","检查"))</x:f>
      </x:c>
      <x:c r="N1177" s="64" t="str">
        <x:f>IF(A1177="","",IF(COUNTIF($A$5:$A$1204,A1177)&gt;1,"重复",""))</x:f>
      </x:c>
    </x:row>
    <x:row r="1178">
      <x:c r="A1178" s="62"/>
      <x:c r="B1178" s="62"/>
      <x:c r="C1178" s="62"/>
      <x:c r="D1178" s="62"/>
      <x:c r="E1178" s="62"/>
      <x:c r="F1178" s="62"/>
      <x:c r="G1178" s="66"/>
      <x:c r="H1178" s="68"/>
      <x:c r="I1178" s="68"/>
      <x:c r="J1178" s="68"/>
      <x:c r="K1178" s="68"/>
      <x:c r="L1178" s="70"/>
      <x:c r="M1178" s="64" t="str">
        <x:f>IF(A1178="","",IF(AND(E1178&lt;&gt;"",F1178&lt;&gt;"",ABS(H1178-I1178)&lt;=0.01,ABS(J1178-K1178)&lt;=0.01,L1178=1),"一致","检查"))</x:f>
      </x:c>
      <x:c r="N1178" s="64" t="str">
        <x:f>IF(A1178="","",IF(COUNTIF($A$5:$A$1204,A1178)&gt;1,"重复",""))</x:f>
      </x:c>
    </x:row>
    <x:row r="1179">
      <x:c r="A1179" s="62"/>
      <x:c r="B1179" s="62"/>
      <x:c r="C1179" s="62"/>
      <x:c r="D1179" s="62"/>
      <x:c r="E1179" s="62"/>
      <x:c r="F1179" s="62"/>
      <x:c r="G1179" s="66"/>
      <x:c r="H1179" s="68"/>
      <x:c r="I1179" s="68"/>
      <x:c r="J1179" s="68"/>
      <x:c r="K1179" s="68"/>
      <x:c r="L1179" s="70"/>
      <x:c r="M1179" s="64" t="str">
        <x:f>IF(A1179="","",IF(AND(E1179&lt;&gt;"",F1179&lt;&gt;"",ABS(H1179-I1179)&lt;=0.01,ABS(J1179-K1179)&lt;=0.01,L1179=1),"一致","检查"))</x:f>
      </x:c>
      <x:c r="N1179" s="64" t="str">
        <x:f>IF(A1179="","",IF(COUNTIF($A$5:$A$1204,A1179)&gt;1,"重复",""))</x:f>
      </x:c>
    </x:row>
    <x:row r="1180">
      <x:c r="A1180" s="62"/>
      <x:c r="B1180" s="62"/>
      <x:c r="C1180" s="62"/>
      <x:c r="D1180" s="62"/>
      <x:c r="E1180" s="62"/>
      <x:c r="F1180" s="62"/>
      <x:c r="G1180" s="66"/>
      <x:c r="H1180" s="68"/>
      <x:c r="I1180" s="68"/>
      <x:c r="J1180" s="68"/>
      <x:c r="K1180" s="68"/>
      <x:c r="L1180" s="70"/>
      <x:c r="M1180" s="64" t="str">
        <x:f>IF(A1180="","",IF(AND(E1180&lt;&gt;"",F1180&lt;&gt;"",ABS(H1180-I1180)&lt;=0.01,ABS(J1180-K1180)&lt;=0.01,L1180=1),"一致","检查"))</x:f>
      </x:c>
      <x:c r="N1180" s="64" t="str">
        <x:f>IF(A1180="","",IF(COUNTIF($A$5:$A$1204,A1180)&gt;1,"重复",""))</x:f>
      </x:c>
    </x:row>
    <x:row r="1181">
      <x:c r="A1181" s="62"/>
      <x:c r="B1181" s="62"/>
      <x:c r="C1181" s="62"/>
      <x:c r="D1181" s="62"/>
      <x:c r="E1181" s="62"/>
      <x:c r="F1181" s="62"/>
      <x:c r="G1181" s="66"/>
      <x:c r="H1181" s="68"/>
      <x:c r="I1181" s="68"/>
      <x:c r="J1181" s="68"/>
      <x:c r="K1181" s="68"/>
      <x:c r="L1181" s="70"/>
      <x:c r="M1181" s="64" t="str">
        <x:f>IF(A1181="","",IF(AND(E1181&lt;&gt;"",F1181&lt;&gt;"",ABS(H1181-I1181)&lt;=0.01,ABS(J1181-K1181)&lt;=0.01,L1181=1),"一致","检查"))</x:f>
      </x:c>
      <x:c r="N1181" s="64" t="str">
        <x:f>IF(A1181="","",IF(COUNTIF($A$5:$A$1204,A1181)&gt;1,"重复",""))</x:f>
      </x:c>
    </x:row>
    <x:row r="1182">
      <x:c r="A1182" s="62"/>
      <x:c r="B1182" s="62"/>
      <x:c r="C1182" s="62"/>
      <x:c r="D1182" s="62"/>
      <x:c r="E1182" s="62"/>
      <x:c r="F1182" s="62"/>
      <x:c r="G1182" s="66"/>
      <x:c r="H1182" s="68"/>
      <x:c r="I1182" s="68"/>
      <x:c r="J1182" s="68"/>
      <x:c r="K1182" s="68"/>
      <x:c r="L1182" s="70"/>
      <x:c r="M1182" s="64" t="str">
        <x:f>IF(A1182="","",IF(AND(E1182&lt;&gt;"",F1182&lt;&gt;"",ABS(H1182-I1182)&lt;=0.01,ABS(J1182-K1182)&lt;=0.01,L1182=1),"一致","检查"))</x:f>
      </x:c>
      <x:c r="N1182" s="64" t="str">
        <x:f>IF(A1182="","",IF(COUNTIF($A$5:$A$1204,A1182)&gt;1,"重复",""))</x:f>
      </x:c>
    </x:row>
    <x:row r="1183">
      <x:c r="A1183" s="62"/>
      <x:c r="B1183" s="62"/>
      <x:c r="C1183" s="62"/>
      <x:c r="D1183" s="62"/>
      <x:c r="E1183" s="62"/>
      <x:c r="F1183" s="62"/>
      <x:c r="G1183" s="66"/>
      <x:c r="H1183" s="68"/>
      <x:c r="I1183" s="68"/>
      <x:c r="J1183" s="68"/>
      <x:c r="K1183" s="68"/>
      <x:c r="L1183" s="70"/>
      <x:c r="M1183" s="64" t="str">
        <x:f>IF(A1183="","",IF(AND(E1183&lt;&gt;"",F1183&lt;&gt;"",ABS(H1183-I1183)&lt;=0.01,ABS(J1183-K1183)&lt;=0.01,L1183=1),"一致","检查"))</x:f>
      </x:c>
      <x:c r="N1183" s="64" t="str">
        <x:f>IF(A1183="","",IF(COUNTIF($A$5:$A$1204,A1183)&gt;1,"重复",""))</x:f>
      </x:c>
    </x:row>
    <x:row r="1184">
      <x:c r="A1184" s="62"/>
      <x:c r="B1184" s="62"/>
      <x:c r="C1184" s="62"/>
      <x:c r="D1184" s="62"/>
      <x:c r="E1184" s="62"/>
      <x:c r="F1184" s="62"/>
      <x:c r="G1184" s="66"/>
      <x:c r="H1184" s="68"/>
      <x:c r="I1184" s="68"/>
      <x:c r="J1184" s="68"/>
      <x:c r="K1184" s="68"/>
      <x:c r="L1184" s="70"/>
      <x:c r="M1184" s="64" t="str">
        <x:f>IF(A1184="","",IF(AND(E1184&lt;&gt;"",F1184&lt;&gt;"",ABS(H1184-I1184)&lt;=0.01,ABS(J1184-K1184)&lt;=0.01,L1184=1),"一致","检查"))</x:f>
      </x:c>
      <x:c r="N1184" s="64" t="str">
        <x:f>IF(A1184="","",IF(COUNTIF($A$5:$A$1204,A1184)&gt;1,"重复",""))</x:f>
      </x:c>
    </x:row>
    <x:row r="1185">
      <x:c r="A1185" s="62"/>
      <x:c r="B1185" s="62"/>
      <x:c r="C1185" s="62"/>
      <x:c r="D1185" s="62"/>
      <x:c r="E1185" s="62"/>
      <x:c r="F1185" s="62"/>
      <x:c r="G1185" s="66"/>
      <x:c r="H1185" s="68"/>
      <x:c r="I1185" s="68"/>
      <x:c r="J1185" s="68"/>
      <x:c r="K1185" s="68"/>
      <x:c r="L1185" s="70"/>
      <x:c r="M1185" s="64" t="str">
        <x:f>IF(A1185="","",IF(AND(E1185&lt;&gt;"",F1185&lt;&gt;"",ABS(H1185-I1185)&lt;=0.01,ABS(J1185-K1185)&lt;=0.01,L1185=1),"一致","检查"))</x:f>
      </x:c>
      <x:c r="N1185" s="64" t="str">
        <x:f>IF(A1185="","",IF(COUNTIF($A$5:$A$1204,A1185)&gt;1,"重复",""))</x:f>
      </x:c>
    </x:row>
    <x:row r="1186">
      <x:c r="A1186" s="62"/>
      <x:c r="B1186" s="62"/>
      <x:c r="C1186" s="62"/>
      <x:c r="D1186" s="62"/>
      <x:c r="E1186" s="62"/>
      <x:c r="F1186" s="62"/>
      <x:c r="G1186" s="66"/>
      <x:c r="H1186" s="68"/>
      <x:c r="I1186" s="68"/>
      <x:c r="J1186" s="68"/>
      <x:c r="K1186" s="68"/>
      <x:c r="L1186" s="70"/>
      <x:c r="M1186" s="64" t="str">
        <x:f>IF(A1186="","",IF(AND(E1186&lt;&gt;"",F1186&lt;&gt;"",ABS(H1186-I1186)&lt;=0.01,ABS(J1186-K1186)&lt;=0.01,L1186=1),"一致","检查"))</x:f>
      </x:c>
      <x:c r="N1186" s="64" t="str">
        <x:f>IF(A1186="","",IF(COUNTIF($A$5:$A$1204,A1186)&gt;1,"重复",""))</x:f>
      </x:c>
    </x:row>
    <x:row r="1187">
      <x:c r="A1187" s="62"/>
      <x:c r="B1187" s="62"/>
      <x:c r="C1187" s="62"/>
      <x:c r="D1187" s="62"/>
      <x:c r="E1187" s="62"/>
      <x:c r="F1187" s="62"/>
      <x:c r="G1187" s="66"/>
      <x:c r="H1187" s="68"/>
      <x:c r="I1187" s="68"/>
      <x:c r="J1187" s="68"/>
      <x:c r="K1187" s="68"/>
      <x:c r="L1187" s="70"/>
      <x:c r="M1187" s="64" t="str">
        <x:f>IF(A1187="","",IF(AND(E1187&lt;&gt;"",F1187&lt;&gt;"",ABS(H1187-I1187)&lt;=0.01,ABS(J1187-K1187)&lt;=0.01,L1187=1),"一致","检查"))</x:f>
      </x:c>
      <x:c r="N1187" s="64" t="str">
        <x:f>IF(A1187="","",IF(COUNTIF($A$5:$A$1204,A1187)&gt;1,"重复",""))</x:f>
      </x:c>
    </x:row>
    <x:row r="1188">
      <x:c r="A1188" s="62"/>
      <x:c r="B1188" s="62"/>
      <x:c r="C1188" s="62"/>
      <x:c r="D1188" s="62"/>
      <x:c r="E1188" s="62"/>
      <x:c r="F1188" s="62"/>
      <x:c r="G1188" s="66"/>
      <x:c r="H1188" s="68"/>
      <x:c r="I1188" s="68"/>
      <x:c r="J1188" s="68"/>
      <x:c r="K1188" s="68"/>
      <x:c r="L1188" s="70"/>
      <x:c r="M1188" s="64" t="str">
        <x:f>IF(A1188="","",IF(AND(E1188&lt;&gt;"",F1188&lt;&gt;"",ABS(H1188-I1188)&lt;=0.01,ABS(J1188-K1188)&lt;=0.01,L1188=1),"一致","检查"))</x:f>
      </x:c>
      <x:c r="N1188" s="64" t="str">
        <x:f>IF(A1188="","",IF(COUNTIF($A$5:$A$1204,A1188)&gt;1,"重复",""))</x:f>
      </x:c>
    </x:row>
    <x:row r="1189">
      <x:c r="A1189" s="62"/>
      <x:c r="B1189" s="62"/>
      <x:c r="C1189" s="62"/>
      <x:c r="D1189" s="62"/>
      <x:c r="E1189" s="62"/>
      <x:c r="F1189" s="62"/>
      <x:c r="G1189" s="66"/>
      <x:c r="H1189" s="68"/>
      <x:c r="I1189" s="68"/>
      <x:c r="J1189" s="68"/>
      <x:c r="K1189" s="68"/>
      <x:c r="L1189" s="70"/>
      <x:c r="M1189" s="64" t="str">
        <x:f>IF(A1189="","",IF(AND(E1189&lt;&gt;"",F1189&lt;&gt;"",ABS(H1189-I1189)&lt;=0.01,ABS(J1189-K1189)&lt;=0.01,L1189=1),"一致","检查"))</x:f>
      </x:c>
      <x:c r="N1189" s="64" t="str">
        <x:f>IF(A1189="","",IF(COUNTIF($A$5:$A$1204,A1189)&gt;1,"重复",""))</x:f>
      </x:c>
    </x:row>
    <x:row r="1190">
      <x:c r="A1190" s="62"/>
      <x:c r="B1190" s="62"/>
      <x:c r="C1190" s="62"/>
      <x:c r="D1190" s="62"/>
      <x:c r="E1190" s="62"/>
      <x:c r="F1190" s="62"/>
      <x:c r="G1190" s="66"/>
      <x:c r="H1190" s="68"/>
      <x:c r="I1190" s="68"/>
      <x:c r="J1190" s="68"/>
      <x:c r="K1190" s="68"/>
      <x:c r="L1190" s="70"/>
      <x:c r="M1190" s="64" t="str">
        <x:f>IF(A1190="","",IF(AND(E1190&lt;&gt;"",F1190&lt;&gt;"",ABS(H1190-I1190)&lt;=0.01,ABS(J1190-K1190)&lt;=0.01,L1190=1),"一致","检查"))</x:f>
      </x:c>
      <x:c r="N1190" s="64" t="str">
        <x:f>IF(A1190="","",IF(COUNTIF($A$5:$A$1204,A1190)&gt;1,"重复",""))</x:f>
      </x:c>
    </x:row>
    <x:row r="1191">
      <x:c r="A1191" s="62"/>
      <x:c r="B1191" s="62"/>
      <x:c r="C1191" s="62"/>
      <x:c r="D1191" s="62"/>
      <x:c r="E1191" s="62"/>
      <x:c r="F1191" s="62"/>
      <x:c r="G1191" s="66"/>
      <x:c r="H1191" s="68"/>
      <x:c r="I1191" s="68"/>
      <x:c r="J1191" s="68"/>
      <x:c r="K1191" s="68"/>
      <x:c r="L1191" s="70"/>
      <x:c r="M1191" s="64" t="str">
        <x:f>IF(A1191="","",IF(AND(E1191&lt;&gt;"",F1191&lt;&gt;"",ABS(H1191-I1191)&lt;=0.01,ABS(J1191-K1191)&lt;=0.01,L1191=1),"一致","检查"))</x:f>
      </x:c>
      <x:c r="N1191" s="64" t="str">
        <x:f>IF(A1191="","",IF(COUNTIF($A$5:$A$1204,A1191)&gt;1,"重复",""))</x:f>
      </x:c>
    </x:row>
    <x:row r="1192">
      <x:c r="A1192" s="62"/>
      <x:c r="B1192" s="62"/>
      <x:c r="C1192" s="62"/>
      <x:c r="D1192" s="62"/>
      <x:c r="E1192" s="62"/>
      <x:c r="F1192" s="62"/>
      <x:c r="G1192" s="66"/>
      <x:c r="H1192" s="68"/>
      <x:c r="I1192" s="68"/>
      <x:c r="J1192" s="68"/>
      <x:c r="K1192" s="68"/>
      <x:c r="L1192" s="70"/>
      <x:c r="M1192" s="64" t="str">
        <x:f>IF(A1192="","",IF(AND(E1192&lt;&gt;"",F1192&lt;&gt;"",ABS(H1192-I1192)&lt;=0.01,ABS(J1192-K1192)&lt;=0.01,L1192=1),"一致","检查"))</x:f>
      </x:c>
      <x:c r="N1192" s="64" t="str">
        <x:f>IF(A1192="","",IF(COUNTIF($A$5:$A$1204,A1192)&gt;1,"重复",""))</x:f>
      </x:c>
    </x:row>
    <x:row r="1193">
      <x:c r="A1193" s="62"/>
      <x:c r="B1193" s="62"/>
      <x:c r="C1193" s="62"/>
      <x:c r="D1193" s="62"/>
      <x:c r="E1193" s="62"/>
      <x:c r="F1193" s="62"/>
      <x:c r="G1193" s="66"/>
      <x:c r="H1193" s="68"/>
      <x:c r="I1193" s="68"/>
      <x:c r="J1193" s="68"/>
      <x:c r="K1193" s="68"/>
      <x:c r="L1193" s="70"/>
      <x:c r="M1193" s="64" t="str">
        <x:f>IF(A1193="","",IF(AND(E1193&lt;&gt;"",F1193&lt;&gt;"",ABS(H1193-I1193)&lt;=0.01,ABS(J1193-K1193)&lt;=0.01,L1193=1),"一致","检查"))</x:f>
      </x:c>
      <x:c r="N1193" s="64" t="str">
        <x:f>IF(A1193="","",IF(COUNTIF($A$5:$A$1204,A1193)&gt;1,"重复",""))</x:f>
      </x:c>
    </x:row>
    <x:row r="1194">
      <x:c r="A1194" s="62"/>
      <x:c r="B1194" s="62"/>
      <x:c r="C1194" s="62"/>
      <x:c r="D1194" s="62"/>
      <x:c r="E1194" s="62"/>
      <x:c r="F1194" s="62"/>
      <x:c r="G1194" s="66"/>
      <x:c r="H1194" s="68"/>
      <x:c r="I1194" s="68"/>
      <x:c r="J1194" s="68"/>
      <x:c r="K1194" s="68"/>
      <x:c r="L1194" s="70"/>
      <x:c r="M1194" s="64" t="str">
        <x:f>IF(A1194="","",IF(AND(E1194&lt;&gt;"",F1194&lt;&gt;"",ABS(H1194-I1194)&lt;=0.01,ABS(J1194-K1194)&lt;=0.01,L1194=1),"一致","检查"))</x:f>
      </x:c>
      <x:c r="N1194" s="64" t="str">
        <x:f>IF(A1194="","",IF(COUNTIF($A$5:$A$1204,A1194)&gt;1,"重复",""))</x:f>
      </x:c>
    </x:row>
    <x:row r="1195">
      <x:c r="A1195" s="62"/>
      <x:c r="B1195" s="62"/>
      <x:c r="C1195" s="62"/>
      <x:c r="D1195" s="62"/>
      <x:c r="E1195" s="62"/>
      <x:c r="F1195" s="62"/>
      <x:c r="G1195" s="66"/>
      <x:c r="H1195" s="68"/>
      <x:c r="I1195" s="68"/>
      <x:c r="J1195" s="68"/>
      <x:c r="K1195" s="68"/>
      <x:c r="L1195" s="70"/>
      <x:c r="M1195" s="64" t="str">
        <x:f>IF(A1195="","",IF(AND(E1195&lt;&gt;"",F1195&lt;&gt;"",ABS(H1195-I1195)&lt;=0.01,ABS(J1195-K1195)&lt;=0.01,L1195=1),"一致","检查"))</x:f>
      </x:c>
      <x:c r="N1195" s="64" t="str">
        <x:f>IF(A1195="","",IF(COUNTIF($A$5:$A$1204,A1195)&gt;1,"重复",""))</x:f>
      </x:c>
    </x:row>
    <x:row r="1196">
      <x:c r="A1196" s="62"/>
      <x:c r="B1196" s="62"/>
      <x:c r="C1196" s="62"/>
      <x:c r="D1196" s="62"/>
      <x:c r="E1196" s="62"/>
      <x:c r="F1196" s="62"/>
      <x:c r="G1196" s="66"/>
      <x:c r="H1196" s="68"/>
      <x:c r="I1196" s="68"/>
      <x:c r="J1196" s="68"/>
      <x:c r="K1196" s="68"/>
      <x:c r="L1196" s="70"/>
      <x:c r="M1196" s="64" t="str">
        <x:f>IF(A1196="","",IF(AND(E1196&lt;&gt;"",F1196&lt;&gt;"",ABS(H1196-I1196)&lt;=0.01,ABS(J1196-K1196)&lt;=0.01,L1196=1),"一致","检查"))</x:f>
      </x:c>
      <x:c r="N1196" s="64" t="str">
        <x:f>IF(A1196="","",IF(COUNTIF($A$5:$A$1204,A1196)&gt;1,"重复",""))</x:f>
      </x:c>
    </x:row>
    <x:row r="1197">
      <x:c r="A1197" s="62"/>
      <x:c r="B1197" s="62"/>
      <x:c r="C1197" s="62"/>
      <x:c r="D1197" s="62"/>
      <x:c r="E1197" s="62"/>
      <x:c r="F1197" s="62"/>
      <x:c r="G1197" s="66"/>
      <x:c r="H1197" s="68"/>
      <x:c r="I1197" s="68"/>
      <x:c r="J1197" s="68"/>
      <x:c r="K1197" s="68"/>
      <x:c r="L1197" s="70"/>
      <x:c r="M1197" s="64" t="str">
        <x:f>IF(A1197="","",IF(AND(E1197&lt;&gt;"",F1197&lt;&gt;"",ABS(H1197-I1197)&lt;=0.01,ABS(J1197-K1197)&lt;=0.01,L1197=1),"一致","检查"))</x:f>
      </x:c>
      <x:c r="N1197" s="64" t="str">
        <x:f>IF(A1197="","",IF(COUNTIF($A$5:$A$1204,A1197)&gt;1,"重复",""))</x:f>
      </x:c>
    </x:row>
    <x:row r="1198">
      <x:c r="A1198" s="62"/>
      <x:c r="B1198" s="62"/>
      <x:c r="C1198" s="62"/>
      <x:c r="D1198" s="62"/>
      <x:c r="E1198" s="62"/>
      <x:c r="F1198" s="62"/>
      <x:c r="G1198" s="66"/>
      <x:c r="H1198" s="68"/>
      <x:c r="I1198" s="68"/>
      <x:c r="J1198" s="68"/>
      <x:c r="K1198" s="68"/>
      <x:c r="L1198" s="70"/>
      <x:c r="M1198" s="64" t="str">
        <x:f>IF(A1198="","",IF(AND(E1198&lt;&gt;"",F1198&lt;&gt;"",ABS(H1198-I1198)&lt;=0.01,ABS(J1198-K1198)&lt;=0.01,L1198=1),"一致","检查"))</x:f>
      </x:c>
      <x:c r="N1198" s="64" t="str">
        <x:f>IF(A1198="","",IF(COUNTIF($A$5:$A$1204,A1198)&gt;1,"重复",""))</x:f>
      </x:c>
    </x:row>
    <x:row r="1199">
      <x:c r="A1199" s="62"/>
      <x:c r="B1199" s="62"/>
      <x:c r="C1199" s="62"/>
      <x:c r="D1199" s="62"/>
      <x:c r="E1199" s="62"/>
      <x:c r="F1199" s="62"/>
      <x:c r="G1199" s="66"/>
      <x:c r="H1199" s="68"/>
      <x:c r="I1199" s="68"/>
      <x:c r="J1199" s="68"/>
      <x:c r="K1199" s="68"/>
      <x:c r="L1199" s="70"/>
      <x:c r="M1199" s="64" t="str">
        <x:f>IF(A1199="","",IF(AND(E1199&lt;&gt;"",F1199&lt;&gt;"",ABS(H1199-I1199)&lt;=0.01,ABS(J1199-K1199)&lt;=0.01,L1199=1),"一致","检查"))</x:f>
      </x:c>
      <x:c r="N1199" s="64" t="str">
        <x:f>IF(A1199="","",IF(COUNTIF($A$5:$A$1204,A1199)&gt;1,"重复",""))</x:f>
      </x:c>
    </x:row>
    <x:row r="1200">
      <x:c r="A1200" s="62"/>
      <x:c r="B1200" s="62"/>
      <x:c r="C1200" s="62"/>
      <x:c r="D1200" s="62"/>
      <x:c r="E1200" s="62"/>
      <x:c r="F1200" s="62"/>
      <x:c r="G1200" s="66"/>
      <x:c r="H1200" s="68"/>
      <x:c r="I1200" s="68"/>
      <x:c r="J1200" s="68"/>
      <x:c r="K1200" s="68"/>
      <x:c r="L1200" s="70"/>
      <x:c r="M1200" s="64" t="str">
        <x:f>IF(A1200="","",IF(AND(E1200&lt;&gt;"",F1200&lt;&gt;"",ABS(H1200-I1200)&lt;=0.01,ABS(J1200-K1200)&lt;=0.01,L1200=1),"一致","检查"))</x:f>
      </x:c>
      <x:c r="N1200" s="64" t="str">
        <x:f>IF(A1200="","",IF(COUNTIF($A$5:$A$1204,A1200)&gt;1,"重复",""))</x:f>
      </x:c>
    </x:row>
    <x:row r="1201">
      <x:c r="A1201" s="62"/>
      <x:c r="B1201" s="62"/>
      <x:c r="C1201" s="62"/>
      <x:c r="D1201" s="62"/>
      <x:c r="E1201" s="62"/>
      <x:c r="F1201" s="62"/>
      <x:c r="G1201" s="66"/>
      <x:c r="H1201" s="68"/>
      <x:c r="I1201" s="68"/>
      <x:c r="J1201" s="68"/>
      <x:c r="K1201" s="68"/>
      <x:c r="L1201" s="70"/>
      <x:c r="M1201" s="64" t="str">
        <x:f>IF(A1201="","",IF(AND(E1201&lt;&gt;"",F1201&lt;&gt;"",ABS(H1201-I1201)&lt;=0.01,ABS(J1201-K1201)&lt;=0.01,L1201=1),"一致","检查"))</x:f>
      </x:c>
      <x:c r="N1201" s="64" t="str">
        <x:f>IF(A1201="","",IF(COUNTIF($A$5:$A$1204,A1201)&gt;1,"重复",""))</x:f>
      </x:c>
    </x:row>
    <x:row r="1202">
      <x:c r="A1202" s="62"/>
      <x:c r="B1202" s="62"/>
      <x:c r="C1202" s="62"/>
      <x:c r="D1202" s="62"/>
      <x:c r="E1202" s="62"/>
      <x:c r="F1202" s="62"/>
      <x:c r="G1202" s="66"/>
      <x:c r="H1202" s="68"/>
      <x:c r="I1202" s="68"/>
      <x:c r="J1202" s="68"/>
      <x:c r="K1202" s="68"/>
      <x:c r="L1202" s="70"/>
      <x:c r="M1202" s="64" t="str">
        <x:f>IF(A1202="","",IF(AND(E1202&lt;&gt;"",F1202&lt;&gt;"",ABS(H1202-I1202)&lt;=0.01,ABS(J1202-K1202)&lt;=0.01,L1202=1),"一致","检查"))</x:f>
      </x:c>
      <x:c r="N1202" s="64" t="str">
        <x:f>IF(A1202="","",IF(COUNTIF($A$5:$A$1204,A1202)&gt;1,"重复",""))</x:f>
      </x:c>
    </x:row>
    <x:row r="1203">
      <x:c r="A1203" s="62"/>
      <x:c r="B1203" s="62"/>
      <x:c r="C1203" s="62"/>
      <x:c r="D1203" s="62"/>
      <x:c r="E1203" s="62"/>
      <x:c r="F1203" s="62"/>
      <x:c r="G1203" s="66"/>
      <x:c r="H1203" s="68"/>
      <x:c r="I1203" s="68"/>
      <x:c r="J1203" s="68"/>
      <x:c r="K1203" s="68"/>
      <x:c r="L1203" s="70"/>
      <x:c r="M1203" s="64" t="str">
        <x:f>IF(A1203="","",IF(AND(E1203&lt;&gt;"",F1203&lt;&gt;"",ABS(H1203-I1203)&lt;=0.01,ABS(J1203-K1203)&lt;=0.01,L1203=1),"一致","检查"))</x:f>
      </x:c>
      <x:c r="N1203" s="64" t="str">
        <x:f>IF(A1203="","",IF(COUNTIF($A$5:$A$1204,A1203)&gt;1,"重复",""))</x:f>
      </x:c>
    </x:row>
    <x:row r="1204">
      <x:c r="A1204" s="62"/>
      <x:c r="B1204" s="62"/>
      <x:c r="C1204" s="62"/>
      <x:c r="D1204" s="62"/>
      <x:c r="E1204" s="62"/>
      <x:c r="F1204" s="62"/>
      <x:c r="G1204" s="66"/>
      <x:c r="H1204" s="68"/>
      <x:c r="I1204" s="68"/>
      <x:c r="J1204" s="68"/>
      <x:c r="K1204" s="68"/>
      <x:c r="L1204" s="70"/>
      <x:c r="M1204" s="64" t="str">
        <x:f>IF(A1204="","",IF(AND(E1204&lt;&gt;"",F1204&lt;&gt;"",ABS(H1204-I1204)&lt;=0.01,ABS(J1204-K1204)&lt;=0.01,L1204=1),"一致","检查"))</x:f>
      </x:c>
      <x:c r="N1204" s="64" t="str">
        <x:f>IF(A1204="","",IF(COUNTIF($A$5:$A$1204,A1204)&gt;1,"重复",""))</x:f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1" hidden="0" customWidth="1"/>
    <x:col min="3" max="3" width="16" hidden="0" customWidth="1"/>
    <x:col min="4" max="4" width="21" hidden="0" customWidth="1"/>
    <x:col min="5" max="5" width="16" hidden="0" customWidth="1"/>
    <x:col min="6" max="6" width="18" hidden="0" customWidth="1"/>
    <x:col min="7" max="7" width="14" hidden="0" customWidth="1"/>
    <x:col min="8" max="8" width="18" hidden="0" customWidth="1"/>
    <x:col min="9" max="9" width="18" hidden="0" customWidth="1"/>
    <x:col min="10" max="10" width="23" hidden="0" customWidth="1"/>
    <x:col min="11" max="11" width="23" hidden="0" customWidth="1"/>
    <x:col min="12" max="12" width="14" hidden="0" customWidth="1"/>
    <x:col min="13" max="13" width="16" hidden="0" customWidth="1"/>
    <x:col min="14" max="14" width="16" hidden="0" customWidth="1"/>
    <x:col min="15" max="15" width="19" hidden="0" customWidth="1"/>
    <x:col min="16" max="16" width="16" hidden="0" customWidth="1"/>
    <x:col min="17" max="17" width="10" hidden="0" customWidth="1"/>
    <x:col min="18" max="18" width="14" hidden="0" customWidth="1"/>
    <x:col min="19" max="19" width="28" hidden="0" customWidth="1"/>
    <x:col min="20" max="20" width="14" hidden="0" customWidth="1"/>
    <x:col min="21" max="21" width="14" hidden="0" customWidth="1"/>
  </x:cols>
  <x:sheetData>
    <x:row r="1" ht="30" customHeight="1">
      <x:c r="A1" s="4" t="str">
        <x:v>补仓逐笔对账</x:v>
      </x:c>
      <x:c r="B1" s="4" t="str">
        <x:v>补仓逐笔对账</x:v>
      </x:c>
      <x:c r="C1" s="4" t="str">
        <x:v>补仓逐笔对账</x:v>
      </x:c>
      <x:c r="D1" s="4" t="str">
        <x:v>补仓逐笔对账</x:v>
      </x:c>
      <x:c r="E1" s="4" t="str">
        <x:v>补仓逐笔对账</x:v>
      </x:c>
      <x:c r="F1" s="4" t="str">
        <x:v>补仓逐笔对账</x:v>
      </x:c>
      <x:c r="G1" s="4" t="str">
        <x:v>补仓逐笔对账</x:v>
      </x:c>
      <x:c r="H1" s="4" t="str">
        <x:v>补仓逐笔对账</x:v>
      </x:c>
      <x:c r="I1" s="4" t="str">
        <x:v>补仓逐笔对账</x:v>
      </x:c>
      <x:c r="J1" s="4" t="str">
        <x:v>补仓逐笔对账</x:v>
      </x:c>
      <x:c r="K1" s="4" t="str">
        <x:v>补仓逐笔对账</x:v>
      </x:c>
      <x:c r="L1" s="4" t="str">
        <x:v>补仓逐笔对账</x:v>
      </x:c>
      <x:c r="M1" s="4" t="str">
        <x:v>补仓逐笔对账</x:v>
      </x:c>
      <x:c r="N1" s="4" t="str">
        <x:v>补仓逐笔对账</x:v>
      </x:c>
      <x:c r="O1" s="4" t="str">
        <x:v>补仓逐笔对账</x:v>
      </x:c>
      <x:c r="P1" s="4" t="str">
        <x:v>补仓逐笔对账</x:v>
      </x:c>
      <x:c r="Q1" s="4" t="str">
        <x:v>补仓逐笔对账</x:v>
      </x:c>
      <x:c r="R1" s="4" t="str">
        <x:v>补仓逐笔对账</x:v>
      </x:c>
      <x:c r="S1" s="4" t="str">
        <x:v>补仓逐笔对账</x:v>
      </x:c>
      <x:c r="T1" s="4" t="str">
        <x:v>补仓逐笔对账</x:v>
      </x:c>
      <x:c r="U1" s="4" t="str">
        <x:v>补仓逐笔对账</x:v>
      </x:c>
    </x:row>
    <x:row r="2" ht="30" customHeight="1">
      <x:c r="A2" s="8" t="str">
        <x:v>每个 sourceSellOperationId 只保留一行当前有效状态；手动完结必须保留，失败父订单不得重复计入。模板预置1200行，实际对账时可继续向下扩展。</x:v>
      </x:c>
      <x:c r="B2" s="8" t="str">
        <x:v>每个 sourceSellOperationId 只保留一行当前有效状态；手动完结必须保留，失败父订单不得重复计入。模板预置1200行，实际对账时可继续向下扩展。</x:v>
      </x:c>
      <x:c r="C2" s="8" t="str">
        <x:v>每个 sourceSellOperationId 只保留一行当前有效状态；手动完结必须保留，失败父订单不得重复计入。模板预置1200行，实际对账时可继续向下扩展。</x:v>
      </x:c>
      <x:c r="D2" s="8" t="str">
        <x:v>每个 sourceSellOperationId 只保留一行当前有效状态；手动完结必须保留，失败父订单不得重复计入。模板预置1200行，实际对账时可继续向下扩展。</x:v>
      </x:c>
      <x:c r="E2" s="8" t="str">
        <x:v>每个 sourceSellOperationId 只保留一行当前有效状态；手动完结必须保留，失败父订单不得重复计入。模板预置1200行，实际对账时可继续向下扩展。</x:v>
      </x:c>
      <x:c r="F2" s="8" t="str">
        <x:v>每个 sourceSellOperationId 只保留一行当前有效状态；手动完结必须保留，失败父订单不得重复计入。模板预置1200行，实际对账时可继续向下扩展。</x:v>
      </x:c>
      <x:c r="G2" s="8" t="str">
        <x:v>每个 sourceSellOperationId 只保留一行当前有效状态；手动完结必须保留，失败父订单不得重复计入。模板预置1200行，实际对账时可继续向下扩展。</x:v>
      </x:c>
      <x:c r="H2" s="8" t="str">
        <x:v>每个 sourceSellOperationId 只保留一行当前有效状态；手动完结必须保留，失败父订单不得重复计入。模板预置1200行，实际对账时可继续向下扩展。</x:v>
      </x:c>
      <x:c r="I2" s="8" t="str">
        <x:v>每个 sourceSellOperationId 只保留一行当前有效状态；手动完结必须保留，失败父订单不得重复计入。模板预置1200行，实际对账时可继续向下扩展。</x:v>
      </x:c>
      <x:c r="J2" s="8" t="str">
        <x:v>每个 sourceSellOperationId 只保留一行当前有效状态；手动完结必须保留，失败父订单不得重复计入。模板预置1200行，实际对账时可继续向下扩展。</x:v>
      </x:c>
      <x:c r="K2" s="8" t="str">
        <x:v>每个 sourceSellOperationId 只保留一行当前有效状态；手动完结必须保留，失败父订单不得重复计入。模板预置1200行，实际对账时可继续向下扩展。</x:v>
      </x:c>
      <x:c r="L2" s="8" t="str">
        <x:v>每个 sourceSellOperationId 只保留一行当前有效状态；手动完结必须保留，失败父订单不得重复计入。模板预置1200行，实际对账时可继续向下扩展。</x:v>
      </x:c>
      <x:c r="M2" s="8" t="str">
        <x:v>每个 sourceSellOperationId 只保留一行当前有效状态；手动完结必须保留，失败父订单不得重复计入。模板预置1200行，实际对账时可继续向下扩展。</x:v>
      </x:c>
      <x:c r="N2" s="8" t="str">
        <x:v>每个 sourceSellOperationId 只保留一行当前有效状态；手动完结必须保留，失败父订单不得重复计入。模板预置1200行，实际对账时可继续向下扩展。</x:v>
      </x:c>
      <x:c r="O2" s="8" t="str">
        <x:v>每个 sourceSellOperationId 只保留一行当前有效状态；手动完结必须保留，失败父订单不得重复计入。模板预置1200行，实际对账时可继续向下扩展。</x:v>
      </x:c>
      <x:c r="P2" s="8" t="str">
        <x:v>每个 sourceSellOperationId 只保留一行当前有效状态；手动完结必须保留，失败父订单不得重复计入。模板预置1200行，实际对账时可继续向下扩展。</x:v>
      </x:c>
      <x:c r="Q2" s="8" t="str">
        <x:v>每个 sourceSellOperationId 只保留一行当前有效状态；手动完结必须保留，失败父订单不得重复计入。模板预置1200行，实际对账时可继续向下扩展。</x:v>
      </x:c>
      <x:c r="R2" s="8" t="str">
        <x:v>每个 sourceSellOperationId 只保留一行当前有效状态；手动完结必须保留，失败父订单不得重复计入。模板预置1200行，实际对账时可继续向下扩展。</x:v>
      </x:c>
      <x:c r="S2" s="8" t="str">
        <x:v>每个 sourceSellOperationId 只保留一行当前有效状态；手动完结必须保留，失败父订单不得重复计入。模板预置1200行，实际对账时可继续向下扩展。</x:v>
      </x:c>
      <x:c r="T2" s="8" t="str">
        <x:v>每个 sourceSellOperationId 只保留一行当前有效状态；手动完结必须保留，失败父订单不得重复计入。模板预置1200行，实际对账时可继续向下扩展。</x:v>
      </x:c>
      <x:c r="U2" s="8" t="str">
        <x:v>每个 sourceSellOperationId 只保留一行当前有效状态；手动完结必须保留，失败父订单不得重复计入。模板预置1200行，实际对账时可继续向下扩展。</x:v>
      </x:c>
    </x:row>
    <x:row r="3" ht="3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30" customHeight="1">
      <x:c r="A4" s="26" t="str">
        <x:v>sourceSellOperationId</x:v>
      </x:c>
      <x:c r="B4" s="27" t="str">
        <x:v>物品</x:v>
      </x:c>
      <x:c r="C4" s="27" t="str">
        <x:v>Steam账号</x:v>
      </x:c>
      <x:c r="D4" s="27" t="str">
        <x:v>官方卖出时间</x:v>
      </x:c>
      <x:c r="E4" s="27" t="str">
        <x:v>Steam税后到手</x:v>
      </x:c>
      <x:c r="F4" s="27" t="str">
        <x:v>当前补仓状态</x:v>
      </x:c>
      <x:c r="G4" s="27" t="str">
        <x:v>补仓来源</x:v>
      </x:c>
      <x:c r="H4" s="27" t="str">
        <x:v>当前rebuy流水ID</x:v>
      </x:c>
      <x:c r="I4" s="27" t="str">
        <x:v>替换父流水ID</x:v>
      </x:c>
      <x:c r="J4" s="27" t="str">
        <x:v>C5资产订单号</x:v>
      </x:c>
      <x:c r="K4" s="27" t="str">
        <x:v>C5交易订单号</x:v>
      </x:c>
      <x:c r="L4" s="27" t="str">
        <x:v>外部平台</x:v>
      </x:c>
      <x:c r="M4" s="27" t="str">
        <x:v>程序/冻结金额</x:v>
      </x:c>
      <x:c r="N4" s="27" t="str">
        <x:v>远端/实际金额</x:v>
      </x:c>
      <x:c r="O4" s="27" t="str">
        <x:v>外部订单参考</x:v>
      </x:c>
      <x:c r="P4" s="27" t="str">
        <x:v>有效补仓金额</x:v>
      </x:c>
      <x:c r="Q4" s="27" t="str">
        <x:v>计数数量</x:v>
      </x:c>
      <x:c r="R4" s="27" t="str">
        <x:v>证据状态</x:v>
      </x:c>
      <x:c r="S4" s="27" t="str">
        <x:v>备注</x:v>
      </x:c>
      <x:c r="T4" s="27" t="str">
        <x:v>重复sourceSell</x:v>
      </x:c>
      <x:c r="U4" s="28" t="str">
        <x:v>审计结论</x:v>
      </x:c>
    </x:row>
    <x:row r="5">
      <x:c r="A5" s="90"/>
      <x:c r="B5" s="90"/>
      <x:c r="C5" s="90"/>
      <x:c r="D5" s="91"/>
      <x:c r="E5" s="92"/>
      <x:c r="F5" s="90"/>
      <x:c r="G5" s="90"/>
      <x:c r="H5" s="90"/>
      <x:c r="I5" s="90"/>
      <x:c r="J5" s="90"/>
      <x:c r="K5" s="90"/>
      <x:c r="L5" s="90"/>
      <x:c r="M5" s="92"/>
      <x:c r="N5" s="92"/>
      <x:c r="O5" s="92"/>
      <x:c r="P5" s="86" t="str">
        <x:f>IF(A5="","",IF(N5&gt;0,N5,M5))</x:f>
      </x:c>
      <x:c r="Q5" s="88" t="n">
        <x:f>IF(A5="",0,IF(COUNTIF($A$5:A5,A5)=1,1,0))</x:f>
        <x:v>0</x:v>
      </x:c>
      <x:c r="R5" s="89" t="str">
        <x:f>IF(A5="","",IF(F5="C5成功",IF(AND(J5&lt;&gt;"",K5&lt;&gt;"",N5&gt;0),"有证据","缺C5证据"),IF(F5="C5发货确认中",IF(AND(J5&lt;&gt;"",K5&lt;&gt;""),"有证据","缺C5证据"),IF(F5="手动完结",IF(OR(L5&lt;&gt;"",O5&lt;&gt;"",S5&lt;&gt;""),"有记录","缺手工证据"),IF(OR(F5="卖出待补仓",F5="提交结果待确认",F5="异常待处理"),"持续跟踪","检查状态")))))</x:f>
      </x:c>
      <x:c r="S5" s="81"/>
      <x:c r="T5" s="89" t="str">
        <x:f>IF(A5="","",IF(COUNTIF($A$5:$A$1204,A5)&gt;1,"重复",""))</x:f>
      </x:c>
      <x:c r="U5" s="89" t="str">
        <x:f>IF(A5="","",IF(T5="重复","检查重复",IF(OR(R5="有证据",R5="有记录",R5="持续跟踪"),"可追踪","检查")))</x:f>
      </x:c>
    </x:row>
    <x:row r="6">
      <x:c r="A6" s="90"/>
      <x:c r="B6" s="90"/>
      <x:c r="C6" s="90"/>
      <x:c r="D6" s="91"/>
      <x:c r="E6" s="92"/>
      <x:c r="F6" s="90"/>
      <x:c r="G6" s="90"/>
      <x:c r="H6" s="90"/>
      <x:c r="I6" s="90"/>
      <x:c r="J6" s="90"/>
      <x:c r="K6" s="90"/>
      <x:c r="L6" s="90"/>
      <x:c r="M6" s="92"/>
      <x:c r="N6" s="92"/>
      <x:c r="O6" s="92"/>
      <x:c r="P6" s="86" t="str">
        <x:f>IF(A6="","",IF(N6&gt;0,N6,M6))</x:f>
      </x:c>
      <x:c r="Q6" s="88" t="n">
        <x:f>IF(A6="",0,IF(COUNTIF($A$5:A6,A6)=1,1,0))</x:f>
        <x:v>0</x:v>
      </x:c>
      <x:c r="R6" s="89" t="str">
        <x:f>IF(A6="","",IF(F6="C6成功",IF(AND(J6&lt;&gt;"",K6&lt;&gt;"",N6&gt;0),"有证据","缺C6证据"),IF(F6="C6发货确认中",IF(AND(J6&lt;&gt;"",K6&lt;&gt;""),"有证据","缺C6证据"),IF(F6="手动完结",IF(OR(L6&lt;&gt;"",O6&lt;&gt;"",S6&lt;&gt;""),"有记录","缺手工证据"),IF(OR(F6="卖出待补仓",F6="提交结果待确认",F6="异常待处理"),"持续跟踪","检查状态")))))</x:f>
      </x:c>
      <x:c r="S6" s="81"/>
      <x:c r="T6" s="89" t="str">
        <x:f>IF(A6="","",IF(COUNTIF($A$5:$A$1204,A6)&gt;1,"重复",""))</x:f>
      </x:c>
      <x:c r="U6" s="89" t="str">
        <x:f>IF(A6="","",IF(T6="重复","检查重复",IF(OR(R6="有证据",R6="有记录",R6="持续跟踪"),"可追踪","检查")))</x:f>
      </x:c>
    </x:row>
    <x:row r="7">
      <x:c r="A7" s="90"/>
      <x:c r="B7" s="90"/>
      <x:c r="C7" s="90"/>
      <x:c r="D7" s="91"/>
      <x:c r="E7" s="92"/>
      <x:c r="F7" s="90"/>
      <x:c r="G7" s="90"/>
      <x:c r="H7" s="90"/>
      <x:c r="I7" s="90"/>
      <x:c r="J7" s="90"/>
      <x:c r="K7" s="90"/>
      <x:c r="L7" s="90"/>
      <x:c r="M7" s="92"/>
      <x:c r="N7" s="92"/>
      <x:c r="O7" s="92"/>
      <x:c r="P7" s="86" t="str">
        <x:f>IF(A7="","",IF(N7&gt;0,N7,M7))</x:f>
      </x:c>
      <x:c r="Q7" s="88" t="n">
        <x:f>IF(A7="",0,IF(COUNTIF($A$5:A7,A7)=1,1,0))</x:f>
        <x:v>0</x:v>
      </x:c>
      <x:c r="R7" s="89" t="str">
        <x:f>IF(A7="","",IF(F7="C7成功",IF(AND(J7&lt;&gt;"",K7&lt;&gt;"",N7&gt;0),"有证据","缺C7证据"),IF(F7="C7发货确认中",IF(AND(J7&lt;&gt;"",K7&lt;&gt;""),"有证据","缺C7证据"),IF(F7="手动完结",IF(OR(L7&lt;&gt;"",O7&lt;&gt;"",S7&lt;&gt;""),"有记录","缺手工证据"),IF(OR(F7="卖出待补仓",F7="提交结果待确认",F7="异常待处理"),"持续跟踪","检查状态")))))</x:f>
      </x:c>
      <x:c r="S7" s="81"/>
      <x:c r="T7" s="89" t="str">
        <x:f>IF(A7="","",IF(COUNTIF($A$5:$A$1204,A7)&gt;1,"重复",""))</x:f>
      </x:c>
      <x:c r="U7" s="89" t="str">
        <x:f>IF(A7="","",IF(T7="重复","检查重复",IF(OR(R7="有证据",R7="有记录",R7="持续跟踪"),"可追踪","检查")))</x:f>
      </x:c>
    </x:row>
    <x:row r="8">
      <x:c r="A8" s="90"/>
      <x:c r="B8" s="90"/>
      <x:c r="C8" s="90"/>
      <x:c r="D8" s="91"/>
      <x:c r="E8" s="92"/>
      <x:c r="F8" s="90"/>
      <x:c r="G8" s="90"/>
      <x:c r="H8" s="90"/>
      <x:c r="I8" s="90"/>
      <x:c r="J8" s="90"/>
      <x:c r="K8" s="90"/>
      <x:c r="L8" s="90"/>
      <x:c r="M8" s="92"/>
      <x:c r="N8" s="92"/>
      <x:c r="O8" s="92"/>
      <x:c r="P8" s="86" t="str">
        <x:f>IF(A8="","",IF(N8&gt;0,N8,M8))</x:f>
      </x:c>
      <x:c r="Q8" s="88" t="n">
        <x:f>IF(A8="",0,IF(COUNTIF($A$5:A8,A8)=1,1,0))</x:f>
        <x:v>0</x:v>
      </x:c>
      <x:c r="R8" s="89" t="str">
        <x:f>IF(A8="","",IF(F8="C8成功",IF(AND(J8&lt;&gt;"",K8&lt;&gt;"",N8&gt;0),"有证据","缺C8证据"),IF(F8="C8发货确认中",IF(AND(J8&lt;&gt;"",K8&lt;&gt;""),"有证据","缺C8证据"),IF(F8="手动完结",IF(OR(L8&lt;&gt;"",O8&lt;&gt;"",S8&lt;&gt;""),"有记录","缺手工证据"),IF(OR(F8="卖出待补仓",F8="提交结果待确认",F8="异常待处理"),"持续跟踪","检查状态")))))</x:f>
      </x:c>
      <x:c r="S8" s="81"/>
      <x:c r="T8" s="89" t="str">
        <x:f>IF(A8="","",IF(COUNTIF($A$5:$A$1204,A8)&gt;1,"重复",""))</x:f>
      </x:c>
      <x:c r="U8" s="89" t="str">
        <x:f>IF(A8="","",IF(T8="重复","检查重复",IF(OR(R8="有证据",R8="有记录",R8="持续跟踪"),"可追踪","检查")))</x:f>
      </x:c>
    </x:row>
    <x:row r="9">
      <x:c r="A9" s="90"/>
      <x:c r="B9" s="90"/>
      <x:c r="C9" s="90"/>
      <x:c r="D9" s="91"/>
      <x:c r="E9" s="92"/>
      <x:c r="F9" s="90"/>
      <x:c r="G9" s="90"/>
      <x:c r="H9" s="90"/>
      <x:c r="I9" s="90"/>
      <x:c r="J9" s="90"/>
      <x:c r="K9" s="90"/>
      <x:c r="L9" s="90"/>
      <x:c r="M9" s="92"/>
      <x:c r="N9" s="92"/>
      <x:c r="O9" s="92"/>
      <x:c r="P9" s="86" t="str">
        <x:f>IF(A9="","",IF(N9&gt;0,N9,M9))</x:f>
      </x:c>
      <x:c r="Q9" s="88" t="n">
        <x:f>IF(A9="",0,IF(COUNTIF($A$5:A9,A9)=1,1,0))</x:f>
        <x:v>0</x:v>
      </x:c>
      <x:c r="R9" s="89" t="str">
        <x:f>IF(A9="","",IF(F9="C9成功",IF(AND(J9&lt;&gt;"",K9&lt;&gt;"",N9&gt;0),"有证据","缺C9证据"),IF(F9="C9发货确认中",IF(AND(J9&lt;&gt;"",K9&lt;&gt;""),"有证据","缺C9证据"),IF(F9="手动完结",IF(OR(L9&lt;&gt;"",O9&lt;&gt;"",S9&lt;&gt;""),"有记录","缺手工证据"),IF(OR(F9="卖出待补仓",F9="提交结果待确认",F9="异常待处理"),"持续跟踪","检查状态")))))</x:f>
      </x:c>
      <x:c r="S9" s="81"/>
      <x:c r="T9" s="89" t="str">
        <x:f>IF(A9="","",IF(COUNTIF($A$5:$A$1204,A9)&gt;1,"重复",""))</x:f>
      </x:c>
      <x:c r="U9" s="89" t="str">
        <x:f>IF(A9="","",IF(T9="重复","检查重复",IF(OR(R9="有证据",R9="有记录",R9="持续跟踪"),"可追踪","检查")))</x:f>
      </x:c>
    </x:row>
    <x:row r="10">
      <x:c r="A10" s="90"/>
      <x:c r="B10" s="90"/>
      <x:c r="C10" s="90"/>
      <x:c r="D10" s="91"/>
      <x:c r="E10" s="92"/>
      <x:c r="F10" s="90"/>
      <x:c r="G10" s="90"/>
      <x:c r="H10" s="90"/>
      <x:c r="I10" s="90"/>
      <x:c r="J10" s="90"/>
      <x:c r="K10" s="90"/>
      <x:c r="L10" s="90"/>
      <x:c r="M10" s="92"/>
      <x:c r="N10" s="92"/>
      <x:c r="O10" s="92"/>
      <x:c r="P10" s="86" t="str">
        <x:f>IF(A10="","",IF(N10&gt;0,N10,M10))</x:f>
      </x:c>
      <x:c r="Q10" s="88" t="n">
        <x:f>IF(A10="",0,IF(COUNTIF($A$5:A10,A10)=1,1,0))</x:f>
        <x:v>0</x:v>
      </x:c>
      <x:c r="R10" s="89" t="str">
        <x:f>IF(A10="","",IF(F10="C10成功",IF(AND(J10&lt;&gt;"",K10&lt;&gt;"",N10&gt;0),"有证据","缺C10证据"),IF(F10="C10发货确认中",IF(AND(J10&lt;&gt;"",K10&lt;&gt;""),"有证据","缺C10证据"),IF(F10="手动完结",IF(OR(L10&lt;&gt;"",O10&lt;&gt;"",S10&lt;&gt;""),"有记录","缺手工证据"),IF(OR(F10="卖出待补仓",F10="提交结果待确认",F10="异常待处理"),"持续跟踪","检查状态")))))</x:f>
      </x:c>
      <x:c r="S10" s="81"/>
      <x:c r="T10" s="89" t="str">
        <x:f>IF(A10="","",IF(COUNTIF($A$5:$A$1204,A10)&gt;1,"重复",""))</x:f>
      </x:c>
      <x:c r="U10" s="89" t="str">
        <x:f>IF(A10="","",IF(T10="重复","检查重复",IF(OR(R10="有证据",R10="有记录",R10="持续跟踪"),"可追踪","检查")))</x:f>
      </x:c>
    </x:row>
    <x:row r="11">
      <x:c r="A11" s="90"/>
      <x:c r="B11" s="90"/>
      <x:c r="C11" s="90"/>
      <x:c r="D11" s="91"/>
      <x:c r="E11" s="92"/>
      <x:c r="F11" s="90"/>
      <x:c r="G11" s="90"/>
      <x:c r="H11" s="90"/>
      <x:c r="I11" s="90"/>
      <x:c r="J11" s="90"/>
      <x:c r="K11" s="90"/>
      <x:c r="L11" s="90"/>
      <x:c r="M11" s="92"/>
      <x:c r="N11" s="92"/>
      <x:c r="O11" s="92"/>
      <x:c r="P11" s="86" t="str">
        <x:f>IF(A11="","",IF(N11&gt;0,N11,M11))</x:f>
      </x:c>
      <x:c r="Q11" s="88" t="n">
        <x:f>IF(A11="",0,IF(COUNTIF($A$5:A11,A11)=1,1,0))</x:f>
        <x:v>0</x:v>
      </x:c>
      <x:c r="R11" s="89" t="str">
        <x:f>IF(A11="","",IF(F11="C11成功",IF(AND(J11&lt;&gt;"",K11&lt;&gt;"",N11&gt;0),"有证据","缺C11证据"),IF(F11="C11发货确认中",IF(AND(J11&lt;&gt;"",K11&lt;&gt;""),"有证据","缺C11证据"),IF(F11="手动完结",IF(OR(L11&lt;&gt;"",O11&lt;&gt;"",S11&lt;&gt;""),"有记录","缺手工证据"),IF(OR(F11="卖出待补仓",F11="提交结果待确认",F11="异常待处理"),"持续跟踪","检查状态")))))</x:f>
      </x:c>
      <x:c r="S11" s="81"/>
      <x:c r="T11" s="89" t="str">
        <x:f>IF(A11="","",IF(COUNTIF($A$5:$A$1204,A11)&gt;1,"重复",""))</x:f>
      </x:c>
      <x:c r="U11" s="89" t="str">
        <x:f>IF(A11="","",IF(T11="重复","检查重复",IF(OR(R11="有证据",R11="有记录",R11="持续跟踪"),"可追踪","检查")))</x:f>
      </x:c>
    </x:row>
    <x:row r="12">
      <x:c r="A12" s="90"/>
      <x:c r="B12" s="90"/>
      <x:c r="C12" s="90"/>
      <x:c r="D12" s="91"/>
      <x:c r="E12" s="92"/>
      <x:c r="F12" s="90"/>
      <x:c r="G12" s="90"/>
      <x:c r="H12" s="90"/>
      <x:c r="I12" s="90"/>
      <x:c r="J12" s="90"/>
      <x:c r="K12" s="90"/>
      <x:c r="L12" s="90"/>
      <x:c r="M12" s="92"/>
      <x:c r="N12" s="92"/>
      <x:c r="O12" s="92"/>
      <x:c r="P12" s="86" t="str">
        <x:f>IF(A12="","",IF(N12&gt;0,N12,M12))</x:f>
      </x:c>
      <x:c r="Q12" s="88" t="n">
        <x:f>IF(A12="",0,IF(COUNTIF($A$5:A12,A12)=1,1,0))</x:f>
        <x:v>0</x:v>
      </x:c>
      <x:c r="R12" s="89" t="str">
        <x:f>IF(A12="","",IF(F12="C12成功",IF(AND(J12&lt;&gt;"",K12&lt;&gt;"",N12&gt;0),"有证据","缺C12证据"),IF(F12="C12发货确认中",IF(AND(J12&lt;&gt;"",K12&lt;&gt;""),"有证据","缺C12证据"),IF(F12="手动完结",IF(OR(L12&lt;&gt;"",O12&lt;&gt;"",S12&lt;&gt;""),"有记录","缺手工证据"),IF(OR(F12="卖出待补仓",F12="提交结果待确认",F12="异常待处理"),"持续跟踪","检查状态")))))</x:f>
      </x:c>
      <x:c r="S12" s="81"/>
      <x:c r="T12" s="89" t="str">
        <x:f>IF(A12="","",IF(COUNTIF($A$5:$A$1204,A12)&gt;1,"重复",""))</x:f>
      </x:c>
      <x:c r="U12" s="89" t="str">
        <x:f>IF(A12="","",IF(T12="重复","检查重复",IF(OR(R12="有证据",R12="有记录",R12="持续跟踪"),"可追踪","检查")))</x:f>
      </x:c>
    </x:row>
    <x:row r="13">
      <x:c r="A13" s="90"/>
      <x:c r="B13" s="90"/>
      <x:c r="C13" s="90"/>
      <x:c r="D13" s="91"/>
      <x:c r="E13" s="92"/>
      <x:c r="F13" s="90"/>
      <x:c r="G13" s="90"/>
      <x:c r="H13" s="90"/>
      <x:c r="I13" s="90"/>
      <x:c r="J13" s="90"/>
      <x:c r="K13" s="90"/>
      <x:c r="L13" s="90"/>
      <x:c r="M13" s="92"/>
      <x:c r="N13" s="92"/>
      <x:c r="O13" s="92"/>
      <x:c r="P13" s="86" t="str">
        <x:f>IF(A13="","",IF(N13&gt;0,N13,M13))</x:f>
      </x:c>
      <x:c r="Q13" s="88" t="n">
        <x:f>IF(A13="",0,IF(COUNTIF($A$5:A13,A13)=1,1,0))</x:f>
        <x:v>0</x:v>
      </x:c>
      <x:c r="R13" s="89" t="str">
        <x:f>IF(A13="","",IF(F13="C13成功",IF(AND(J13&lt;&gt;"",K13&lt;&gt;"",N13&gt;0),"有证据","缺C13证据"),IF(F13="C13发货确认中",IF(AND(J13&lt;&gt;"",K13&lt;&gt;""),"有证据","缺C13证据"),IF(F13="手动完结",IF(OR(L13&lt;&gt;"",O13&lt;&gt;"",S13&lt;&gt;""),"有记录","缺手工证据"),IF(OR(F13="卖出待补仓",F13="提交结果待确认",F13="异常待处理"),"持续跟踪","检查状态")))))</x:f>
      </x:c>
      <x:c r="S13" s="81"/>
      <x:c r="T13" s="89" t="str">
        <x:f>IF(A13="","",IF(COUNTIF($A$5:$A$1204,A13)&gt;1,"重复",""))</x:f>
      </x:c>
      <x:c r="U13" s="89" t="str">
        <x:f>IF(A13="","",IF(T13="重复","检查重复",IF(OR(R13="有证据",R13="有记录",R13="持续跟踪"),"可追踪","检查")))</x:f>
      </x:c>
    </x:row>
    <x:row r="14">
      <x:c r="A14" s="90"/>
      <x:c r="B14" s="90"/>
      <x:c r="C14" s="90"/>
      <x:c r="D14" s="91"/>
      <x:c r="E14" s="92"/>
      <x:c r="F14" s="90"/>
      <x:c r="G14" s="90"/>
      <x:c r="H14" s="90"/>
      <x:c r="I14" s="90"/>
      <x:c r="J14" s="90"/>
      <x:c r="K14" s="90"/>
      <x:c r="L14" s="90"/>
      <x:c r="M14" s="92"/>
      <x:c r="N14" s="92"/>
      <x:c r="O14" s="92"/>
      <x:c r="P14" s="86" t="str">
        <x:f>IF(A14="","",IF(N14&gt;0,N14,M14))</x:f>
      </x:c>
      <x:c r="Q14" s="88" t="n">
        <x:f>IF(A14="",0,IF(COUNTIF($A$5:A14,A14)=1,1,0))</x:f>
        <x:v>0</x:v>
      </x:c>
      <x:c r="R14" s="89" t="str">
        <x:f>IF(A14="","",IF(F14="C14成功",IF(AND(J14&lt;&gt;"",K14&lt;&gt;"",N14&gt;0),"有证据","缺C14证据"),IF(F14="C14发货确认中",IF(AND(J14&lt;&gt;"",K14&lt;&gt;""),"有证据","缺C14证据"),IF(F14="手动完结",IF(OR(L14&lt;&gt;"",O14&lt;&gt;"",S14&lt;&gt;""),"有记录","缺手工证据"),IF(OR(F14="卖出待补仓",F14="提交结果待确认",F14="异常待处理"),"持续跟踪","检查状态")))))</x:f>
      </x:c>
      <x:c r="S14" s="81"/>
      <x:c r="T14" s="89" t="str">
        <x:f>IF(A14="","",IF(COUNTIF($A$5:$A$1204,A14)&gt;1,"重复",""))</x:f>
      </x:c>
      <x:c r="U14" s="89" t="str">
        <x:f>IF(A14="","",IF(T14="重复","检查重复",IF(OR(R14="有证据",R14="有记录",R14="持续跟踪"),"可追踪","检查")))</x:f>
      </x:c>
    </x:row>
    <x:row r="15">
      <x:c r="A15" s="90"/>
      <x:c r="B15" s="90"/>
      <x:c r="C15" s="90"/>
      <x:c r="D15" s="91"/>
      <x:c r="E15" s="92"/>
      <x:c r="F15" s="90"/>
      <x:c r="G15" s="90"/>
      <x:c r="H15" s="90"/>
      <x:c r="I15" s="90"/>
      <x:c r="J15" s="90"/>
      <x:c r="K15" s="90"/>
      <x:c r="L15" s="90"/>
      <x:c r="M15" s="92"/>
      <x:c r="N15" s="92"/>
      <x:c r="O15" s="92"/>
      <x:c r="P15" s="86" t="str">
        <x:f>IF(A15="","",IF(N15&gt;0,N15,M15))</x:f>
      </x:c>
      <x:c r="Q15" s="88" t="n">
        <x:f>IF(A15="",0,IF(COUNTIF($A$5:A15,A15)=1,1,0))</x:f>
        <x:v>0</x:v>
      </x:c>
      <x:c r="R15" s="89" t="str">
        <x:f>IF(A15="","",IF(F15="C15成功",IF(AND(J15&lt;&gt;"",K15&lt;&gt;"",N15&gt;0),"有证据","缺C15证据"),IF(F15="C15发货确认中",IF(AND(J15&lt;&gt;"",K15&lt;&gt;""),"有证据","缺C15证据"),IF(F15="手动完结",IF(OR(L15&lt;&gt;"",O15&lt;&gt;"",S15&lt;&gt;""),"有记录","缺手工证据"),IF(OR(F15="卖出待补仓",F15="提交结果待确认",F15="异常待处理"),"持续跟踪","检查状态")))))</x:f>
      </x:c>
      <x:c r="S15" s="81"/>
      <x:c r="T15" s="89" t="str">
        <x:f>IF(A15="","",IF(COUNTIF($A$5:$A$1204,A15)&gt;1,"重复",""))</x:f>
      </x:c>
      <x:c r="U15" s="89" t="str">
        <x:f>IF(A15="","",IF(T15="重复","检查重复",IF(OR(R15="有证据",R15="有记录",R15="持续跟踪"),"可追踪","检查")))</x:f>
      </x:c>
    </x:row>
    <x:row r="16">
      <x:c r="A16" s="90"/>
      <x:c r="B16" s="90"/>
      <x:c r="C16" s="90"/>
      <x:c r="D16" s="91"/>
      <x:c r="E16" s="92"/>
      <x:c r="F16" s="90"/>
      <x:c r="G16" s="90"/>
      <x:c r="H16" s="90"/>
      <x:c r="I16" s="90"/>
      <x:c r="J16" s="90"/>
      <x:c r="K16" s="90"/>
      <x:c r="L16" s="90"/>
      <x:c r="M16" s="92"/>
      <x:c r="N16" s="92"/>
      <x:c r="O16" s="92"/>
      <x:c r="P16" s="86" t="str">
        <x:f>IF(A16="","",IF(N16&gt;0,N16,M16))</x:f>
      </x:c>
      <x:c r="Q16" s="88" t="n">
        <x:f>IF(A16="",0,IF(COUNTIF($A$5:A16,A16)=1,1,0))</x:f>
        <x:v>0</x:v>
      </x:c>
      <x:c r="R16" s="89" t="str">
        <x:f>IF(A16="","",IF(F16="C16成功",IF(AND(J16&lt;&gt;"",K16&lt;&gt;"",N16&gt;0),"有证据","缺C16证据"),IF(F16="C16发货确认中",IF(AND(J16&lt;&gt;"",K16&lt;&gt;""),"有证据","缺C16证据"),IF(F16="手动完结",IF(OR(L16&lt;&gt;"",O16&lt;&gt;"",S16&lt;&gt;""),"有记录","缺手工证据"),IF(OR(F16="卖出待补仓",F16="提交结果待确认",F16="异常待处理"),"持续跟踪","检查状态")))))</x:f>
      </x:c>
      <x:c r="S16" s="81"/>
      <x:c r="T16" s="89" t="str">
        <x:f>IF(A16="","",IF(COUNTIF($A$5:$A$1204,A16)&gt;1,"重复",""))</x:f>
      </x:c>
      <x:c r="U16" s="89" t="str">
        <x:f>IF(A16="","",IF(T16="重复","检查重复",IF(OR(R16="有证据",R16="有记录",R16="持续跟踪"),"可追踪","检查")))</x:f>
      </x:c>
    </x:row>
    <x:row r="17">
      <x:c r="A17" s="90"/>
      <x:c r="B17" s="90"/>
      <x:c r="C17" s="90"/>
      <x:c r="D17" s="91"/>
      <x:c r="E17" s="92"/>
      <x:c r="F17" s="90"/>
      <x:c r="G17" s="90"/>
      <x:c r="H17" s="90"/>
      <x:c r="I17" s="90"/>
      <x:c r="J17" s="90"/>
      <x:c r="K17" s="90"/>
      <x:c r="L17" s="90"/>
      <x:c r="M17" s="92"/>
      <x:c r="N17" s="92"/>
      <x:c r="O17" s="92"/>
      <x:c r="P17" s="86" t="str">
        <x:f>IF(A17="","",IF(N17&gt;0,N17,M17))</x:f>
      </x:c>
      <x:c r="Q17" s="88" t="n">
        <x:f>IF(A17="",0,IF(COUNTIF($A$5:A17,A17)=1,1,0))</x:f>
        <x:v>0</x:v>
      </x:c>
      <x:c r="R17" s="89" t="str">
        <x:f>IF(A17="","",IF(F17="C17成功",IF(AND(J17&lt;&gt;"",K17&lt;&gt;"",N17&gt;0),"有证据","缺C17证据"),IF(F17="C17发货确认中",IF(AND(J17&lt;&gt;"",K17&lt;&gt;""),"有证据","缺C17证据"),IF(F17="手动完结",IF(OR(L17&lt;&gt;"",O17&lt;&gt;"",S17&lt;&gt;""),"有记录","缺手工证据"),IF(OR(F17="卖出待补仓",F17="提交结果待确认",F17="异常待处理"),"持续跟踪","检查状态")))))</x:f>
      </x:c>
      <x:c r="S17" s="81"/>
      <x:c r="T17" s="89" t="str">
        <x:f>IF(A17="","",IF(COUNTIF($A$5:$A$1204,A17)&gt;1,"重复",""))</x:f>
      </x:c>
      <x:c r="U17" s="89" t="str">
        <x:f>IF(A17="","",IF(T17="重复","检查重复",IF(OR(R17="有证据",R17="有记录",R17="持续跟踪"),"可追踪","检查")))</x:f>
      </x:c>
    </x:row>
    <x:row r="18">
      <x:c r="A18" s="90"/>
      <x:c r="B18" s="90"/>
      <x:c r="C18" s="90"/>
      <x:c r="D18" s="91"/>
      <x:c r="E18" s="92"/>
      <x:c r="F18" s="90"/>
      <x:c r="G18" s="90"/>
      <x:c r="H18" s="90"/>
      <x:c r="I18" s="90"/>
      <x:c r="J18" s="90"/>
      <x:c r="K18" s="90"/>
      <x:c r="L18" s="90"/>
      <x:c r="M18" s="92"/>
      <x:c r="N18" s="92"/>
      <x:c r="O18" s="92"/>
      <x:c r="P18" s="86" t="str">
        <x:f>IF(A18="","",IF(N18&gt;0,N18,M18))</x:f>
      </x:c>
      <x:c r="Q18" s="88" t="n">
        <x:f>IF(A18="",0,IF(COUNTIF($A$5:A18,A18)=1,1,0))</x:f>
        <x:v>0</x:v>
      </x:c>
      <x:c r="R18" s="89" t="str">
        <x:f>IF(A18="","",IF(F18="C18成功",IF(AND(J18&lt;&gt;"",K18&lt;&gt;"",N18&gt;0),"有证据","缺C18证据"),IF(F18="C18发货确认中",IF(AND(J18&lt;&gt;"",K18&lt;&gt;""),"有证据","缺C18证据"),IF(F18="手动完结",IF(OR(L18&lt;&gt;"",O18&lt;&gt;"",S18&lt;&gt;""),"有记录","缺手工证据"),IF(OR(F18="卖出待补仓",F18="提交结果待确认",F18="异常待处理"),"持续跟踪","检查状态")))))</x:f>
      </x:c>
      <x:c r="S18" s="81"/>
      <x:c r="T18" s="89" t="str">
        <x:f>IF(A18="","",IF(COUNTIF($A$5:$A$1204,A18)&gt;1,"重复",""))</x:f>
      </x:c>
      <x:c r="U18" s="89" t="str">
        <x:f>IF(A18="","",IF(T18="重复","检查重复",IF(OR(R18="有证据",R18="有记录",R18="持续跟踪"),"可追踪","检查")))</x:f>
      </x:c>
    </x:row>
    <x:row r="19">
      <x:c r="A19" s="90"/>
      <x:c r="B19" s="90"/>
      <x:c r="C19" s="90"/>
      <x:c r="D19" s="91"/>
      <x:c r="E19" s="92"/>
      <x:c r="F19" s="90"/>
      <x:c r="G19" s="90"/>
      <x:c r="H19" s="90"/>
      <x:c r="I19" s="90"/>
      <x:c r="J19" s="90"/>
      <x:c r="K19" s="90"/>
      <x:c r="L19" s="90"/>
      <x:c r="M19" s="92"/>
      <x:c r="N19" s="92"/>
      <x:c r="O19" s="92"/>
      <x:c r="P19" s="86" t="str">
        <x:f>IF(A19="","",IF(N19&gt;0,N19,M19))</x:f>
      </x:c>
      <x:c r="Q19" s="88" t="n">
        <x:f>IF(A19="",0,IF(COUNTIF($A$5:A19,A19)=1,1,0))</x:f>
        <x:v>0</x:v>
      </x:c>
      <x:c r="R19" s="89" t="str">
        <x:f>IF(A19="","",IF(F19="C19成功",IF(AND(J19&lt;&gt;"",K19&lt;&gt;"",N19&gt;0),"有证据","缺C19证据"),IF(F19="C19发货确认中",IF(AND(J19&lt;&gt;"",K19&lt;&gt;""),"有证据","缺C19证据"),IF(F19="手动完结",IF(OR(L19&lt;&gt;"",O19&lt;&gt;"",S19&lt;&gt;""),"有记录","缺手工证据"),IF(OR(F19="卖出待补仓",F19="提交结果待确认",F19="异常待处理"),"持续跟踪","检查状态")))))</x:f>
      </x:c>
      <x:c r="S19" s="81"/>
      <x:c r="T19" s="89" t="str">
        <x:f>IF(A19="","",IF(COUNTIF($A$5:$A$1204,A19)&gt;1,"重复",""))</x:f>
      </x:c>
      <x:c r="U19" s="89" t="str">
        <x:f>IF(A19="","",IF(T19="重复","检查重复",IF(OR(R19="有证据",R19="有记录",R19="持续跟踪"),"可追踪","检查")))</x:f>
      </x:c>
    </x:row>
    <x:row r="20">
      <x:c r="A20" s="90"/>
      <x:c r="B20" s="90"/>
      <x:c r="C20" s="90"/>
      <x:c r="D20" s="91"/>
      <x:c r="E20" s="92"/>
      <x:c r="F20" s="90"/>
      <x:c r="G20" s="90"/>
      <x:c r="H20" s="90"/>
      <x:c r="I20" s="90"/>
      <x:c r="J20" s="90"/>
      <x:c r="K20" s="90"/>
      <x:c r="L20" s="90"/>
      <x:c r="M20" s="92"/>
      <x:c r="N20" s="92"/>
      <x:c r="O20" s="92"/>
      <x:c r="P20" s="86" t="str">
        <x:f>IF(A20="","",IF(N20&gt;0,N20,M20))</x:f>
      </x:c>
      <x:c r="Q20" s="88" t="n">
        <x:f>IF(A20="",0,IF(COUNTIF($A$5:A20,A20)=1,1,0))</x:f>
        <x:v>0</x:v>
      </x:c>
      <x:c r="R20" s="89" t="str">
        <x:f>IF(A20="","",IF(F20="C20成功",IF(AND(J20&lt;&gt;"",K20&lt;&gt;"",N20&gt;0),"有证据","缺C20证据"),IF(F20="C20发货确认中",IF(AND(J20&lt;&gt;"",K20&lt;&gt;""),"有证据","缺C20证据"),IF(F20="手动完结",IF(OR(L20&lt;&gt;"",O20&lt;&gt;"",S20&lt;&gt;""),"有记录","缺手工证据"),IF(OR(F20="卖出待补仓",F20="提交结果待确认",F20="异常待处理"),"持续跟踪","检查状态")))))</x:f>
      </x:c>
      <x:c r="S20" s="81"/>
      <x:c r="T20" s="89" t="str">
        <x:f>IF(A20="","",IF(COUNTIF($A$5:$A$1204,A20)&gt;1,"重复",""))</x:f>
      </x:c>
      <x:c r="U20" s="89" t="str">
        <x:f>IF(A20="","",IF(T20="重复","检查重复",IF(OR(R20="有证据",R20="有记录",R20="持续跟踪"),"可追踪","检查")))</x:f>
      </x:c>
    </x:row>
    <x:row r="21">
      <x:c r="A21" s="12"/>
      <x:c r="B21" s="12"/>
      <x:c r="C21" s="12"/>
      <x:c r="D21" s="65"/>
      <x:c r="E21" s="67"/>
      <x:c r="F21" s="12"/>
      <x:c r="G21" s="12"/>
      <x:c r="H21" s="12"/>
      <x:c r="I21" s="12"/>
      <x:c r="J21" s="12"/>
      <x:c r="K21" s="12"/>
      <x:c r="L21" s="12"/>
      <x:c r="M21" s="67"/>
      <x:c r="N21" s="67"/>
      <x:c r="O21" s="67"/>
      <x:c r="P21" s="29" t="str">
        <x:f>IF(A21="","",IF(N21&gt;0,N21,M21))</x:f>
      </x:c>
      <x:c r="Q21" s="31" t="n">
        <x:f>IF(A21="",0,IF(COUNTIF($A$5:A21,A21)=1,1,0))</x:f>
        <x:v>0</x:v>
      </x:c>
      <x:c r="R21" s="15" t="str">
        <x:f>IF(A21="","",IF(F21="C21成功",IF(AND(J21&lt;&gt;"",K21&lt;&gt;"",N21&gt;0),"有证据","缺C21证据"),IF(F21="C21发货确认中",IF(AND(J21&lt;&gt;"",K21&lt;&gt;""),"有证据","缺C21证据"),IF(F21="手动完结",IF(OR(L21&lt;&gt;"",O21&lt;&gt;"",S21&lt;&gt;""),"有记录","缺手工证据"),IF(OR(F21="卖出待补仓",F21="提交结果待确认",F21="异常待处理"),"持续跟踪","检查状态")))))</x:f>
      </x:c>
      <x:c r="S21" s="1"/>
      <x:c r="T21" s="15" t="str">
        <x:f>IF(A21="","",IF(COUNTIF($A$5:$A$1204,A21)&gt;1,"重复",""))</x:f>
      </x:c>
      <x:c r="U21" s="15" t="str">
        <x:f>IF(A21="","",IF(T21="重复","检查重复",IF(OR(R21="有证据",R21="有记录",R21="持续跟踪"),"可追踪","检查")))</x:f>
      </x:c>
    </x:row>
    <x:row r="22">
      <x:c r="A22" s="12"/>
      <x:c r="B22" s="12"/>
      <x:c r="C22" s="12"/>
      <x:c r="D22" s="65"/>
      <x:c r="E22" s="67"/>
      <x:c r="F22" s="12"/>
      <x:c r="G22" s="12"/>
      <x:c r="H22" s="12"/>
      <x:c r="I22" s="12"/>
      <x:c r="J22" s="12"/>
      <x:c r="K22" s="12"/>
      <x:c r="L22" s="12"/>
      <x:c r="M22" s="67"/>
      <x:c r="N22" s="67"/>
      <x:c r="O22" s="67"/>
      <x:c r="P22" s="29" t="str">
        <x:f>IF(A22="","",IF(N22&gt;0,N22,M22))</x:f>
      </x:c>
      <x:c r="Q22" s="31" t="n">
        <x:f>IF(A22="",0,IF(COUNTIF($A$5:A22,A22)=1,1,0))</x:f>
        <x:v>0</x:v>
      </x:c>
      <x:c r="R22" s="15" t="str">
        <x:f>IF(A22="","",IF(F22="C22成功",IF(AND(J22&lt;&gt;"",K22&lt;&gt;"",N22&gt;0),"有证据","缺C22证据"),IF(F22="C22发货确认中",IF(AND(J22&lt;&gt;"",K22&lt;&gt;""),"有证据","缺C22证据"),IF(F22="手动完结",IF(OR(L22&lt;&gt;"",O22&lt;&gt;"",S22&lt;&gt;""),"有记录","缺手工证据"),IF(OR(F22="卖出待补仓",F22="提交结果待确认",F22="异常待处理"),"持续跟踪","检查状态")))))</x:f>
      </x:c>
      <x:c r="S22" s="1"/>
      <x:c r="T22" s="15" t="str">
        <x:f>IF(A22="","",IF(COUNTIF($A$5:$A$1204,A22)&gt;1,"重复",""))</x:f>
      </x:c>
      <x:c r="U22" s="15" t="str">
        <x:f>IF(A22="","",IF(T22="重复","检查重复",IF(OR(R22="有证据",R22="有记录",R22="持续跟踪"),"可追踪","检查")))</x:f>
      </x:c>
    </x:row>
    <x:row r="23">
      <x:c r="A23" s="12"/>
      <x:c r="B23" s="12"/>
      <x:c r="C23" s="12"/>
      <x:c r="D23" s="65"/>
      <x:c r="E23" s="67"/>
      <x:c r="F23" s="12"/>
      <x:c r="G23" s="12"/>
      <x:c r="H23" s="12"/>
      <x:c r="I23" s="12"/>
      <x:c r="J23" s="12"/>
      <x:c r="K23" s="12"/>
      <x:c r="L23" s="12"/>
      <x:c r="M23" s="67"/>
      <x:c r="N23" s="67"/>
      <x:c r="O23" s="67"/>
      <x:c r="P23" s="29" t="str">
        <x:f>IF(A23="","",IF(N23&gt;0,N23,M23))</x:f>
      </x:c>
      <x:c r="Q23" s="31" t="n">
        <x:f>IF(A23="",0,IF(COUNTIF($A$5:A23,A23)=1,1,0))</x:f>
        <x:v>0</x:v>
      </x:c>
      <x:c r="R23" s="15" t="str">
        <x:f>IF(A23="","",IF(F23="C23成功",IF(AND(J23&lt;&gt;"",K23&lt;&gt;"",N23&gt;0),"有证据","缺C23证据"),IF(F23="C23发货确认中",IF(AND(J23&lt;&gt;"",K23&lt;&gt;""),"有证据","缺C23证据"),IF(F23="手动完结",IF(OR(L23&lt;&gt;"",O23&lt;&gt;"",S23&lt;&gt;""),"有记录","缺手工证据"),IF(OR(F23="卖出待补仓",F23="提交结果待确认",F23="异常待处理"),"持续跟踪","检查状态")))))</x:f>
      </x:c>
      <x:c r="S23" s="1"/>
      <x:c r="T23" s="15" t="str">
        <x:f>IF(A23="","",IF(COUNTIF($A$5:$A$1204,A23)&gt;1,"重复",""))</x:f>
      </x:c>
      <x:c r="U23" s="15" t="str">
        <x:f>IF(A23="","",IF(T23="重复","检查重复",IF(OR(R23="有证据",R23="有记录",R23="持续跟踪"),"可追踪","检查")))</x:f>
      </x:c>
    </x:row>
    <x:row r="24">
      <x:c r="A24" s="12"/>
      <x:c r="B24" s="12"/>
      <x:c r="C24" s="12"/>
      <x:c r="D24" s="65"/>
      <x:c r="E24" s="67"/>
      <x:c r="F24" s="12"/>
      <x:c r="G24" s="12"/>
      <x:c r="H24" s="12"/>
      <x:c r="I24" s="12"/>
      <x:c r="J24" s="12"/>
      <x:c r="K24" s="12"/>
      <x:c r="L24" s="12"/>
      <x:c r="M24" s="67"/>
      <x:c r="N24" s="67"/>
      <x:c r="O24" s="67"/>
      <x:c r="P24" s="29" t="str">
        <x:f>IF(A24="","",IF(N24&gt;0,N24,M24))</x:f>
      </x:c>
      <x:c r="Q24" s="31" t="n">
        <x:f>IF(A24="",0,IF(COUNTIF($A$5:A24,A24)=1,1,0))</x:f>
        <x:v>0</x:v>
      </x:c>
      <x:c r="R24" s="15" t="str">
        <x:f>IF(A24="","",IF(F24="C24成功",IF(AND(J24&lt;&gt;"",K24&lt;&gt;"",N24&gt;0),"有证据","缺C24证据"),IF(F24="C24发货确认中",IF(AND(J24&lt;&gt;"",K24&lt;&gt;""),"有证据","缺C24证据"),IF(F24="手动完结",IF(OR(L24&lt;&gt;"",O24&lt;&gt;"",S24&lt;&gt;""),"有记录","缺手工证据"),IF(OR(F24="卖出待补仓",F24="提交结果待确认",F24="异常待处理"),"持续跟踪","检查状态")))))</x:f>
      </x:c>
      <x:c r="S24" s="1"/>
      <x:c r="T24" s="15" t="str">
        <x:f>IF(A24="","",IF(COUNTIF($A$5:$A$1204,A24)&gt;1,"重复",""))</x:f>
      </x:c>
      <x:c r="U24" s="15" t="str">
        <x:f>IF(A24="","",IF(T24="重复","检查重复",IF(OR(R24="有证据",R24="有记录",R24="持续跟踪"),"可追踪","检查")))</x:f>
      </x:c>
    </x:row>
    <x:row r="25">
      <x:c r="A25" s="12"/>
      <x:c r="B25" s="12"/>
      <x:c r="C25" s="12"/>
      <x:c r="D25" s="65"/>
      <x:c r="E25" s="67"/>
      <x:c r="F25" s="12"/>
      <x:c r="G25" s="12"/>
      <x:c r="H25" s="12"/>
      <x:c r="I25" s="12"/>
      <x:c r="J25" s="12"/>
      <x:c r="K25" s="12"/>
      <x:c r="L25" s="12"/>
      <x:c r="M25" s="67"/>
      <x:c r="N25" s="67"/>
      <x:c r="O25" s="67"/>
      <x:c r="P25" s="29" t="str">
        <x:f>IF(A25="","",IF(N25&gt;0,N25,M25))</x:f>
      </x:c>
      <x:c r="Q25" s="31" t="n">
        <x:f>IF(A25="",0,IF(COUNTIF($A$5:A25,A25)=1,1,0))</x:f>
        <x:v>0</x:v>
      </x:c>
      <x:c r="R25" s="15" t="str">
        <x:f>IF(A25="","",IF(F25="C25成功",IF(AND(J25&lt;&gt;"",K25&lt;&gt;"",N25&gt;0),"有证据","缺C25证据"),IF(F25="C25发货确认中",IF(AND(J25&lt;&gt;"",K25&lt;&gt;""),"有证据","缺C25证据"),IF(F25="手动完结",IF(OR(L25&lt;&gt;"",O25&lt;&gt;"",S25&lt;&gt;""),"有记录","缺手工证据"),IF(OR(F25="卖出待补仓",F25="提交结果待确认",F25="异常待处理"),"持续跟踪","检查状态")))))</x:f>
      </x:c>
      <x:c r="S25" s="1"/>
      <x:c r="T25" s="15" t="str">
        <x:f>IF(A25="","",IF(COUNTIF($A$5:$A$1204,A25)&gt;1,"重复",""))</x:f>
      </x:c>
      <x:c r="U25" s="15" t="str">
        <x:f>IF(A25="","",IF(T25="重复","检查重复",IF(OR(R25="有证据",R25="有记录",R25="持续跟踪"),"可追踪","检查")))</x:f>
      </x:c>
    </x:row>
    <x:row r="26">
      <x:c r="A26" s="12"/>
      <x:c r="B26" s="12"/>
      <x:c r="C26" s="12"/>
      <x:c r="D26" s="65"/>
      <x:c r="E26" s="67"/>
      <x:c r="F26" s="12"/>
      <x:c r="G26" s="12"/>
      <x:c r="H26" s="12"/>
      <x:c r="I26" s="12"/>
      <x:c r="J26" s="12"/>
      <x:c r="K26" s="12"/>
      <x:c r="L26" s="12"/>
      <x:c r="M26" s="67"/>
      <x:c r="N26" s="67"/>
      <x:c r="O26" s="67"/>
      <x:c r="P26" s="29" t="str">
        <x:f>IF(A26="","",IF(N26&gt;0,N26,M26))</x:f>
      </x:c>
      <x:c r="Q26" s="31" t="n">
        <x:f>IF(A26="",0,IF(COUNTIF($A$5:A26,A26)=1,1,0))</x:f>
        <x:v>0</x:v>
      </x:c>
      <x:c r="R26" s="15" t="str">
        <x:f>IF(A26="","",IF(F26="C26成功",IF(AND(J26&lt;&gt;"",K26&lt;&gt;"",N26&gt;0),"有证据","缺C26证据"),IF(F26="C26发货确认中",IF(AND(J26&lt;&gt;"",K26&lt;&gt;""),"有证据","缺C26证据"),IF(F26="手动完结",IF(OR(L26&lt;&gt;"",O26&lt;&gt;"",S26&lt;&gt;""),"有记录","缺手工证据"),IF(OR(F26="卖出待补仓",F26="提交结果待确认",F26="异常待处理"),"持续跟踪","检查状态")))))</x:f>
      </x:c>
      <x:c r="S26" s="1"/>
      <x:c r="T26" s="15" t="str">
        <x:f>IF(A26="","",IF(COUNTIF($A$5:$A$1204,A26)&gt;1,"重复",""))</x:f>
      </x:c>
      <x:c r="U26" s="15" t="str">
        <x:f>IF(A26="","",IF(T26="重复","检查重复",IF(OR(R26="有证据",R26="有记录",R26="持续跟踪"),"可追踪","检查")))</x:f>
      </x:c>
    </x:row>
    <x:row r="27">
      <x:c r="A27" s="12"/>
      <x:c r="B27" s="12"/>
      <x:c r="C27" s="12"/>
      <x:c r="D27" s="65"/>
      <x:c r="E27" s="67"/>
      <x:c r="F27" s="12"/>
      <x:c r="G27" s="12"/>
      <x:c r="H27" s="12"/>
      <x:c r="I27" s="12"/>
      <x:c r="J27" s="12"/>
      <x:c r="K27" s="12"/>
      <x:c r="L27" s="12"/>
      <x:c r="M27" s="67"/>
      <x:c r="N27" s="67"/>
      <x:c r="O27" s="67"/>
      <x:c r="P27" s="29" t="str">
        <x:f>IF(A27="","",IF(N27&gt;0,N27,M27))</x:f>
      </x:c>
      <x:c r="Q27" s="31" t="n">
        <x:f>IF(A27="",0,IF(COUNTIF($A$5:A27,A27)=1,1,0))</x:f>
        <x:v>0</x:v>
      </x:c>
      <x:c r="R27" s="15" t="str">
        <x:f>IF(A27="","",IF(F27="C27成功",IF(AND(J27&lt;&gt;"",K27&lt;&gt;"",N27&gt;0),"有证据","缺C27证据"),IF(F27="C27发货确认中",IF(AND(J27&lt;&gt;"",K27&lt;&gt;""),"有证据","缺C27证据"),IF(F27="手动完结",IF(OR(L27&lt;&gt;"",O27&lt;&gt;"",S27&lt;&gt;""),"有记录","缺手工证据"),IF(OR(F27="卖出待补仓",F27="提交结果待确认",F27="异常待处理"),"持续跟踪","检查状态")))))</x:f>
      </x:c>
      <x:c r="S27" s="1"/>
      <x:c r="T27" s="15" t="str">
        <x:f>IF(A27="","",IF(COUNTIF($A$5:$A$1204,A27)&gt;1,"重复",""))</x:f>
      </x:c>
      <x:c r="U27" s="15" t="str">
        <x:f>IF(A27="","",IF(T27="重复","检查重复",IF(OR(R27="有证据",R27="有记录",R27="持续跟踪"),"可追踪","检查")))</x:f>
      </x:c>
    </x:row>
    <x:row r="28">
      <x:c r="A28" s="12"/>
      <x:c r="B28" s="12"/>
      <x:c r="C28" s="12"/>
      <x:c r="D28" s="65"/>
      <x:c r="E28" s="67"/>
      <x:c r="F28" s="12"/>
      <x:c r="G28" s="12"/>
      <x:c r="H28" s="12"/>
      <x:c r="I28" s="12"/>
      <x:c r="J28" s="12"/>
      <x:c r="K28" s="12"/>
      <x:c r="L28" s="12"/>
      <x:c r="M28" s="67"/>
      <x:c r="N28" s="67"/>
      <x:c r="O28" s="67"/>
      <x:c r="P28" s="29" t="str">
        <x:f>IF(A28="","",IF(N28&gt;0,N28,M28))</x:f>
      </x:c>
      <x:c r="Q28" s="31" t="n">
        <x:f>IF(A28="",0,IF(COUNTIF($A$5:A28,A28)=1,1,0))</x:f>
        <x:v>0</x:v>
      </x:c>
      <x:c r="R28" s="15" t="str">
        <x:f>IF(A28="","",IF(F28="C28成功",IF(AND(J28&lt;&gt;"",K28&lt;&gt;"",N28&gt;0),"有证据","缺C28证据"),IF(F28="C28发货确认中",IF(AND(J28&lt;&gt;"",K28&lt;&gt;""),"有证据","缺C28证据"),IF(F28="手动完结",IF(OR(L28&lt;&gt;"",O28&lt;&gt;"",S28&lt;&gt;""),"有记录","缺手工证据"),IF(OR(F28="卖出待补仓",F28="提交结果待确认",F28="异常待处理"),"持续跟踪","检查状态")))))</x:f>
      </x:c>
      <x:c r="S28" s="1"/>
      <x:c r="T28" s="15" t="str">
        <x:f>IF(A28="","",IF(COUNTIF($A$5:$A$1204,A28)&gt;1,"重复",""))</x:f>
      </x:c>
      <x:c r="U28" s="15" t="str">
        <x:f>IF(A28="","",IF(T28="重复","检查重复",IF(OR(R28="有证据",R28="有记录",R28="持续跟踪"),"可追踪","检查")))</x:f>
      </x:c>
    </x:row>
    <x:row r="29">
      <x:c r="A29" s="12"/>
      <x:c r="B29" s="12"/>
      <x:c r="C29" s="12"/>
      <x:c r="D29" s="65"/>
      <x:c r="E29" s="67"/>
      <x:c r="F29" s="12"/>
      <x:c r="G29" s="12"/>
      <x:c r="H29" s="12"/>
      <x:c r="I29" s="12"/>
      <x:c r="J29" s="12"/>
      <x:c r="K29" s="12"/>
      <x:c r="L29" s="12"/>
      <x:c r="M29" s="67"/>
      <x:c r="N29" s="67"/>
      <x:c r="O29" s="67"/>
      <x:c r="P29" s="29" t="str">
        <x:f>IF(A29="","",IF(N29&gt;0,N29,M29))</x:f>
      </x:c>
      <x:c r="Q29" s="31" t="n">
        <x:f>IF(A29="",0,IF(COUNTIF($A$5:A29,A29)=1,1,0))</x:f>
        <x:v>0</x:v>
      </x:c>
      <x:c r="R29" s="15" t="str">
        <x:f>IF(A29="","",IF(F29="C29成功",IF(AND(J29&lt;&gt;"",K29&lt;&gt;"",N29&gt;0),"有证据","缺C29证据"),IF(F29="C29发货确认中",IF(AND(J29&lt;&gt;"",K29&lt;&gt;""),"有证据","缺C29证据"),IF(F29="手动完结",IF(OR(L29&lt;&gt;"",O29&lt;&gt;"",S29&lt;&gt;""),"有记录","缺手工证据"),IF(OR(F29="卖出待补仓",F29="提交结果待确认",F29="异常待处理"),"持续跟踪","检查状态")))))</x:f>
      </x:c>
      <x:c r="S29" s="1"/>
      <x:c r="T29" s="15" t="str">
        <x:f>IF(A29="","",IF(COUNTIF($A$5:$A$1204,A29)&gt;1,"重复",""))</x:f>
      </x:c>
      <x:c r="U29" s="15" t="str">
        <x:f>IF(A29="","",IF(T29="重复","检查重复",IF(OR(R29="有证据",R29="有记录",R29="持续跟踪"),"可追踪","检查")))</x:f>
      </x:c>
    </x:row>
    <x:row r="30">
      <x:c r="A30" s="12"/>
      <x:c r="B30" s="12"/>
      <x:c r="C30" s="12"/>
      <x:c r="D30" s="65"/>
      <x:c r="E30" s="67"/>
      <x:c r="F30" s="12"/>
      <x:c r="G30" s="12"/>
      <x:c r="H30" s="12"/>
      <x:c r="I30" s="12"/>
      <x:c r="J30" s="12"/>
      <x:c r="K30" s="12"/>
      <x:c r="L30" s="12"/>
      <x:c r="M30" s="67"/>
      <x:c r="N30" s="67"/>
      <x:c r="O30" s="67"/>
      <x:c r="P30" s="29" t="str">
        <x:f>IF(A30="","",IF(N30&gt;0,N30,M30))</x:f>
      </x:c>
      <x:c r="Q30" s="31" t="n">
        <x:f>IF(A30="",0,IF(COUNTIF($A$5:A30,A30)=1,1,0))</x:f>
        <x:v>0</x:v>
      </x:c>
      <x:c r="R30" s="15" t="str">
        <x:f>IF(A30="","",IF(F30="C30成功",IF(AND(J30&lt;&gt;"",K30&lt;&gt;"",N30&gt;0),"有证据","缺C30证据"),IF(F30="C30发货确认中",IF(AND(J30&lt;&gt;"",K30&lt;&gt;""),"有证据","缺C30证据"),IF(F30="手动完结",IF(OR(L30&lt;&gt;"",O30&lt;&gt;"",S30&lt;&gt;""),"有记录","缺手工证据"),IF(OR(F30="卖出待补仓",F30="提交结果待确认",F30="异常待处理"),"持续跟踪","检查状态")))))</x:f>
      </x:c>
      <x:c r="S30" s="1"/>
      <x:c r="T30" s="15" t="str">
        <x:f>IF(A30="","",IF(COUNTIF($A$5:$A$1204,A30)&gt;1,"重复",""))</x:f>
      </x:c>
      <x:c r="U30" s="15" t="str">
        <x:f>IF(A30="","",IF(T30="重复","检查重复",IF(OR(R30="有证据",R30="有记录",R30="持续跟踪"),"可追踪","检查")))</x:f>
      </x:c>
    </x:row>
    <x:row r="31">
      <x:c r="A31" s="12"/>
      <x:c r="B31" s="12"/>
      <x:c r="C31" s="12"/>
      <x:c r="D31" s="65"/>
      <x:c r="E31" s="67"/>
      <x:c r="F31" s="12"/>
      <x:c r="G31" s="12"/>
      <x:c r="H31" s="12"/>
      <x:c r="I31" s="12"/>
      <x:c r="J31" s="12"/>
      <x:c r="K31" s="12"/>
      <x:c r="L31" s="12"/>
      <x:c r="M31" s="67"/>
      <x:c r="N31" s="67"/>
      <x:c r="O31" s="67"/>
      <x:c r="P31" s="29" t="str">
        <x:f>IF(A31="","",IF(N31&gt;0,N31,M31))</x:f>
      </x:c>
      <x:c r="Q31" s="31" t="n">
        <x:f>IF(A31="",0,IF(COUNTIF($A$5:A31,A31)=1,1,0))</x:f>
        <x:v>0</x:v>
      </x:c>
      <x:c r="R31" s="15" t="str">
        <x:f>IF(A31="","",IF(F31="C31成功",IF(AND(J31&lt;&gt;"",K31&lt;&gt;"",N31&gt;0),"有证据","缺C31证据"),IF(F31="C31发货确认中",IF(AND(J31&lt;&gt;"",K31&lt;&gt;""),"有证据","缺C31证据"),IF(F31="手动完结",IF(OR(L31&lt;&gt;"",O31&lt;&gt;"",S31&lt;&gt;""),"有记录","缺手工证据"),IF(OR(F31="卖出待补仓",F31="提交结果待确认",F31="异常待处理"),"持续跟踪","检查状态")))))</x:f>
      </x:c>
      <x:c r="S31" s="1"/>
      <x:c r="T31" s="15" t="str">
        <x:f>IF(A31="","",IF(COUNTIF($A$5:$A$1204,A31)&gt;1,"重复",""))</x:f>
      </x:c>
      <x:c r="U31" s="15" t="str">
        <x:f>IF(A31="","",IF(T31="重复","检查重复",IF(OR(R31="有证据",R31="有记录",R31="持续跟踪"),"可追踪","检查")))</x:f>
      </x:c>
    </x:row>
    <x:row r="32">
      <x:c r="A32" s="12"/>
      <x:c r="B32" s="12"/>
      <x:c r="C32" s="12"/>
      <x:c r="D32" s="65"/>
      <x:c r="E32" s="67"/>
      <x:c r="F32" s="12"/>
      <x:c r="G32" s="12"/>
      <x:c r="H32" s="12"/>
      <x:c r="I32" s="12"/>
      <x:c r="J32" s="12"/>
      <x:c r="K32" s="12"/>
      <x:c r="L32" s="12"/>
      <x:c r="M32" s="67"/>
      <x:c r="N32" s="67"/>
      <x:c r="O32" s="67"/>
      <x:c r="P32" s="29" t="str">
        <x:f>IF(A32="","",IF(N32&gt;0,N32,M32))</x:f>
      </x:c>
      <x:c r="Q32" s="31" t="n">
        <x:f>IF(A32="",0,IF(COUNTIF($A$5:A32,A32)=1,1,0))</x:f>
        <x:v>0</x:v>
      </x:c>
      <x:c r="R32" s="15" t="str">
        <x:f>IF(A32="","",IF(F32="C32成功",IF(AND(J32&lt;&gt;"",K32&lt;&gt;"",N32&gt;0),"有证据","缺C32证据"),IF(F32="C32发货确认中",IF(AND(J32&lt;&gt;"",K32&lt;&gt;""),"有证据","缺C32证据"),IF(F32="手动完结",IF(OR(L32&lt;&gt;"",O32&lt;&gt;"",S32&lt;&gt;""),"有记录","缺手工证据"),IF(OR(F32="卖出待补仓",F32="提交结果待确认",F32="异常待处理"),"持续跟踪","检查状态")))))</x:f>
      </x:c>
      <x:c r="S32" s="1"/>
      <x:c r="T32" s="15" t="str">
        <x:f>IF(A32="","",IF(COUNTIF($A$5:$A$1204,A32)&gt;1,"重复",""))</x:f>
      </x:c>
      <x:c r="U32" s="15" t="str">
        <x:f>IF(A32="","",IF(T32="重复","检查重复",IF(OR(R32="有证据",R32="有记录",R32="持续跟踪"),"可追踪","检查")))</x:f>
      </x:c>
    </x:row>
    <x:row r="33">
      <x:c r="A33" s="12"/>
      <x:c r="B33" s="12"/>
      <x:c r="C33" s="12"/>
      <x:c r="D33" s="65"/>
      <x:c r="E33" s="67"/>
      <x:c r="F33" s="12"/>
      <x:c r="G33" s="12"/>
      <x:c r="H33" s="12"/>
      <x:c r="I33" s="12"/>
      <x:c r="J33" s="12"/>
      <x:c r="K33" s="12"/>
      <x:c r="L33" s="12"/>
      <x:c r="M33" s="67"/>
      <x:c r="N33" s="67"/>
      <x:c r="O33" s="67"/>
      <x:c r="P33" s="29" t="str">
        <x:f>IF(A33="","",IF(N33&gt;0,N33,M33))</x:f>
      </x:c>
      <x:c r="Q33" s="31" t="n">
        <x:f>IF(A33="",0,IF(COUNTIF($A$5:A33,A33)=1,1,0))</x:f>
        <x:v>0</x:v>
      </x:c>
      <x:c r="R33" s="15" t="str">
        <x:f>IF(A33="","",IF(F33="C33成功",IF(AND(J33&lt;&gt;"",K33&lt;&gt;"",N33&gt;0),"有证据","缺C33证据"),IF(F33="C33发货确认中",IF(AND(J33&lt;&gt;"",K33&lt;&gt;""),"有证据","缺C33证据"),IF(F33="手动完结",IF(OR(L33&lt;&gt;"",O33&lt;&gt;"",S33&lt;&gt;""),"有记录","缺手工证据"),IF(OR(F33="卖出待补仓",F33="提交结果待确认",F33="异常待处理"),"持续跟踪","检查状态")))))</x:f>
      </x:c>
      <x:c r="S33" s="1"/>
      <x:c r="T33" s="15" t="str">
        <x:f>IF(A33="","",IF(COUNTIF($A$5:$A$1204,A33)&gt;1,"重复",""))</x:f>
      </x:c>
      <x:c r="U33" s="15" t="str">
        <x:f>IF(A33="","",IF(T33="重复","检查重复",IF(OR(R33="有证据",R33="有记录",R33="持续跟踪"),"可追踪","检查")))</x:f>
      </x:c>
    </x:row>
    <x:row r="34">
      <x:c r="A34" s="12"/>
      <x:c r="B34" s="12"/>
      <x:c r="C34" s="12"/>
      <x:c r="D34" s="65"/>
      <x:c r="E34" s="67"/>
      <x:c r="F34" s="12"/>
      <x:c r="G34" s="12"/>
      <x:c r="H34" s="12"/>
      <x:c r="I34" s="12"/>
      <x:c r="J34" s="12"/>
      <x:c r="K34" s="12"/>
      <x:c r="L34" s="12"/>
      <x:c r="M34" s="67"/>
      <x:c r="N34" s="67"/>
      <x:c r="O34" s="67"/>
      <x:c r="P34" s="29" t="str">
        <x:f>IF(A34="","",IF(N34&gt;0,N34,M34))</x:f>
      </x:c>
      <x:c r="Q34" s="31" t="n">
        <x:f>IF(A34="",0,IF(COUNTIF($A$5:A34,A34)=1,1,0))</x:f>
        <x:v>0</x:v>
      </x:c>
      <x:c r="R34" s="15" t="str">
        <x:f>IF(A34="","",IF(F34="C34成功",IF(AND(J34&lt;&gt;"",K34&lt;&gt;"",N34&gt;0),"有证据","缺C34证据"),IF(F34="C34发货确认中",IF(AND(J34&lt;&gt;"",K34&lt;&gt;""),"有证据","缺C34证据"),IF(F34="手动完结",IF(OR(L34&lt;&gt;"",O34&lt;&gt;"",S34&lt;&gt;""),"有记录","缺手工证据"),IF(OR(F34="卖出待补仓",F34="提交结果待确认",F34="异常待处理"),"持续跟踪","检查状态")))))</x:f>
      </x:c>
      <x:c r="S34" s="1"/>
      <x:c r="T34" s="15" t="str">
        <x:f>IF(A34="","",IF(COUNTIF($A$5:$A$1204,A34)&gt;1,"重复",""))</x:f>
      </x:c>
      <x:c r="U34" s="15" t="str">
        <x:f>IF(A34="","",IF(T34="重复","检查重复",IF(OR(R34="有证据",R34="有记录",R34="持续跟踪"),"可追踪","检查")))</x:f>
      </x:c>
    </x:row>
    <x:row r="35">
      <x:c r="A35" s="12"/>
      <x:c r="B35" s="12"/>
      <x:c r="C35" s="12"/>
      <x:c r="D35" s="65"/>
      <x:c r="E35" s="67"/>
      <x:c r="F35" s="12"/>
      <x:c r="G35" s="12"/>
      <x:c r="H35" s="12"/>
      <x:c r="I35" s="12"/>
      <x:c r="J35" s="12"/>
      <x:c r="K35" s="12"/>
      <x:c r="L35" s="12"/>
      <x:c r="M35" s="67"/>
      <x:c r="N35" s="67"/>
      <x:c r="O35" s="67"/>
      <x:c r="P35" s="29" t="str">
        <x:f>IF(A35="","",IF(N35&gt;0,N35,M35))</x:f>
      </x:c>
      <x:c r="Q35" s="31" t="n">
        <x:f>IF(A35="",0,IF(COUNTIF($A$5:A35,A35)=1,1,0))</x:f>
        <x:v>0</x:v>
      </x:c>
      <x:c r="R35" s="15" t="str">
        <x:f>IF(A35="","",IF(F35="C35成功",IF(AND(J35&lt;&gt;"",K35&lt;&gt;"",N35&gt;0),"有证据","缺C35证据"),IF(F35="C35发货确认中",IF(AND(J35&lt;&gt;"",K35&lt;&gt;""),"有证据","缺C35证据"),IF(F35="手动完结",IF(OR(L35&lt;&gt;"",O35&lt;&gt;"",S35&lt;&gt;""),"有记录","缺手工证据"),IF(OR(F35="卖出待补仓",F35="提交结果待确认",F35="异常待处理"),"持续跟踪","检查状态")))))</x:f>
      </x:c>
      <x:c r="S35" s="1"/>
      <x:c r="T35" s="15" t="str">
        <x:f>IF(A35="","",IF(COUNTIF($A$5:$A$1204,A35)&gt;1,"重复",""))</x:f>
      </x:c>
      <x:c r="U35" s="15" t="str">
        <x:f>IF(A35="","",IF(T35="重复","检查重复",IF(OR(R35="有证据",R35="有记录",R35="持续跟踪"),"可追踪","检查")))</x:f>
      </x:c>
    </x:row>
    <x:row r="36">
      <x:c r="A36" s="12"/>
      <x:c r="B36" s="12"/>
      <x:c r="C36" s="12"/>
      <x:c r="D36" s="65"/>
      <x:c r="E36" s="67"/>
      <x:c r="F36" s="12"/>
      <x:c r="G36" s="12"/>
      <x:c r="H36" s="12"/>
      <x:c r="I36" s="12"/>
      <x:c r="J36" s="12"/>
      <x:c r="K36" s="12"/>
      <x:c r="L36" s="12"/>
      <x:c r="M36" s="67"/>
      <x:c r="N36" s="67"/>
      <x:c r="O36" s="67"/>
      <x:c r="P36" s="29" t="str">
        <x:f>IF(A36="","",IF(N36&gt;0,N36,M36))</x:f>
      </x:c>
      <x:c r="Q36" s="31" t="n">
        <x:f>IF(A36="",0,IF(COUNTIF($A$5:A36,A36)=1,1,0))</x:f>
        <x:v>0</x:v>
      </x:c>
      <x:c r="R36" s="15" t="str">
        <x:f>IF(A36="","",IF(F36="C36成功",IF(AND(J36&lt;&gt;"",K36&lt;&gt;"",N36&gt;0),"有证据","缺C36证据"),IF(F36="C36发货确认中",IF(AND(J36&lt;&gt;"",K36&lt;&gt;""),"有证据","缺C36证据"),IF(F36="手动完结",IF(OR(L36&lt;&gt;"",O36&lt;&gt;"",S36&lt;&gt;""),"有记录","缺手工证据"),IF(OR(F36="卖出待补仓",F36="提交结果待确认",F36="异常待处理"),"持续跟踪","检查状态")))))</x:f>
      </x:c>
      <x:c r="S36" s="1"/>
      <x:c r="T36" s="15" t="str">
        <x:f>IF(A36="","",IF(COUNTIF($A$5:$A$1204,A36)&gt;1,"重复",""))</x:f>
      </x:c>
      <x:c r="U36" s="15" t="str">
        <x:f>IF(A36="","",IF(T36="重复","检查重复",IF(OR(R36="有证据",R36="有记录",R36="持续跟踪"),"可追踪","检查")))</x:f>
      </x:c>
    </x:row>
    <x:row r="37">
      <x:c r="A37" s="12"/>
      <x:c r="B37" s="12"/>
      <x:c r="C37" s="12"/>
      <x:c r="D37" s="65"/>
      <x:c r="E37" s="67"/>
      <x:c r="F37" s="12"/>
      <x:c r="G37" s="12"/>
      <x:c r="H37" s="12"/>
      <x:c r="I37" s="12"/>
      <x:c r="J37" s="12"/>
      <x:c r="K37" s="12"/>
      <x:c r="L37" s="12"/>
      <x:c r="M37" s="67"/>
      <x:c r="N37" s="67"/>
      <x:c r="O37" s="67"/>
      <x:c r="P37" s="29" t="str">
        <x:f>IF(A37="","",IF(N37&gt;0,N37,M37))</x:f>
      </x:c>
      <x:c r="Q37" s="31" t="n">
        <x:f>IF(A37="",0,IF(COUNTIF($A$5:A37,A37)=1,1,0))</x:f>
        <x:v>0</x:v>
      </x:c>
      <x:c r="R37" s="15" t="str">
        <x:f>IF(A37="","",IF(F37="C37成功",IF(AND(J37&lt;&gt;"",K37&lt;&gt;"",N37&gt;0),"有证据","缺C37证据"),IF(F37="C37发货确认中",IF(AND(J37&lt;&gt;"",K37&lt;&gt;""),"有证据","缺C37证据"),IF(F37="手动完结",IF(OR(L37&lt;&gt;"",O37&lt;&gt;"",S37&lt;&gt;""),"有记录","缺手工证据"),IF(OR(F37="卖出待补仓",F37="提交结果待确认",F37="异常待处理"),"持续跟踪","检查状态")))))</x:f>
      </x:c>
      <x:c r="S37" s="1"/>
      <x:c r="T37" s="15" t="str">
        <x:f>IF(A37="","",IF(COUNTIF($A$5:$A$1204,A37)&gt;1,"重复",""))</x:f>
      </x:c>
      <x:c r="U37" s="15" t="str">
        <x:f>IF(A37="","",IF(T37="重复","检查重复",IF(OR(R37="有证据",R37="有记录",R37="持续跟踪"),"可追踪","检查")))</x:f>
      </x:c>
    </x:row>
    <x:row r="38">
      <x:c r="A38" s="12"/>
      <x:c r="B38" s="12"/>
      <x:c r="C38" s="12"/>
      <x:c r="D38" s="65"/>
      <x:c r="E38" s="67"/>
      <x:c r="F38" s="12"/>
      <x:c r="G38" s="12"/>
      <x:c r="H38" s="12"/>
      <x:c r="I38" s="12"/>
      <x:c r="J38" s="12"/>
      <x:c r="K38" s="12"/>
      <x:c r="L38" s="12"/>
      <x:c r="M38" s="67"/>
      <x:c r="N38" s="67"/>
      <x:c r="O38" s="67"/>
      <x:c r="P38" s="29" t="str">
        <x:f>IF(A38="","",IF(N38&gt;0,N38,M38))</x:f>
      </x:c>
      <x:c r="Q38" s="31" t="n">
        <x:f>IF(A38="",0,IF(COUNTIF($A$5:A38,A38)=1,1,0))</x:f>
        <x:v>0</x:v>
      </x:c>
      <x:c r="R38" s="15" t="str">
        <x:f>IF(A38="","",IF(F38="C38成功",IF(AND(J38&lt;&gt;"",K38&lt;&gt;"",N38&gt;0),"有证据","缺C38证据"),IF(F38="C38发货确认中",IF(AND(J38&lt;&gt;"",K38&lt;&gt;""),"有证据","缺C38证据"),IF(F38="手动完结",IF(OR(L38&lt;&gt;"",O38&lt;&gt;"",S38&lt;&gt;""),"有记录","缺手工证据"),IF(OR(F38="卖出待补仓",F38="提交结果待确认",F38="异常待处理"),"持续跟踪","检查状态")))))</x:f>
      </x:c>
      <x:c r="S38" s="1"/>
      <x:c r="T38" s="15" t="str">
        <x:f>IF(A38="","",IF(COUNTIF($A$5:$A$1204,A38)&gt;1,"重复",""))</x:f>
      </x:c>
      <x:c r="U38" s="15" t="str">
        <x:f>IF(A38="","",IF(T38="重复","检查重复",IF(OR(R38="有证据",R38="有记录",R38="持续跟踪"),"可追踪","检查")))</x:f>
      </x:c>
    </x:row>
    <x:row r="39">
      <x:c r="A39" s="12"/>
      <x:c r="B39" s="12"/>
      <x:c r="C39" s="12"/>
      <x:c r="D39" s="65"/>
      <x:c r="E39" s="67"/>
      <x:c r="F39" s="12"/>
      <x:c r="G39" s="12"/>
      <x:c r="H39" s="12"/>
      <x:c r="I39" s="12"/>
      <x:c r="J39" s="12"/>
      <x:c r="K39" s="12"/>
      <x:c r="L39" s="12"/>
      <x:c r="M39" s="67"/>
      <x:c r="N39" s="67"/>
      <x:c r="O39" s="67"/>
      <x:c r="P39" s="29" t="str">
        <x:f>IF(A39="","",IF(N39&gt;0,N39,M39))</x:f>
      </x:c>
      <x:c r="Q39" s="31" t="n">
        <x:f>IF(A39="",0,IF(COUNTIF($A$5:A39,A39)=1,1,0))</x:f>
        <x:v>0</x:v>
      </x:c>
      <x:c r="R39" s="15" t="str">
        <x:f>IF(A39="","",IF(F39="C39成功",IF(AND(J39&lt;&gt;"",K39&lt;&gt;"",N39&gt;0),"有证据","缺C39证据"),IF(F39="C39发货确认中",IF(AND(J39&lt;&gt;"",K39&lt;&gt;""),"有证据","缺C39证据"),IF(F39="手动完结",IF(OR(L39&lt;&gt;"",O39&lt;&gt;"",S39&lt;&gt;""),"有记录","缺手工证据"),IF(OR(F39="卖出待补仓",F39="提交结果待确认",F39="异常待处理"),"持续跟踪","检查状态")))))</x:f>
      </x:c>
      <x:c r="S39" s="1"/>
      <x:c r="T39" s="15" t="str">
        <x:f>IF(A39="","",IF(COUNTIF($A$5:$A$1204,A39)&gt;1,"重复",""))</x:f>
      </x:c>
      <x:c r="U39" s="15" t="str">
        <x:f>IF(A39="","",IF(T39="重复","检查重复",IF(OR(R39="有证据",R39="有记录",R39="持续跟踪"),"可追踪","检查")))</x:f>
      </x:c>
    </x:row>
    <x:row r="40">
      <x:c r="A40" s="12"/>
      <x:c r="B40" s="12"/>
      <x:c r="C40" s="12"/>
      <x:c r="D40" s="65"/>
      <x:c r="E40" s="67"/>
      <x:c r="F40" s="12"/>
      <x:c r="G40" s="12"/>
      <x:c r="H40" s="12"/>
      <x:c r="I40" s="12"/>
      <x:c r="J40" s="12"/>
      <x:c r="K40" s="12"/>
      <x:c r="L40" s="12"/>
      <x:c r="M40" s="67"/>
      <x:c r="N40" s="67"/>
      <x:c r="O40" s="67"/>
      <x:c r="P40" s="29" t="str">
        <x:f>IF(A40="","",IF(N40&gt;0,N40,M40))</x:f>
      </x:c>
      <x:c r="Q40" s="31" t="n">
        <x:f>IF(A40="",0,IF(COUNTIF($A$5:A40,A40)=1,1,0))</x:f>
        <x:v>0</x:v>
      </x:c>
      <x:c r="R40" s="15" t="str">
        <x:f>IF(A40="","",IF(F40="C40成功",IF(AND(J40&lt;&gt;"",K40&lt;&gt;"",N40&gt;0),"有证据","缺C40证据"),IF(F40="C40发货确认中",IF(AND(J40&lt;&gt;"",K40&lt;&gt;""),"有证据","缺C40证据"),IF(F40="手动完结",IF(OR(L40&lt;&gt;"",O40&lt;&gt;"",S40&lt;&gt;""),"有记录","缺手工证据"),IF(OR(F40="卖出待补仓",F40="提交结果待确认",F40="异常待处理"),"持续跟踪","检查状态")))))</x:f>
      </x:c>
      <x:c r="S40" s="1"/>
      <x:c r="T40" s="15" t="str">
        <x:f>IF(A40="","",IF(COUNTIF($A$5:$A$1204,A40)&gt;1,"重复",""))</x:f>
      </x:c>
      <x:c r="U40" s="15" t="str">
        <x:f>IF(A40="","",IF(T40="重复","检查重复",IF(OR(R40="有证据",R40="有记录",R40="持续跟踪"),"可追踪","检查")))</x:f>
      </x:c>
    </x:row>
    <x:row r="41">
      <x:c r="A41" s="62"/>
      <x:c r="B41" s="62"/>
      <x:c r="C41" s="62"/>
      <x:c r="D41" s="66"/>
      <x:c r="E41" s="68"/>
      <x:c r="F41" s="62"/>
      <x:c r="G41" s="62"/>
      <x:c r="H41" s="62"/>
      <x:c r="I41" s="62"/>
      <x:c r="J41" s="62"/>
      <x:c r="K41" s="62"/>
      <x:c r="L41" s="62"/>
      <x:c r="M41" s="68"/>
      <x:c r="N41" s="68"/>
      <x:c r="O41" s="68"/>
      <x:c r="P41" s="71" t="str">
        <x:f>IF(A41="","",IF(N41&gt;0,N41,M41))</x:f>
      </x:c>
      <x:c r="Q41" s="72" t="n">
        <x:f>IF(A41="",0,IF(COUNTIF($A$5:A41,A41)=1,1,0))</x:f>
        <x:v>0</x:v>
      </x:c>
      <x:c r="R41" s="64" t="str">
        <x:f>IF(A41="","",IF(F41="C41成功",IF(AND(J41&lt;&gt;"",K41&lt;&gt;"",N41&gt;0),"有证据","缺C41证据"),IF(F41="C41发货确认中",IF(AND(J41&lt;&gt;"",K41&lt;&gt;""),"有证据","缺C41证据"),IF(F41="手动完结",IF(OR(L41&lt;&gt;"",O41&lt;&gt;"",S41&lt;&gt;""),"有记录","缺手工证据"),IF(OR(F41="卖出待补仓",F41="提交结果待确认",F41="异常待处理"),"持续跟踪","检查状态")))))</x:f>
      </x:c>
      <x:c r="T41" s="64" t="str">
        <x:f>IF(A41="","",IF(COUNTIF($A$5:$A$1204,A41)&gt;1,"重复",""))</x:f>
      </x:c>
      <x:c r="U41" s="64" t="str">
        <x:f>IF(A41="","",IF(T41="重复","检查重复",IF(OR(R41="有证据",R41="有记录",R41="持续跟踪"),"可追踪","检查")))</x:f>
      </x:c>
    </x:row>
    <x:row r="42">
      <x:c r="A42" s="62"/>
      <x:c r="B42" s="62"/>
      <x:c r="C42" s="62"/>
      <x:c r="D42" s="66"/>
      <x:c r="E42" s="68"/>
      <x:c r="F42" s="62"/>
      <x:c r="G42" s="62"/>
      <x:c r="H42" s="62"/>
      <x:c r="I42" s="62"/>
      <x:c r="J42" s="62"/>
      <x:c r="K42" s="62"/>
      <x:c r="L42" s="62"/>
      <x:c r="M42" s="68"/>
      <x:c r="N42" s="68"/>
      <x:c r="O42" s="68"/>
      <x:c r="P42" s="71" t="str">
        <x:f>IF(A42="","",IF(N42&gt;0,N42,M42))</x:f>
      </x:c>
      <x:c r="Q42" s="72" t="n">
        <x:f>IF(A42="",0,IF(COUNTIF($A$5:A42,A42)=1,1,0))</x:f>
        <x:v>0</x:v>
      </x:c>
      <x:c r="R42" s="64" t="str">
        <x:f>IF(A42="","",IF(F42="C42成功",IF(AND(J42&lt;&gt;"",K42&lt;&gt;"",N42&gt;0),"有证据","缺C42证据"),IF(F42="C42发货确认中",IF(AND(J42&lt;&gt;"",K42&lt;&gt;""),"有证据","缺C42证据"),IF(F42="手动完结",IF(OR(L42&lt;&gt;"",O42&lt;&gt;"",S42&lt;&gt;""),"有记录","缺手工证据"),IF(OR(F42="卖出待补仓",F42="提交结果待确认",F42="异常待处理"),"持续跟踪","检查状态")))))</x:f>
      </x:c>
      <x:c r="T42" s="64" t="str">
        <x:f>IF(A42="","",IF(COUNTIF($A$5:$A$1204,A42)&gt;1,"重复",""))</x:f>
      </x:c>
      <x:c r="U42" s="64" t="str">
        <x:f>IF(A42="","",IF(T42="重复","检查重复",IF(OR(R42="有证据",R42="有记录",R42="持续跟踪"),"可追踪","检查")))</x:f>
      </x:c>
    </x:row>
    <x:row r="43">
      <x:c r="A43" s="62"/>
      <x:c r="B43" s="62"/>
      <x:c r="C43" s="62"/>
      <x:c r="D43" s="66"/>
      <x:c r="E43" s="68"/>
      <x:c r="F43" s="62"/>
      <x:c r="G43" s="62"/>
      <x:c r="H43" s="62"/>
      <x:c r="I43" s="62"/>
      <x:c r="J43" s="62"/>
      <x:c r="K43" s="62"/>
      <x:c r="L43" s="62"/>
      <x:c r="M43" s="68"/>
      <x:c r="N43" s="68"/>
      <x:c r="O43" s="68"/>
      <x:c r="P43" s="71" t="str">
        <x:f>IF(A43="","",IF(N43&gt;0,N43,M43))</x:f>
      </x:c>
      <x:c r="Q43" s="72" t="n">
        <x:f>IF(A43="",0,IF(COUNTIF($A$5:A43,A43)=1,1,0))</x:f>
        <x:v>0</x:v>
      </x:c>
      <x:c r="R43" s="64" t="str">
        <x:f>IF(A43="","",IF(F43="C43成功",IF(AND(J43&lt;&gt;"",K43&lt;&gt;"",N43&gt;0),"有证据","缺C43证据"),IF(F43="C43发货确认中",IF(AND(J43&lt;&gt;"",K43&lt;&gt;""),"有证据","缺C43证据"),IF(F43="手动完结",IF(OR(L43&lt;&gt;"",O43&lt;&gt;"",S43&lt;&gt;""),"有记录","缺手工证据"),IF(OR(F43="卖出待补仓",F43="提交结果待确认",F43="异常待处理"),"持续跟踪","检查状态")))))</x:f>
      </x:c>
      <x:c r="T43" s="64" t="str">
        <x:f>IF(A43="","",IF(COUNTIF($A$5:$A$1204,A43)&gt;1,"重复",""))</x:f>
      </x:c>
      <x:c r="U43" s="64" t="str">
        <x:f>IF(A43="","",IF(T43="重复","检查重复",IF(OR(R43="有证据",R43="有记录",R43="持续跟踪"),"可追踪","检查")))</x:f>
      </x:c>
    </x:row>
    <x:row r="44">
      <x:c r="A44" s="62"/>
      <x:c r="B44" s="62"/>
      <x:c r="C44" s="62"/>
      <x:c r="D44" s="66"/>
      <x:c r="E44" s="68"/>
      <x:c r="F44" s="62"/>
      <x:c r="G44" s="62"/>
      <x:c r="H44" s="62"/>
      <x:c r="I44" s="62"/>
      <x:c r="J44" s="62"/>
      <x:c r="K44" s="62"/>
      <x:c r="L44" s="62"/>
      <x:c r="M44" s="68"/>
      <x:c r="N44" s="68"/>
      <x:c r="O44" s="68"/>
      <x:c r="P44" s="71" t="str">
        <x:f>IF(A44="","",IF(N44&gt;0,N44,M44))</x:f>
      </x:c>
      <x:c r="Q44" s="72" t="n">
        <x:f>IF(A44="",0,IF(COUNTIF($A$5:A44,A44)=1,1,0))</x:f>
        <x:v>0</x:v>
      </x:c>
      <x:c r="R44" s="64" t="str">
        <x:f>IF(A44="","",IF(F44="C44成功",IF(AND(J44&lt;&gt;"",K44&lt;&gt;"",N44&gt;0),"有证据","缺C44证据"),IF(F44="C44发货确认中",IF(AND(J44&lt;&gt;"",K44&lt;&gt;""),"有证据","缺C44证据"),IF(F44="手动完结",IF(OR(L44&lt;&gt;"",O44&lt;&gt;"",S44&lt;&gt;""),"有记录","缺手工证据"),IF(OR(F44="卖出待补仓",F44="提交结果待确认",F44="异常待处理"),"持续跟踪","检查状态")))))</x:f>
      </x:c>
      <x:c r="T44" s="64" t="str">
        <x:f>IF(A44="","",IF(COUNTIF($A$5:$A$1204,A44)&gt;1,"重复",""))</x:f>
      </x:c>
      <x:c r="U44" s="64" t="str">
        <x:f>IF(A44="","",IF(T44="重复","检查重复",IF(OR(R44="有证据",R44="有记录",R44="持续跟踪"),"可追踪","检查")))</x:f>
      </x:c>
    </x:row>
    <x:row r="45">
      <x:c r="A45" s="62"/>
      <x:c r="B45" s="62"/>
      <x:c r="C45" s="62"/>
      <x:c r="D45" s="66"/>
      <x:c r="E45" s="68"/>
      <x:c r="F45" s="62"/>
      <x:c r="G45" s="62"/>
      <x:c r="H45" s="62"/>
      <x:c r="I45" s="62"/>
      <x:c r="J45" s="62"/>
      <x:c r="K45" s="62"/>
      <x:c r="L45" s="62"/>
      <x:c r="M45" s="68"/>
      <x:c r="N45" s="68"/>
      <x:c r="O45" s="68"/>
      <x:c r="P45" s="71" t="str">
        <x:f>IF(A45="","",IF(N45&gt;0,N45,M45))</x:f>
      </x:c>
      <x:c r="Q45" s="72" t="n">
        <x:f>IF(A45="",0,IF(COUNTIF($A$5:A45,A45)=1,1,0))</x:f>
        <x:v>0</x:v>
      </x:c>
      <x:c r="R45" s="64" t="str">
        <x:f>IF(A45="","",IF(F45="C45成功",IF(AND(J45&lt;&gt;"",K45&lt;&gt;"",N45&gt;0),"有证据","缺C45证据"),IF(F45="C45发货确认中",IF(AND(J45&lt;&gt;"",K45&lt;&gt;""),"有证据","缺C45证据"),IF(F45="手动完结",IF(OR(L45&lt;&gt;"",O45&lt;&gt;"",S45&lt;&gt;""),"有记录","缺手工证据"),IF(OR(F45="卖出待补仓",F45="提交结果待确认",F45="异常待处理"),"持续跟踪","检查状态")))))</x:f>
      </x:c>
      <x:c r="T45" s="64" t="str">
        <x:f>IF(A45="","",IF(COUNTIF($A$5:$A$1204,A45)&gt;1,"重复",""))</x:f>
      </x:c>
      <x:c r="U45" s="64" t="str">
        <x:f>IF(A45="","",IF(T45="重复","检查重复",IF(OR(R45="有证据",R45="有记录",R45="持续跟踪"),"可追踪","检查")))</x:f>
      </x:c>
    </x:row>
    <x:row r="46">
      <x:c r="A46" s="62"/>
      <x:c r="B46" s="62"/>
      <x:c r="C46" s="62"/>
      <x:c r="D46" s="66"/>
      <x:c r="E46" s="68"/>
      <x:c r="F46" s="62"/>
      <x:c r="G46" s="62"/>
      <x:c r="H46" s="62"/>
      <x:c r="I46" s="62"/>
      <x:c r="J46" s="62"/>
      <x:c r="K46" s="62"/>
      <x:c r="L46" s="62"/>
      <x:c r="M46" s="68"/>
      <x:c r="N46" s="68"/>
      <x:c r="O46" s="68"/>
      <x:c r="P46" s="71" t="str">
        <x:f>IF(A46="","",IF(N46&gt;0,N46,M46))</x:f>
      </x:c>
      <x:c r="Q46" s="72" t="n">
        <x:f>IF(A46="",0,IF(COUNTIF($A$5:A46,A46)=1,1,0))</x:f>
        <x:v>0</x:v>
      </x:c>
      <x:c r="R46" s="64" t="str">
        <x:f>IF(A46="","",IF(F46="C46成功",IF(AND(J46&lt;&gt;"",K46&lt;&gt;"",N46&gt;0),"有证据","缺C46证据"),IF(F46="C46发货确认中",IF(AND(J46&lt;&gt;"",K46&lt;&gt;""),"有证据","缺C46证据"),IF(F46="手动完结",IF(OR(L46&lt;&gt;"",O46&lt;&gt;"",S46&lt;&gt;""),"有记录","缺手工证据"),IF(OR(F46="卖出待补仓",F46="提交结果待确认",F46="异常待处理"),"持续跟踪","检查状态")))))</x:f>
      </x:c>
      <x:c r="T46" s="64" t="str">
        <x:f>IF(A46="","",IF(COUNTIF($A$5:$A$1204,A46)&gt;1,"重复",""))</x:f>
      </x:c>
      <x:c r="U46" s="64" t="str">
        <x:f>IF(A46="","",IF(T46="重复","检查重复",IF(OR(R46="有证据",R46="有记录",R46="持续跟踪"),"可追踪","检查")))</x:f>
      </x:c>
    </x:row>
    <x:row r="47">
      <x:c r="A47" s="62"/>
      <x:c r="B47" s="62"/>
      <x:c r="C47" s="62"/>
      <x:c r="D47" s="66"/>
      <x:c r="E47" s="68"/>
      <x:c r="F47" s="62"/>
      <x:c r="G47" s="62"/>
      <x:c r="H47" s="62"/>
      <x:c r="I47" s="62"/>
      <x:c r="J47" s="62"/>
      <x:c r="K47" s="62"/>
      <x:c r="L47" s="62"/>
      <x:c r="M47" s="68"/>
      <x:c r="N47" s="68"/>
      <x:c r="O47" s="68"/>
      <x:c r="P47" s="71" t="str">
        <x:f>IF(A47="","",IF(N47&gt;0,N47,M47))</x:f>
      </x:c>
      <x:c r="Q47" s="72" t="n">
        <x:f>IF(A47="",0,IF(COUNTIF($A$5:A47,A47)=1,1,0))</x:f>
        <x:v>0</x:v>
      </x:c>
      <x:c r="R47" s="64" t="str">
        <x:f>IF(A47="","",IF(F47="C47成功",IF(AND(J47&lt;&gt;"",K47&lt;&gt;"",N47&gt;0),"有证据","缺C47证据"),IF(F47="C47发货确认中",IF(AND(J47&lt;&gt;"",K47&lt;&gt;""),"有证据","缺C47证据"),IF(F47="手动完结",IF(OR(L47&lt;&gt;"",O47&lt;&gt;"",S47&lt;&gt;""),"有记录","缺手工证据"),IF(OR(F47="卖出待补仓",F47="提交结果待确认",F47="异常待处理"),"持续跟踪","检查状态")))))</x:f>
      </x:c>
      <x:c r="T47" s="64" t="str">
        <x:f>IF(A47="","",IF(COUNTIF($A$5:$A$1204,A47)&gt;1,"重复",""))</x:f>
      </x:c>
      <x:c r="U47" s="64" t="str">
        <x:f>IF(A47="","",IF(T47="重复","检查重复",IF(OR(R47="有证据",R47="有记录",R47="持续跟踪"),"可追踪","检查")))</x:f>
      </x:c>
    </x:row>
    <x:row r="48">
      <x:c r="A48" s="62"/>
      <x:c r="B48" s="62"/>
      <x:c r="C48" s="62"/>
      <x:c r="D48" s="66"/>
      <x:c r="E48" s="68"/>
      <x:c r="F48" s="62"/>
      <x:c r="G48" s="62"/>
      <x:c r="H48" s="62"/>
      <x:c r="I48" s="62"/>
      <x:c r="J48" s="62"/>
      <x:c r="K48" s="62"/>
      <x:c r="L48" s="62"/>
      <x:c r="M48" s="68"/>
      <x:c r="N48" s="68"/>
      <x:c r="O48" s="68"/>
      <x:c r="P48" s="71" t="str">
        <x:f>IF(A48="","",IF(N48&gt;0,N48,M48))</x:f>
      </x:c>
      <x:c r="Q48" s="72" t="n">
        <x:f>IF(A48="",0,IF(COUNTIF($A$5:A48,A48)=1,1,0))</x:f>
        <x:v>0</x:v>
      </x:c>
      <x:c r="R48" s="64" t="str">
        <x:f>IF(A48="","",IF(F48="C48成功",IF(AND(J48&lt;&gt;"",K48&lt;&gt;"",N48&gt;0),"有证据","缺C48证据"),IF(F48="C48发货确认中",IF(AND(J48&lt;&gt;"",K48&lt;&gt;""),"有证据","缺C48证据"),IF(F48="手动完结",IF(OR(L48&lt;&gt;"",O48&lt;&gt;"",S48&lt;&gt;""),"有记录","缺手工证据"),IF(OR(F48="卖出待补仓",F48="提交结果待确认",F48="异常待处理"),"持续跟踪","检查状态")))))</x:f>
      </x:c>
      <x:c r="T48" s="64" t="str">
        <x:f>IF(A48="","",IF(COUNTIF($A$5:$A$1204,A48)&gt;1,"重复",""))</x:f>
      </x:c>
      <x:c r="U48" s="64" t="str">
        <x:f>IF(A48="","",IF(T48="重复","检查重复",IF(OR(R48="有证据",R48="有记录",R48="持续跟踪"),"可追踪","检查")))</x:f>
      </x:c>
    </x:row>
    <x:row r="49">
      <x:c r="A49" s="62"/>
      <x:c r="B49" s="62"/>
      <x:c r="C49" s="62"/>
      <x:c r="D49" s="66"/>
      <x:c r="E49" s="68"/>
      <x:c r="F49" s="62"/>
      <x:c r="G49" s="62"/>
      <x:c r="H49" s="62"/>
      <x:c r="I49" s="62"/>
      <x:c r="J49" s="62"/>
      <x:c r="K49" s="62"/>
      <x:c r="L49" s="62"/>
      <x:c r="M49" s="68"/>
      <x:c r="N49" s="68"/>
      <x:c r="O49" s="68"/>
      <x:c r="P49" s="71" t="str">
        <x:f>IF(A49="","",IF(N49&gt;0,N49,M49))</x:f>
      </x:c>
      <x:c r="Q49" s="72" t="n">
        <x:f>IF(A49="",0,IF(COUNTIF($A$5:A49,A49)=1,1,0))</x:f>
        <x:v>0</x:v>
      </x:c>
      <x:c r="R49" s="64" t="str">
        <x:f>IF(A49="","",IF(F49="C49成功",IF(AND(J49&lt;&gt;"",K49&lt;&gt;"",N49&gt;0),"有证据","缺C49证据"),IF(F49="C49发货确认中",IF(AND(J49&lt;&gt;"",K49&lt;&gt;""),"有证据","缺C49证据"),IF(F49="手动完结",IF(OR(L49&lt;&gt;"",O49&lt;&gt;"",S49&lt;&gt;""),"有记录","缺手工证据"),IF(OR(F49="卖出待补仓",F49="提交结果待确认",F49="异常待处理"),"持续跟踪","检查状态")))))</x:f>
      </x:c>
      <x:c r="T49" s="64" t="str">
        <x:f>IF(A49="","",IF(COUNTIF($A$5:$A$1204,A49)&gt;1,"重复",""))</x:f>
      </x:c>
      <x:c r="U49" s="64" t="str">
        <x:f>IF(A49="","",IF(T49="重复","检查重复",IF(OR(R49="有证据",R49="有记录",R49="持续跟踪"),"可追踪","检查")))</x:f>
      </x:c>
    </x:row>
    <x:row r="50">
      <x:c r="A50" s="62"/>
      <x:c r="B50" s="62"/>
      <x:c r="C50" s="62"/>
      <x:c r="D50" s="66"/>
      <x:c r="E50" s="68"/>
      <x:c r="F50" s="62"/>
      <x:c r="G50" s="62"/>
      <x:c r="H50" s="62"/>
      <x:c r="I50" s="62"/>
      <x:c r="J50" s="62"/>
      <x:c r="K50" s="62"/>
      <x:c r="L50" s="62"/>
      <x:c r="M50" s="68"/>
      <x:c r="N50" s="68"/>
      <x:c r="O50" s="68"/>
      <x:c r="P50" s="71" t="str">
        <x:f>IF(A50="","",IF(N50&gt;0,N50,M50))</x:f>
      </x:c>
      <x:c r="Q50" s="72" t="n">
        <x:f>IF(A50="",0,IF(COUNTIF($A$5:A50,A50)=1,1,0))</x:f>
        <x:v>0</x:v>
      </x:c>
      <x:c r="R50" s="64" t="str">
        <x:f>IF(A50="","",IF(F50="C50成功",IF(AND(J50&lt;&gt;"",K50&lt;&gt;"",N50&gt;0),"有证据","缺C50证据"),IF(F50="C50发货确认中",IF(AND(J50&lt;&gt;"",K50&lt;&gt;""),"有证据","缺C50证据"),IF(F50="手动完结",IF(OR(L50&lt;&gt;"",O50&lt;&gt;"",S50&lt;&gt;""),"有记录","缺手工证据"),IF(OR(F50="卖出待补仓",F50="提交结果待确认",F50="异常待处理"),"持续跟踪","检查状态")))))</x:f>
      </x:c>
      <x:c r="T50" s="64" t="str">
        <x:f>IF(A50="","",IF(COUNTIF($A$5:$A$1204,A50)&gt;1,"重复",""))</x:f>
      </x:c>
      <x:c r="U50" s="64" t="str">
        <x:f>IF(A50="","",IF(T50="重复","检查重复",IF(OR(R50="有证据",R50="有记录",R50="持续跟踪"),"可追踪","检查")))</x:f>
      </x:c>
    </x:row>
    <x:row r="51">
      <x:c r="A51" s="62"/>
      <x:c r="B51" s="62"/>
      <x:c r="C51" s="62"/>
      <x:c r="D51" s="66"/>
      <x:c r="E51" s="68"/>
      <x:c r="F51" s="62"/>
      <x:c r="G51" s="62"/>
      <x:c r="H51" s="62"/>
      <x:c r="I51" s="62"/>
      <x:c r="J51" s="62"/>
      <x:c r="K51" s="62"/>
      <x:c r="L51" s="62"/>
      <x:c r="M51" s="68"/>
      <x:c r="N51" s="68"/>
      <x:c r="O51" s="68"/>
      <x:c r="P51" s="71" t="str">
        <x:f>IF(A51="","",IF(N51&gt;0,N51,M51))</x:f>
      </x:c>
      <x:c r="Q51" s="72" t="n">
        <x:f>IF(A51="",0,IF(COUNTIF($A$5:A51,A51)=1,1,0))</x:f>
        <x:v>0</x:v>
      </x:c>
      <x:c r="R51" s="64" t="str">
        <x:f>IF(A51="","",IF(F51="C51成功",IF(AND(J51&lt;&gt;"",K51&lt;&gt;"",N51&gt;0),"有证据","缺C51证据"),IF(F51="C51发货确认中",IF(AND(J51&lt;&gt;"",K51&lt;&gt;""),"有证据","缺C51证据"),IF(F51="手动完结",IF(OR(L51&lt;&gt;"",O51&lt;&gt;"",S51&lt;&gt;""),"有记录","缺手工证据"),IF(OR(F51="卖出待补仓",F51="提交结果待确认",F51="异常待处理"),"持续跟踪","检查状态")))))</x:f>
      </x:c>
      <x:c r="T51" s="64" t="str">
        <x:f>IF(A51="","",IF(COUNTIF($A$5:$A$1204,A51)&gt;1,"重复",""))</x:f>
      </x:c>
      <x:c r="U51" s="64" t="str">
        <x:f>IF(A51="","",IF(T51="重复","检查重复",IF(OR(R51="有证据",R51="有记录",R51="持续跟踪"),"可追踪","检查")))</x:f>
      </x:c>
    </x:row>
    <x:row r="52">
      <x:c r="A52" s="62"/>
      <x:c r="B52" s="62"/>
      <x:c r="C52" s="62"/>
      <x:c r="D52" s="66"/>
      <x:c r="E52" s="68"/>
      <x:c r="F52" s="62"/>
      <x:c r="G52" s="62"/>
      <x:c r="H52" s="62"/>
      <x:c r="I52" s="62"/>
      <x:c r="J52" s="62"/>
      <x:c r="K52" s="62"/>
      <x:c r="L52" s="62"/>
      <x:c r="M52" s="68"/>
      <x:c r="N52" s="68"/>
      <x:c r="O52" s="68"/>
      <x:c r="P52" s="71" t="str">
        <x:f>IF(A52="","",IF(N52&gt;0,N52,M52))</x:f>
      </x:c>
      <x:c r="Q52" s="72" t="n">
        <x:f>IF(A52="",0,IF(COUNTIF($A$5:A52,A52)=1,1,0))</x:f>
        <x:v>0</x:v>
      </x:c>
      <x:c r="R52" s="64" t="str">
        <x:f>IF(A52="","",IF(F52="C52成功",IF(AND(J52&lt;&gt;"",K52&lt;&gt;"",N52&gt;0),"有证据","缺C52证据"),IF(F52="C52发货确认中",IF(AND(J52&lt;&gt;"",K52&lt;&gt;""),"有证据","缺C52证据"),IF(F52="手动完结",IF(OR(L52&lt;&gt;"",O52&lt;&gt;"",S52&lt;&gt;""),"有记录","缺手工证据"),IF(OR(F52="卖出待补仓",F52="提交结果待确认",F52="异常待处理"),"持续跟踪","检查状态")))))</x:f>
      </x:c>
      <x:c r="T52" s="64" t="str">
        <x:f>IF(A52="","",IF(COUNTIF($A$5:$A$1204,A52)&gt;1,"重复",""))</x:f>
      </x:c>
      <x:c r="U52" s="64" t="str">
        <x:f>IF(A52="","",IF(T52="重复","检查重复",IF(OR(R52="有证据",R52="有记录",R52="持续跟踪"),"可追踪","检查")))</x:f>
      </x:c>
    </x:row>
    <x:row r="53">
      <x:c r="A53" s="62"/>
      <x:c r="B53" s="62"/>
      <x:c r="C53" s="62"/>
      <x:c r="D53" s="66"/>
      <x:c r="E53" s="68"/>
      <x:c r="F53" s="62"/>
      <x:c r="G53" s="62"/>
      <x:c r="H53" s="62"/>
      <x:c r="I53" s="62"/>
      <x:c r="J53" s="62"/>
      <x:c r="K53" s="62"/>
      <x:c r="L53" s="62"/>
      <x:c r="M53" s="68"/>
      <x:c r="N53" s="68"/>
      <x:c r="O53" s="68"/>
      <x:c r="P53" s="71" t="str">
        <x:f>IF(A53="","",IF(N53&gt;0,N53,M53))</x:f>
      </x:c>
      <x:c r="Q53" s="72" t="n">
        <x:f>IF(A53="",0,IF(COUNTIF($A$5:A53,A53)=1,1,0))</x:f>
        <x:v>0</x:v>
      </x:c>
      <x:c r="R53" s="64" t="str">
        <x:f>IF(A53="","",IF(F53="C53成功",IF(AND(J53&lt;&gt;"",K53&lt;&gt;"",N53&gt;0),"有证据","缺C53证据"),IF(F53="C53发货确认中",IF(AND(J53&lt;&gt;"",K53&lt;&gt;""),"有证据","缺C53证据"),IF(F53="手动完结",IF(OR(L53&lt;&gt;"",O53&lt;&gt;"",S53&lt;&gt;""),"有记录","缺手工证据"),IF(OR(F53="卖出待补仓",F53="提交结果待确认",F53="异常待处理"),"持续跟踪","检查状态")))))</x:f>
      </x:c>
      <x:c r="T53" s="64" t="str">
        <x:f>IF(A53="","",IF(COUNTIF($A$5:$A$1204,A53)&gt;1,"重复",""))</x:f>
      </x:c>
      <x:c r="U53" s="64" t="str">
        <x:f>IF(A53="","",IF(T53="重复","检查重复",IF(OR(R53="有证据",R53="有记录",R53="持续跟踪"),"可追踪","检查")))</x:f>
      </x:c>
    </x:row>
    <x:row r="54">
      <x:c r="A54" s="62"/>
      <x:c r="B54" s="62"/>
      <x:c r="C54" s="62"/>
      <x:c r="D54" s="66"/>
      <x:c r="E54" s="68"/>
      <x:c r="F54" s="62"/>
      <x:c r="G54" s="62"/>
      <x:c r="H54" s="62"/>
      <x:c r="I54" s="62"/>
      <x:c r="J54" s="62"/>
      <x:c r="K54" s="62"/>
      <x:c r="L54" s="62"/>
      <x:c r="M54" s="68"/>
      <x:c r="N54" s="68"/>
      <x:c r="O54" s="68"/>
      <x:c r="P54" s="71" t="str">
        <x:f>IF(A54="","",IF(N54&gt;0,N54,M54))</x:f>
      </x:c>
      <x:c r="Q54" s="72" t="n">
        <x:f>IF(A54="",0,IF(COUNTIF($A$5:A54,A54)=1,1,0))</x:f>
        <x:v>0</x:v>
      </x:c>
      <x:c r="R54" s="64" t="str">
        <x:f>IF(A54="","",IF(F54="C54成功",IF(AND(J54&lt;&gt;"",K54&lt;&gt;"",N54&gt;0),"有证据","缺C54证据"),IF(F54="C54发货确认中",IF(AND(J54&lt;&gt;"",K54&lt;&gt;""),"有证据","缺C54证据"),IF(F54="手动完结",IF(OR(L54&lt;&gt;"",O54&lt;&gt;"",S54&lt;&gt;""),"有记录","缺手工证据"),IF(OR(F54="卖出待补仓",F54="提交结果待确认",F54="异常待处理"),"持续跟踪","检查状态")))))</x:f>
      </x:c>
      <x:c r="T54" s="64" t="str">
        <x:f>IF(A54="","",IF(COUNTIF($A$5:$A$1204,A54)&gt;1,"重复",""))</x:f>
      </x:c>
      <x:c r="U54" s="64" t="str">
        <x:f>IF(A54="","",IF(T54="重复","检查重复",IF(OR(R54="有证据",R54="有记录",R54="持续跟踪"),"可追踪","检查")))</x:f>
      </x:c>
    </x:row>
    <x:row r="55">
      <x:c r="A55" s="62"/>
      <x:c r="B55" s="62"/>
      <x:c r="C55" s="62"/>
      <x:c r="D55" s="66"/>
      <x:c r="E55" s="68"/>
      <x:c r="F55" s="62"/>
      <x:c r="G55" s="62"/>
      <x:c r="H55" s="62"/>
      <x:c r="I55" s="62"/>
      <x:c r="J55" s="62"/>
      <x:c r="K55" s="62"/>
      <x:c r="L55" s="62"/>
      <x:c r="M55" s="68"/>
      <x:c r="N55" s="68"/>
      <x:c r="O55" s="68"/>
      <x:c r="P55" s="71" t="str">
        <x:f>IF(A55="","",IF(N55&gt;0,N55,M55))</x:f>
      </x:c>
      <x:c r="Q55" s="72" t="n">
        <x:f>IF(A55="",0,IF(COUNTIF($A$5:A55,A55)=1,1,0))</x:f>
        <x:v>0</x:v>
      </x:c>
      <x:c r="R55" s="64" t="str">
        <x:f>IF(A55="","",IF(F55="C55成功",IF(AND(J55&lt;&gt;"",K55&lt;&gt;"",N55&gt;0),"有证据","缺C55证据"),IF(F55="C55发货确认中",IF(AND(J55&lt;&gt;"",K55&lt;&gt;""),"有证据","缺C55证据"),IF(F55="手动完结",IF(OR(L55&lt;&gt;"",O55&lt;&gt;"",S55&lt;&gt;""),"有记录","缺手工证据"),IF(OR(F55="卖出待补仓",F55="提交结果待确认",F55="异常待处理"),"持续跟踪","检查状态")))))</x:f>
      </x:c>
      <x:c r="T55" s="64" t="str">
        <x:f>IF(A55="","",IF(COUNTIF($A$5:$A$1204,A55)&gt;1,"重复",""))</x:f>
      </x:c>
      <x:c r="U55" s="64" t="str">
        <x:f>IF(A55="","",IF(T55="重复","检查重复",IF(OR(R55="有证据",R55="有记录",R55="持续跟踪"),"可追踪","检查")))</x:f>
      </x:c>
    </x:row>
    <x:row r="56">
      <x:c r="A56" s="62"/>
      <x:c r="B56" s="62"/>
      <x:c r="C56" s="62"/>
      <x:c r="D56" s="66"/>
      <x:c r="E56" s="68"/>
      <x:c r="F56" s="62"/>
      <x:c r="G56" s="62"/>
      <x:c r="H56" s="62"/>
      <x:c r="I56" s="62"/>
      <x:c r="J56" s="62"/>
      <x:c r="K56" s="62"/>
      <x:c r="L56" s="62"/>
      <x:c r="M56" s="68"/>
      <x:c r="N56" s="68"/>
      <x:c r="O56" s="68"/>
      <x:c r="P56" s="71" t="str">
        <x:f>IF(A56="","",IF(N56&gt;0,N56,M56))</x:f>
      </x:c>
      <x:c r="Q56" s="72" t="n">
        <x:f>IF(A56="",0,IF(COUNTIF($A$5:A56,A56)=1,1,0))</x:f>
        <x:v>0</x:v>
      </x:c>
      <x:c r="R56" s="64" t="str">
        <x:f>IF(A56="","",IF(F56="C56成功",IF(AND(J56&lt;&gt;"",K56&lt;&gt;"",N56&gt;0),"有证据","缺C56证据"),IF(F56="C56发货确认中",IF(AND(J56&lt;&gt;"",K56&lt;&gt;""),"有证据","缺C56证据"),IF(F56="手动完结",IF(OR(L56&lt;&gt;"",O56&lt;&gt;"",S56&lt;&gt;""),"有记录","缺手工证据"),IF(OR(F56="卖出待补仓",F56="提交结果待确认",F56="异常待处理"),"持续跟踪","检查状态")))))</x:f>
      </x:c>
      <x:c r="T56" s="64" t="str">
        <x:f>IF(A56="","",IF(COUNTIF($A$5:$A$1204,A56)&gt;1,"重复",""))</x:f>
      </x:c>
      <x:c r="U56" s="64" t="str">
        <x:f>IF(A56="","",IF(T56="重复","检查重复",IF(OR(R56="有证据",R56="有记录",R56="持续跟踪"),"可追踪","检查")))</x:f>
      </x:c>
    </x:row>
    <x:row r="57">
      <x:c r="A57" s="62"/>
      <x:c r="B57" s="62"/>
      <x:c r="C57" s="62"/>
      <x:c r="D57" s="66"/>
      <x:c r="E57" s="68"/>
      <x:c r="F57" s="62"/>
      <x:c r="G57" s="62"/>
      <x:c r="H57" s="62"/>
      <x:c r="I57" s="62"/>
      <x:c r="J57" s="62"/>
      <x:c r="K57" s="62"/>
      <x:c r="L57" s="62"/>
      <x:c r="M57" s="68"/>
      <x:c r="N57" s="68"/>
      <x:c r="O57" s="68"/>
      <x:c r="P57" s="71" t="str">
        <x:f>IF(A57="","",IF(N57&gt;0,N57,M57))</x:f>
      </x:c>
      <x:c r="Q57" s="72" t="n">
        <x:f>IF(A57="",0,IF(COUNTIF($A$5:A57,A57)=1,1,0))</x:f>
        <x:v>0</x:v>
      </x:c>
      <x:c r="R57" s="64" t="str">
        <x:f>IF(A57="","",IF(F57="C57成功",IF(AND(J57&lt;&gt;"",K57&lt;&gt;"",N57&gt;0),"有证据","缺C57证据"),IF(F57="C57发货确认中",IF(AND(J57&lt;&gt;"",K57&lt;&gt;""),"有证据","缺C57证据"),IF(F57="手动完结",IF(OR(L57&lt;&gt;"",O57&lt;&gt;"",S57&lt;&gt;""),"有记录","缺手工证据"),IF(OR(F57="卖出待补仓",F57="提交结果待确认",F57="异常待处理"),"持续跟踪","检查状态")))))</x:f>
      </x:c>
      <x:c r="T57" s="64" t="str">
        <x:f>IF(A57="","",IF(COUNTIF($A$5:$A$1204,A57)&gt;1,"重复",""))</x:f>
      </x:c>
      <x:c r="U57" s="64" t="str">
        <x:f>IF(A57="","",IF(T57="重复","检查重复",IF(OR(R57="有证据",R57="有记录",R57="持续跟踪"),"可追踪","检查")))</x:f>
      </x:c>
    </x:row>
    <x:row r="58">
      <x:c r="A58" s="62"/>
      <x:c r="B58" s="62"/>
      <x:c r="C58" s="62"/>
      <x:c r="D58" s="66"/>
      <x:c r="E58" s="68"/>
      <x:c r="F58" s="62"/>
      <x:c r="G58" s="62"/>
      <x:c r="H58" s="62"/>
      <x:c r="I58" s="62"/>
      <x:c r="J58" s="62"/>
      <x:c r="K58" s="62"/>
      <x:c r="L58" s="62"/>
      <x:c r="M58" s="68"/>
      <x:c r="N58" s="68"/>
      <x:c r="O58" s="68"/>
      <x:c r="P58" s="71" t="str">
        <x:f>IF(A58="","",IF(N58&gt;0,N58,M58))</x:f>
      </x:c>
      <x:c r="Q58" s="72" t="n">
        <x:f>IF(A58="",0,IF(COUNTIF($A$5:A58,A58)=1,1,0))</x:f>
        <x:v>0</x:v>
      </x:c>
      <x:c r="R58" s="64" t="str">
        <x:f>IF(A58="","",IF(F58="C58成功",IF(AND(J58&lt;&gt;"",K58&lt;&gt;"",N58&gt;0),"有证据","缺C58证据"),IF(F58="C58发货确认中",IF(AND(J58&lt;&gt;"",K58&lt;&gt;""),"有证据","缺C58证据"),IF(F58="手动完结",IF(OR(L58&lt;&gt;"",O58&lt;&gt;"",S58&lt;&gt;""),"有记录","缺手工证据"),IF(OR(F58="卖出待补仓",F58="提交结果待确认",F58="异常待处理"),"持续跟踪","检查状态")))))</x:f>
      </x:c>
      <x:c r="T58" s="64" t="str">
        <x:f>IF(A58="","",IF(COUNTIF($A$5:$A$1204,A58)&gt;1,"重复",""))</x:f>
      </x:c>
      <x:c r="U58" s="64" t="str">
        <x:f>IF(A58="","",IF(T58="重复","检查重复",IF(OR(R58="有证据",R58="有记录",R58="持续跟踪"),"可追踪","检查")))</x:f>
      </x:c>
    </x:row>
    <x:row r="59">
      <x:c r="A59" s="62"/>
      <x:c r="B59" s="62"/>
      <x:c r="C59" s="62"/>
      <x:c r="D59" s="66"/>
      <x:c r="E59" s="68"/>
      <x:c r="F59" s="62"/>
      <x:c r="G59" s="62"/>
      <x:c r="H59" s="62"/>
      <x:c r="I59" s="62"/>
      <x:c r="J59" s="62"/>
      <x:c r="K59" s="62"/>
      <x:c r="L59" s="62"/>
      <x:c r="M59" s="68"/>
      <x:c r="N59" s="68"/>
      <x:c r="O59" s="68"/>
      <x:c r="P59" s="71" t="str">
        <x:f>IF(A59="","",IF(N59&gt;0,N59,M59))</x:f>
      </x:c>
      <x:c r="Q59" s="72" t="n">
        <x:f>IF(A59="",0,IF(COUNTIF($A$5:A59,A59)=1,1,0))</x:f>
        <x:v>0</x:v>
      </x:c>
      <x:c r="R59" s="64" t="str">
        <x:f>IF(A59="","",IF(F59="C59成功",IF(AND(J59&lt;&gt;"",K59&lt;&gt;"",N59&gt;0),"有证据","缺C59证据"),IF(F59="C59发货确认中",IF(AND(J59&lt;&gt;"",K59&lt;&gt;""),"有证据","缺C59证据"),IF(F59="手动完结",IF(OR(L59&lt;&gt;"",O59&lt;&gt;"",S59&lt;&gt;""),"有记录","缺手工证据"),IF(OR(F59="卖出待补仓",F59="提交结果待确认",F59="异常待处理"),"持续跟踪","检查状态")))))</x:f>
      </x:c>
      <x:c r="T59" s="64" t="str">
        <x:f>IF(A59="","",IF(COUNTIF($A$5:$A$1204,A59)&gt;1,"重复",""))</x:f>
      </x:c>
      <x:c r="U59" s="64" t="str">
        <x:f>IF(A59="","",IF(T59="重复","检查重复",IF(OR(R59="有证据",R59="有记录",R59="持续跟踪"),"可追踪","检查")))</x:f>
      </x:c>
    </x:row>
    <x:row r="60">
      <x:c r="A60" s="62"/>
      <x:c r="B60" s="62"/>
      <x:c r="C60" s="62"/>
      <x:c r="D60" s="66"/>
      <x:c r="E60" s="68"/>
      <x:c r="F60" s="62"/>
      <x:c r="G60" s="62"/>
      <x:c r="H60" s="62"/>
      <x:c r="I60" s="62"/>
      <x:c r="J60" s="62"/>
      <x:c r="K60" s="62"/>
      <x:c r="L60" s="62"/>
      <x:c r="M60" s="68"/>
      <x:c r="N60" s="68"/>
      <x:c r="O60" s="68"/>
      <x:c r="P60" s="71" t="str">
        <x:f>IF(A60="","",IF(N60&gt;0,N60,M60))</x:f>
      </x:c>
      <x:c r="Q60" s="72" t="n">
        <x:f>IF(A60="",0,IF(COUNTIF($A$5:A60,A60)=1,1,0))</x:f>
        <x:v>0</x:v>
      </x:c>
      <x:c r="R60" s="64" t="str">
        <x:f>IF(A60="","",IF(F60="C60成功",IF(AND(J60&lt;&gt;"",K60&lt;&gt;"",N60&gt;0),"有证据","缺C60证据"),IF(F60="C60发货确认中",IF(AND(J60&lt;&gt;"",K60&lt;&gt;""),"有证据","缺C60证据"),IF(F60="手动完结",IF(OR(L60&lt;&gt;"",O60&lt;&gt;"",S60&lt;&gt;""),"有记录","缺手工证据"),IF(OR(F60="卖出待补仓",F60="提交结果待确认",F60="异常待处理"),"持续跟踪","检查状态")))))</x:f>
      </x:c>
      <x:c r="T60" s="64" t="str">
        <x:f>IF(A60="","",IF(COUNTIF($A$5:$A$1204,A60)&gt;1,"重复",""))</x:f>
      </x:c>
      <x:c r="U60" s="64" t="str">
        <x:f>IF(A60="","",IF(T60="重复","检查重复",IF(OR(R60="有证据",R60="有记录",R60="持续跟踪"),"可追踪","检查")))</x:f>
      </x:c>
    </x:row>
    <x:row r="61">
      <x:c r="A61" s="62"/>
      <x:c r="B61" s="62"/>
      <x:c r="C61" s="62"/>
      <x:c r="D61" s="66"/>
      <x:c r="E61" s="68"/>
      <x:c r="F61" s="62"/>
      <x:c r="G61" s="62"/>
      <x:c r="H61" s="62"/>
      <x:c r="I61" s="62"/>
      <x:c r="J61" s="62"/>
      <x:c r="K61" s="62"/>
      <x:c r="L61" s="62"/>
      <x:c r="M61" s="68"/>
      <x:c r="N61" s="68"/>
      <x:c r="O61" s="68"/>
      <x:c r="P61" s="71" t="str">
        <x:f>IF(A61="","",IF(N61&gt;0,N61,M61))</x:f>
      </x:c>
      <x:c r="Q61" s="72" t="n">
        <x:f>IF(A61="",0,IF(COUNTIF($A$5:A61,A61)=1,1,0))</x:f>
        <x:v>0</x:v>
      </x:c>
      <x:c r="R61" s="64" t="str">
        <x:f>IF(A61="","",IF(F61="C61成功",IF(AND(J61&lt;&gt;"",K61&lt;&gt;"",N61&gt;0),"有证据","缺C61证据"),IF(F61="C61发货确认中",IF(AND(J61&lt;&gt;"",K61&lt;&gt;""),"有证据","缺C61证据"),IF(F61="手动完结",IF(OR(L61&lt;&gt;"",O61&lt;&gt;"",S61&lt;&gt;""),"有记录","缺手工证据"),IF(OR(F61="卖出待补仓",F61="提交结果待确认",F61="异常待处理"),"持续跟踪","检查状态")))))</x:f>
      </x:c>
      <x:c r="T61" s="64" t="str">
        <x:f>IF(A61="","",IF(COUNTIF($A$5:$A$1204,A61)&gt;1,"重复",""))</x:f>
      </x:c>
      <x:c r="U61" s="64" t="str">
        <x:f>IF(A61="","",IF(T61="重复","检查重复",IF(OR(R61="有证据",R61="有记录",R61="持续跟踪"),"可追踪","检查")))</x:f>
      </x:c>
    </x:row>
    <x:row r="62">
      <x:c r="A62" s="62"/>
      <x:c r="B62" s="62"/>
      <x:c r="C62" s="62"/>
      <x:c r="D62" s="66"/>
      <x:c r="E62" s="68"/>
      <x:c r="F62" s="62"/>
      <x:c r="G62" s="62"/>
      <x:c r="H62" s="62"/>
      <x:c r="I62" s="62"/>
      <x:c r="J62" s="62"/>
      <x:c r="K62" s="62"/>
      <x:c r="L62" s="62"/>
      <x:c r="M62" s="68"/>
      <x:c r="N62" s="68"/>
      <x:c r="O62" s="68"/>
      <x:c r="P62" s="71" t="str">
        <x:f>IF(A62="","",IF(N62&gt;0,N62,M62))</x:f>
      </x:c>
      <x:c r="Q62" s="72" t="n">
        <x:f>IF(A62="",0,IF(COUNTIF($A$5:A62,A62)=1,1,0))</x:f>
        <x:v>0</x:v>
      </x:c>
      <x:c r="R62" s="64" t="str">
        <x:f>IF(A62="","",IF(F62="C62成功",IF(AND(J62&lt;&gt;"",K62&lt;&gt;"",N62&gt;0),"有证据","缺C62证据"),IF(F62="C62发货确认中",IF(AND(J62&lt;&gt;"",K62&lt;&gt;""),"有证据","缺C62证据"),IF(F62="手动完结",IF(OR(L62&lt;&gt;"",O62&lt;&gt;"",S62&lt;&gt;""),"有记录","缺手工证据"),IF(OR(F62="卖出待补仓",F62="提交结果待确认",F62="异常待处理"),"持续跟踪","检查状态")))))</x:f>
      </x:c>
      <x:c r="T62" s="64" t="str">
        <x:f>IF(A62="","",IF(COUNTIF($A$5:$A$1204,A62)&gt;1,"重复",""))</x:f>
      </x:c>
      <x:c r="U62" s="64" t="str">
        <x:f>IF(A62="","",IF(T62="重复","检查重复",IF(OR(R62="有证据",R62="有记录",R62="持续跟踪"),"可追踪","检查")))</x:f>
      </x:c>
    </x:row>
    <x:row r="63">
      <x:c r="A63" s="62"/>
      <x:c r="B63" s="62"/>
      <x:c r="C63" s="62"/>
      <x:c r="D63" s="66"/>
      <x:c r="E63" s="68"/>
      <x:c r="F63" s="62"/>
      <x:c r="G63" s="62"/>
      <x:c r="H63" s="62"/>
      <x:c r="I63" s="62"/>
      <x:c r="J63" s="62"/>
      <x:c r="K63" s="62"/>
      <x:c r="L63" s="62"/>
      <x:c r="M63" s="68"/>
      <x:c r="N63" s="68"/>
      <x:c r="O63" s="68"/>
      <x:c r="P63" s="71" t="str">
        <x:f>IF(A63="","",IF(N63&gt;0,N63,M63))</x:f>
      </x:c>
      <x:c r="Q63" s="72" t="n">
        <x:f>IF(A63="",0,IF(COUNTIF($A$5:A63,A63)=1,1,0))</x:f>
        <x:v>0</x:v>
      </x:c>
      <x:c r="R63" s="64" t="str">
        <x:f>IF(A63="","",IF(F63="C63成功",IF(AND(J63&lt;&gt;"",K63&lt;&gt;"",N63&gt;0),"有证据","缺C63证据"),IF(F63="C63发货确认中",IF(AND(J63&lt;&gt;"",K63&lt;&gt;""),"有证据","缺C63证据"),IF(F63="手动完结",IF(OR(L63&lt;&gt;"",O63&lt;&gt;"",S63&lt;&gt;""),"有记录","缺手工证据"),IF(OR(F63="卖出待补仓",F63="提交结果待确认",F63="异常待处理"),"持续跟踪","检查状态")))))</x:f>
      </x:c>
      <x:c r="T63" s="64" t="str">
        <x:f>IF(A63="","",IF(COUNTIF($A$5:$A$1204,A63)&gt;1,"重复",""))</x:f>
      </x:c>
      <x:c r="U63" s="64" t="str">
        <x:f>IF(A63="","",IF(T63="重复","检查重复",IF(OR(R63="有证据",R63="有记录",R63="持续跟踪"),"可追踪","检查")))</x:f>
      </x:c>
    </x:row>
    <x:row r="64">
      <x:c r="A64" s="62"/>
      <x:c r="B64" s="62"/>
      <x:c r="C64" s="62"/>
      <x:c r="D64" s="66"/>
      <x:c r="E64" s="68"/>
      <x:c r="F64" s="62"/>
      <x:c r="G64" s="62"/>
      <x:c r="H64" s="62"/>
      <x:c r="I64" s="62"/>
      <x:c r="J64" s="62"/>
      <x:c r="K64" s="62"/>
      <x:c r="L64" s="62"/>
      <x:c r="M64" s="68"/>
      <x:c r="N64" s="68"/>
      <x:c r="O64" s="68"/>
      <x:c r="P64" s="71" t="str">
        <x:f>IF(A64="","",IF(N64&gt;0,N64,M64))</x:f>
      </x:c>
      <x:c r="Q64" s="72" t="n">
        <x:f>IF(A64="",0,IF(COUNTIF($A$5:A64,A64)=1,1,0))</x:f>
        <x:v>0</x:v>
      </x:c>
      <x:c r="R64" s="64" t="str">
        <x:f>IF(A64="","",IF(F64="C64成功",IF(AND(J64&lt;&gt;"",K64&lt;&gt;"",N64&gt;0),"有证据","缺C64证据"),IF(F64="C64发货确认中",IF(AND(J64&lt;&gt;"",K64&lt;&gt;""),"有证据","缺C64证据"),IF(F64="手动完结",IF(OR(L64&lt;&gt;"",O64&lt;&gt;"",S64&lt;&gt;""),"有记录","缺手工证据"),IF(OR(F64="卖出待补仓",F64="提交结果待确认",F64="异常待处理"),"持续跟踪","检查状态")))))</x:f>
      </x:c>
      <x:c r="T64" s="64" t="str">
        <x:f>IF(A64="","",IF(COUNTIF($A$5:$A$1204,A64)&gt;1,"重复",""))</x:f>
      </x:c>
      <x:c r="U64" s="64" t="str">
        <x:f>IF(A64="","",IF(T64="重复","检查重复",IF(OR(R64="有证据",R64="有记录",R64="持续跟踪"),"可追踪","检查")))</x:f>
      </x:c>
    </x:row>
    <x:row r="65">
      <x:c r="A65" s="62"/>
      <x:c r="B65" s="62"/>
      <x:c r="C65" s="62"/>
      <x:c r="D65" s="66"/>
      <x:c r="E65" s="68"/>
      <x:c r="F65" s="62"/>
      <x:c r="G65" s="62"/>
      <x:c r="H65" s="62"/>
      <x:c r="I65" s="62"/>
      <x:c r="J65" s="62"/>
      <x:c r="K65" s="62"/>
      <x:c r="L65" s="62"/>
      <x:c r="M65" s="68"/>
      <x:c r="N65" s="68"/>
      <x:c r="O65" s="68"/>
      <x:c r="P65" s="71" t="str">
        <x:f>IF(A65="","",IF(N65&gt;0,N65,M65))</x:f>
      </x:c>
      <x:c r="Q65" s="72" t="n">
        <x:f>IF(A65="",0,IF(COUNTIF($A$5:A65,A65)=1,1,0))</x:f>
        <x:v>0</x:v>
      </x:c>
      <x:c r="R65" s="64" t="str">
        <x:f>IF(A65="","",IF(F65="C65成功",IF(AND(J65&lt;&gt;"",K65&lt;&gt;"",N65&gt;0),"有证据","缺C65证据"),IF(F65="C65发货确认中",IF(AND(J65&lt;&gt;"",K65&lt;&gt;""),"有证据","缺C65证据"),IF(F65="手动完结",IF(OR(L65&lt;&gt;"",O65&lt;&gt;"",S65&lt;&gt;""),"有记录","缺手工证据"),IF(OR(F65="卖出待补仓",F65="提交结果待确认",F65="异常待处理"),"持续跟踪","检查状态")))))</x:f>
      </x:c>
      <x:c r="T65" s="64" t="str">
        <x:f>IF(A65="","",IF(COUNTIF($A$5:$A$1204,A65)&gt;1,"重复",""))</x:f>
      </x:c>
      <x:c r="U65" s="64" t="str">
        <x:f>IF(A65="","",IF(T65="重复","检查重复",IF(OR(R65="有证据",R65="有记录",R65="持续跟踪"),"可追踪","检查")))</x:f>
      </x:c>
    </x:row>
    <x:row r="66">
      <x:c r="A66" s="62"/>
      <x:c r="B66" s="62"/>
      <x:c r="C66" s="62"/>
      <x:c r="D66" s="66"/>
      <x:c r="E66" s="68"/>
      <x:c r="F66" s="62"/>
      <x:c r="G66" s="62"/>
      <x:c r="H66" s="62"/>
      <x:c r="I66" s="62"/>
      <x:c r="J66" s="62"/>
      <x:c r="K66" s="62"/>
      <x:c r="L66" s="62"/>
      <x:c r="M66" s="68"/>
      <x:c r="N66" s="68"/>
      <x:c r="O66" s="68"/>
      <x:c r="P66" s="71" t="str">
        <x:f>IF(A66="","",IF(N66&gt;0,N66,M66))</x:f>
      </x:c>
      <x:c r="Q66" s="72" t="n">
        <x:f>IF(A66="",0,IF(COUNTIF($A$5:A66,A66)=1,1,0))</x:f>
        <x:v>0</x:v>
      </x:c>
      <x:c r="R66" s="64" t="str">
        <x:f>IF(A66="","",IF(F66="C66成功",IF(AND(J66&lt;&gt;"",K66&lt;&gt;"",N66&gt;0),"有证据","缺C66证据"),IF(F66="C66发货确认中",IF(AND(J66&lt;&gt;"",K66&lt;&gt;""),"有证据","缺C66证据"),IF(F66="手动完结",IF(OR(L66&lt;&gt;"",O66&lt;&gt;"",S66&lt;&gt;""),"有记录","缺手工证据"),IF(OR(F66="卖出待补仓",F66="提交结果待确认",F66="异常待处理"),"持续跟踪","检查状态")))))</x:f>
      </x:c>
      <x:c r="T66" s="64" t="str">
        <x:f>IF(A66="","",IF(COUNTIF($A$5:$A$1204,A66)&gt;1,"重复",""))</x:f>
      </x:c>
      <x:c r="U66" s="64" t="str">
        <x:f>IF(A66="","",IF(T66="重复","检查重复",IF(OR(R66="有证据",R66="有记录",R66="持续跟踪"),"可追踪","检查")))</x:f>
      </x:c>
    </x:row>
    <x:row r="67">
      <x:c r="A67" s="62"/>
      <x:c r="B67" s="62"/>
      <x:c r="C67" s="62"/>
      <x:c r="D67" s="66"/>
      <x:c r="E67" s="68"/>
      <x:c r="F67" s="62"/>
      <x:c r="G67" s="62"/>
      <x:c r="H67" s="62"/>
      <x:c r="I67" s="62"/>
      <x:c r="J67" s="62"/>
      <x:c r="K67" s="62"/>
      <x:c r="L67" s="62"/>
      <x:c r="M67" s="68"/>
      <x:c r="N67" s="68"/>
      <x:c r="O67" s="68"/>
      <x:c r="P67" s="71" t="str">
        <x:f>IF(A67="","",IF(N67&gt;0,N67,M67))</x:f>
      </x:c>
      <x:c r="Q67" s="72" t="n">
        <x:f>IF(A67="",0,IF(COUNTIF($A$5:A67,A67)=1,1,0))</x:f>
        <x:v>0</x:v>
      </x:c>
      <x:c r="R67" s="64" t="str">
        <x:f>IF(A67="","",IF(F67="C67成功",IF(AND(J67&lt;&gt;"",K67&lt;&gt;"",N67&gt;0),"有证据","缺C67证据"),IF(F67="C67发货确认中",IF(AND(J67&lt;&gt;"",K67&lt;&gt;""),"有证据","缺C67证据"),IF(F67="手动完结",IF(OR(L67&lt;&gt;"",O67&lt;&gt;"",S67&lt;&gt;""),"有记录","缺手工证据"),IF(OR(F67="卖出待补仓",F67="提交结果待确认",F67="异常待处理"),"持续跟踪","检查状态")))))</x:f>
      </x:c>
      <x:c r="T67" s="64" t="str">
        <x:f>IF(A67="","",IF(COUNTIF($A$5:$A$1204,A67)&gt;1,"重复",""))</x:f>
      </x:c>
      <x:c r="U67" s="64" t="str">
        <x:f>IF(A67="","",IF(T67="重复","检查重复",IF(OR(R67="有证据",R67="有记录",R67="持续跟踪"),"可追踪","检查")))</x:f>
      </x:c>
    </x:row>
    <x:row r="68">
      <x:c r="A68" s="62"/>
      <x:c r="B68" s="62"/>
      <x:c r="C68" s="62"/>
      <x:c r="D68" s="66"/>
      <x:c r="E68" s="68"/>
      <x:c r="F68" s="62"/>
      <x:c r="G68" s="62"/>
      <x:c r="H68" s="62"/>
      <x:c r="I68" s="62"/>
      <x:c r="J68" s="62"/>
      <x:c r="K68" s="62"/>
      <x:c r="L68" s="62"/>
      <x:c r="M68" s="68"/>
      <x:c r="N68" s="68"/>
      <x:c r="O68" s="68"/>
      <x:c r="P68" s="71" t="str">
        <x:f>IF(A68="","",IF(N68&gt;0,N68,M68))</x:f>
      </x:c>
      <x:c r="Q68" s="72" t="n">
        <x:f>IF(A68="",0,IF(COUNTIF($A$5:A68,A68)=1,1,0))</x:f>
        <x:v>0</x:v>
      </x:c>
      <x:c r="R68" s="64" t="str">
        <x:f>IF(A68="","",IF(F68="C68成功",IF(AND(J68&lt;&gt;"",K68&lt;&gt;"",N68&gt;0),"有证据","缺C68证据"),IF(F68="C68发货确认中",IF(AND(J68&lt;&gt;"",K68&lt;&gt;""),"有证据","缺C68证据"),IF(F68="手动完结",IF(OR(L68&lt;&gt;"",O68&lt;&gt;"",S68&lt;&gt;""),"有记录","缺手工证据"),IF(OR(F68="卖出待补仓",F68="提交结果待确认",F68="异常待处理"),"持续跟踪","检查状态")))))</x:f>
      </x:c>
      <x:c r="T68" s="64" t="str">
        <x:f>IF(A68="","",IF(COUNTIF($A$5:$A$1204,A68)&gt;1,"重复",""))</x:f>
      </x:c>
      <x:c r="U68" s="64" t="str">
        <x:f>IF(A68="","",IF(T68="重复","检查重复",IF(OR(R68="有证据",R68="有记录",R68="持续跟踪"),"可追踪","检查")))</x:f>
      </x:c>
    </x:row>
    <x:row r="69">
      <x:c r="A69" s="62"/>
      <x:c r="B69" s="62"/>
      <x:c r="C69" s="62"/>
      <x:c r="D69" s="66"/>
      <x:c r="E69" s="68"/>
      <x:c r="F69" s="62"/>
      <x:c r="G69" s="62"/>
      <x:c r="H69" s="62"/>
      <x:c r="I69" s="62"/>
      <x:c r="J69" s="62"/>
      <x:c r="K69" s="62"/>
      <x:c r="L69" s="62"/>
      <x:c r="M69" s="68"/>
      <x:c r="N69" s="68"/>
      <x:c r="O69" s="68"/>
      <x:c r="P69" s="71" t="str">
        <x:f>IF(A69="","",IF(N69&gt;0,N69,M69))</x:f>
      </x:c>
      <x:c r="Q69" s="72" t="n">
        <x:f>IF(A69="",0,IF(COUNTIF($A$5:A69,A69)=1,1,0))</x:f>
        <x:v>0</x:v>
      </x:c>
      <x:c r="R69" s="64" t="str">
        <x:f>IF(A69="","",IF(F69="C69成功",IF(AND(J69&lt;&gt;"",K69&lt;&gt;"",N69&gt;0),"有证据","缺C69证据"),IF(F69="C69发货确认中",IF(AND(J69&lt;&gt;"",K69&lt;&gt;""),"有证据","缺C69证据"),IF(F69="手动完结",IF(OR(L69&lt;&gt;"",O69&lt;&gt;"",S69&lt;&gt;""),"有记录","缺手工证据"),IF(OR(F69="卖出待补仓",F69="提交结果待确认",F69="异常待处理"),"持续跟踪","检查状态")))))</x:f>
      </x:c>
      <x:c r="T69" s="64" t="str">
        <x:f>IF(A69="","",IF(COUNTIF($A$5:$A$1204,A69)&gt;1,"重复",""))</x:f>
      </x:c>
      <x:c r="U69" s="64" t="str">
        <x:f>IF(A69="","",IF(T69="重复","检查重复",IF(OR(R69="有证据",R69="有记录",R69="持续跟踪"),"可追踪","检查")))</x:f>
      </x:c>
    </x:row>
    <x:row r="70">
      <x:c r="A70" s="62"/>
      <x:c r="B70" s="62"/>
      <x:c r="C70" s="62"/>
      <x:c r="D70" s="66"/>
      <x:c r="E70" s="68"/>
      <x:c r="F70" s="62"/>
      <x:c r="G70" s="62"/>
      <x:c r="H70" s="62"/>
      <x:c r="I70" s="62"/>
      <x:c r="J70" s="62"/>
      <x:c r="K70" s="62"/>
      <x:c r="L70" s="62"/>
      <x:c r="M70" s="68"/>
      <x:c r="N70" s="68"/>
      <x:c r="O70" s="68"/>
      <x:c r="P70" s="71" t="str">
        <x:f>IF(A70="","",IF(N70&gt;0,N70,M70))</x:f>
      </x:c>
      <x:c r="Q70" s="72" t="n">
        <x:f>IF(A70="",0,IF(COUNTIF($A$5:A70,A70)=1,1,0))</x:f>
        <x:v>0</x:v>
      </x:c>
      <x:c r="R70" s="64" t="str">
        <x:f>IF(A70="","",IF(F70="C70成功",IF(AND(J70&lt;&gt;"",K70&lt;&gt;"",N70&gt;0),"有证据","缺C70证据"),IF(F70="C70发货确认中",IF(AND(J70&lt;&gt;"",K70&lt;&gt;""),"有证据","缺C70证据"),IF(F70="手动完结",IF(OR(L70&lt;&gt;"",O70&lt;&gt;"",S70&lt;&gt;""),"有记录","缺手工证据"),IF(OR(F70="卖出待补仓",F70="提交结果待确认",F70="异常待处理"),"持续跟踪","检查状态")))))</x:f>
      </x:c>
      <x:c r="T70" s="64" t="str">
        <x:f>IF(A70="","",IF(COUNTIF($A$5:$A$1204,A70)&gt;1,"重复",""))</x:f>
      </x:c>
      <x:c r="U70" s="64" t="str">
        <x:f>IF(A70="","",IF(T70="重复","检查重复",IF(OR(R70="有证据",R70="有记录",R70="持续跟踪"),"可追踪","检查")))</x:f>
      </x:c>
    </x:row>
    <x:row r="71">
      <x:c r="A71" s="62"/>
      <x:c r="B71" s="62"/>
      <x:c r="C71" s="62"/>
      <x:c r="D71" s="66"/>
      <x:c r="E71" s="68"/>
      <x:c r="F71" s="62"/>
      <x:c r="G71" s="62"/>
      <x:c r="H71" s="62"/>
      <x:c r="I71" s="62"/>
      <x:c r="J71" s="62"/>
      <x:c r="K71" s="62"/>
      <x:c r="L71" s="62"/>
      <x:c r="M71" s="68"/>
      <x:c r="N71" s="68"/>
      <x:c r="O71" s="68"/>
      <x:c r="P71" s="71" t="str">
        <x:f>IF(A71="","",IF(N71&gt;0,N71,M71))</x:f>
      </x:c>
      <x:c r="Q71" s="72" t="n">
        <x:f>IF(A71="",0,IF(COUNTIF($A$5:A71,A71)=1,1,0))</x:f>
        <x:v>0</x:v>
      </x:c>
      <x:c r="R71" s="64" t="str">
        <x:f>IF(A71="","",IF(F71="C71成功",IF(AND(J71&lt;&gt;"",K71&lt;&gt;"",N71&gt;0),"有证据","缺C71证据"),IF(F71="C71发货确认中",IF(AND(J71&lt;&gt;"",K71&lt;&gt;""),"有证据","缺C71证据"),IF(F71="手动完结",IF(OR(L71&lt;&gt;"",O71&lt;&gt;"",S71&lt;&gt;""),"有记录","缺手工证据"),IF(OR(F71="卖出待补仓",F71="提交结果待确认",F71="异常待处理"),"持续跟踪","检查状态")))))</x:f>
      </x:c>
      <x:c r="T71" s="64" t="str">
        <x:f>IF(A71="","",IF(COUNTIF($A$5:$A$1204,A71)&gt;1,"重复",""))</x:f>
      </x:c>
      <x:c r="U71" s="64" t="str">
        <x:f>IF(A71="","",IF(T71="重复","检查重复",IF(OR(R71="有证据",R71="有记录",R71="持续跟踪"),"可追踪","检查")))</x:f>
      </x:c>
    </x:row>
    <x:row r="72">
      <x:c r="A72" s="62"/>
      <x:c r="B72" s="62"/>
      <x:c r="C72" s="62"/>
      <x:c r="D72" s="66"/>
      <x:c r="E72" s="68"/>
      <x:c r="F72" s="62"/>
      <x:c r="G72" s="62"/>
      <x:c r="H72" s="62"/>
      <x:c r="I72" s="62"/>
      <x:c r="J72" s="62"/>
      <x:c r="K72" s="62"/>
      <x:c r="L72" s="62"/>
      <x:c r="M72" s="68"/>
      <x:c r="N72" s="68"/>
      <x:c r="O72" s="68"/>
      <x:c r="P72" s="71" t="str">
        <x:f>IF(A72="","",IF(N72&gt;0,N72,M72))</x:f>
      </x:c>
      <x:c r="Q72" s="72" t="n">
        <x:f>IF(A72="",0,IF(COUNTIF($A$5:A72,A72)=1,1,0))</x:f>
        <x:v>0</x:v>
      </x:c>
      <x:c r="R72" s="64" t="str">
        <x:f>IF(A72="","",IF(F72="C72成功",IF(AND(J72&lt;&gt;"",K72&lt;&gt;"",N72&gt;0),"有证据","缺C72证据"),IF(F72="C72发货确认中",IF(AND(J72&lt;&gt;"",K72&lt;&gt;""),"有证据","缺C72证据"),IF(F72="手动完结",IF(OR(L72&lt;&gt;"",O72&lt;&gt;"",S72&lt;&gt;""),"有记录","缺手工证据"),IF(OR(F72="卖出待补仓",F72="提交结果待确认",F72="异常待处理"),"持续跟踪","检查状态")))))</x:f>
      </x:c>
      <x:c r="T72" s="64" t="str">
        <x:f>IF(A72="","",IF(COUNTIF($A$5:$A$1204,A72)&gt;1,"重复",""))</x:f>
      </x:c>
      <x:c r="U72" s="64" t="str">
        <x:f>IF(A72="","",IF(T72="重复","检查重复",IF(OR(R72="有证据",R72="有记录",R72="持续跟踪"),"可追踪","检查")))</x:f>
      </x:c>
    </x:row>
    <x:row r="73">
      <x:c r="A73" s="62"/>
      <x:c r="B73" s="62"/>
      <x:c r="C73" s="62"/>
      <x:c r="D73" s="66"/>
      <x:c r="E73" s="68"/>
      <x:c r="F73" s="62"/>
      <x:c r="G73" s="62"/>
      <x:c r="H73" s="62"/>
      <x:c r="I73" s="62"/>
      <x:c r="J73" s="62"/>
      <x:c r="K73" s="62"/>
      <x:c r="L73" s="62"/>
      <x:c r="M73" s="68"/>
      <x:c r="N73" s="68"/>
      <x:c r="O73" s="68"/>
      <x:c r="P73" s="71" t="str">
        <x:f>IF(A73="","",IF(N73&gt;0,N73,M73))</x:f>
      </x:c>
      <x:c r="Q73" s="72" t="n">
        <x:f>IF(A73="",0,IF(COUNTIF($A$5:A73,A73)=1,1,0))</x:f>
        <x:v>0</x:v>
      </x:c>
      <x:c r="R73" s="64" t="str">
        <x:f>IF(A73="","",IF(F73="C73成功",IF(AND(J73&lt;&gt;"",K73&lt;&gt;"",N73&gt;0),"有证据","缺C73证据"),IF(F73="C73发货确认中",IF(AND(J73&lt;&gt;"",K73&lt;&gt;""),"有证据","缺C73证据"),IF(F73="手动完结",IF(OR(L73&lt;&gt;"",O73&lt;&gt;"",S73&lt;&gt;""),"有记录","缺手工证据"),IF(OR(F73="卖出待补仓",F73="提交结果待确认",F73="异常待处理"),"持续跟踪","检查状态")))))</x:f>
      </x:c>
      <x:c r="T73" s="64" t="str">
        <x:f>IF(A73="","",IF(COUNTIF($A$5:$A$1204,A73)&gt;1,"重复",""))</x:f>
      </x:c>
      <x:c r="U73" s="64" t="str">
        <x:f>IF(A73="","",IF(T73="重复","检查重复",IF(OR(R73="有证据",R73="有记录",R73="持续跟踪"),"可追踪","检查")))</x:f>
      </x:c>
    </x:row>
    <x:row r="74">
      <x:c r="A74" s="62"/>
      <x:c r="B74" s="62"/>
      <x:c r="C74" s="62"/>
      <x:c r="D74" s="66"/>
      <x:c r="E74" s="68"/>
      <x:c r="F74" s="62"/>
      <x:c r="G74" s="62"/>
      <x:c r="H74" s="62"/>
      <x:c r="I74" s="62"/>
      <x:c r="J74" s="62"/>
      <x:c r="K74" s="62"/>
      <x:c r="L74" s="62"/>
      <x:c r="M74" s="68"/>
      <x:c r="N74" s="68"/>
      <x:c r="O74" s="68"/>
      <x:c r="P74" s="71" t="str">
        <x:f>IF(A74="","",IF(N74&gt;0,N74,M74))</x:f>
      </x:c>
      <x:c r="Q74" s="72" t="n">
        <x:f>IF(A74="",0,IF(COUNTIF($A$5:A74,A74)=1,1,0))</x:f>
        <x:v>0</x:v>
      </x:c>
      <x:c r="R74" s="64" t="str">
        <x:f>IF(A74="","",IF(F74="C74成功",IF(AND(J74&lt;&gt;"",K74&lt;&gt;"",N74&gt;0),"有证据","缺C74证据"),IF(F74="C74发货确认中",IF(AND(J74&lt;&gt;"",K74&lt;&gt;""),"有证据","缺C74证据"),IF(F74="手动完结",IF(OR(L74&lt;&gt;"",O74&lt;&gt;"",S74&lt;&gt;""),"有记录","缺手工证据"),IF(OR(F74="卖出待补仓",F74="提交结果待确认",F74="异常待处理"),"持续跟踪","检查状态")))))</x:f>
      </x:c>
      <x:c r="T74" s="64" t="str">
        <x:f>IF(A74="","",IF(COUNTIF($A$5:$A$1204,A74)&gt;1,"重复",""))</x:f>
      </x:c>
      <x:c r="U74" s="64" t="str">
        <x:f>IF(A74="","",IF(T74="重复","检查重复",IF(OR(R74="有证据",R74="有记录",R74="持续跟踪"),"可追踪","检查")))</x:f>
      </x:c>
    </x:row>
    <x:row r="75">
      <x:c r="A75" s="62"/>
      <x:c r="B75" s="62"/>
      <x:c r="C75" s="62"/>
      <x:c r="D75" s="66"/>
      <x:c r="E75" s="68"/>
      <x:c r="F75" s="62"/>
      <x:c r="G75" s="62"/>
      <x:c r="H75" s="62"/>
      <x:c r="I75" s="62"/>
      <x:c r="J75" s="62"/>
      <x:c r="K75" s="62"/>
      <x:c r="L75" s="62"/>
      <x:c r="M75" s="68"/>
      <x:c r="N75" s="68"/>
      <x:c r="O75" s="68"/>
      <x:c r="P75" s="71" t="str">
        <x:f>IF(A75="","",IF(N75&gt;0,N75,M75))</x:f>
      </x:c>
      <x:c r="Q75" s="72" t="n">
        <x:f>IF(A75="",0,IF(COUNTIF($A$5:A75,A75)=1,1,0))</x:f>
        <x:v>0</x:v>
      </x:c>
      <x:c r="R75" s="64" t="str">
        <x:f>IF(A75="","",IF(F75="C75成功",IF(AND(J75&lt;&gt;"",K75&lt;&gt;"",N75&gt;0),"有证据","缺C75证据"),IF(F75="C75发货确认中",IF(AND(J75&lt;&gt;"",K75&lt;&gt;""),"有证据","缺C75证据"),IF(F75="手动完结",IF(OR(L75&lt;&gt;"",O75&lt;&gt;"",S75&lt;&gt;""),"有记录","缺手工证据"),IF(OR(F75="卖出待补仓",F75="提交结果待确认",F75="异常待处理"),"持续跟踪","检查状态")))))</x:f>
      </x:c>
      <x:c r="T75" s="64" t="str">
        <x:f>IF(A75="","",IF(COUNTIF($A$5:$A$1204,A75)&gt;1,"重复",""))</x:f>
      </x:c>
      <x:c r="U75" s="64" t="str">
        <x:f>IF(A75="","",IF(T75="重复","检查重复",IF(OR(R75="有证据",R75="有记录",R75="持续跟踪"),"可追踪","检查")))</x:f>
      </x:c>
    </x:row>
    <x:row r="76">
      <x:c r="A76" s="62"/>
      <x:c r="B76" s="62"/>
      <x:c r="C76" s="62"/>
      <x:c r="D76" s="66"/>
      <x:c r="E76" s="68"/>
      <x:c r="F76" s="62"/>
      <x:c r="G76" s="62"/>
      <x:c r="H76" s="62"/>
      <x:c r="I76" s="62"/>
      <x:c r="J76" s="62"/>
      <x:c r="K76" s="62"/>
      <x:c r="L76" s="62"/>
      <x:c r="M76" s="68"/>
      <x:c r="N76" s="68"/>
      <x:c r="O76" s="68"/>
      <x:c r="P76" s="71" t="str">
        <x:f>IF(A76="","",IF(N76&gt;0,N76,M76))</x:f>
      </x:c>
      <x:c r="Q76" s="72" t="n">
        <x:f>IF(A76="",0,IF(COUNTIF($A$5:A76,A76)=1,1,0))</x:f>
        <x:v>0</x:v>
      </x:c>
      <x:c r="R76" s="64" t="str">
        <x:f>IF(A76="","",IF(F76="C76成功",IF(AND(J76&lt;&gt;"",K76&lt;&gt;"",N76&gt;0),"有证据","缺C76证据"),IF(F76="C76发货确认中",IF(AND(J76&lt;&gt;"",K76&lt;&gt;""),"有证据","缺C76证据"),IF(F76="手动完结",IF(OR(L76&lt;&gt;"",O76&lt;&gt;"",S76&lt;&gt;""),"有记录","缺手工证据"),IF(OR(F76="卖出待补仓",F76="提交结果待确认",F76="异常待处理"),"持续跟踪","检查状态")))))</x:f>
      </x:c>
      <x:c r="T76" s="64" t="str">
        <x:f>IF(A76="","",IF(COUNTIF($A$5:$A$1204,A76)&gt;1,"重复",""))</x:f>
      </x:c>
      <x:c r="U76" s="64" t="str">
        <x:f>IF(A76="","",IF(T76="重复","检查重复",IF(OR(R76="有证据",R76="有记录",R76="持续跟踪"),"可追踪","检查")))</x:f>
      </x:c>
    </x:row>
    <x:row r="77">
      <x:c r="A77" s="62"/>
      <x:c r="B77" s="62"/>
      <x:c r="C77" s="62"/>
      <x:c r="D77" s="66"/>
      <x:c r="E77" s="68"/>
      <x:c r="F77" s="62"/>
      <x:c r="G77" s="62"/>
      <x:c r="H77" s="62"/>
      <x:c r="I77" s="62"/>
      <x:c r="J77" s="62"/>
      <x:c r="K77" s="62"/>
      <x:c r="L77" s="62"/>
      <x:c r="M77" s="68"/>
      <x:c r="N77" s="68"/>
      <x:c r="O77" s="68"/>
      <x:c r="P77" s="71" t="str">
        <x:f>IF(A77="","",IF(N77&gt;0,N77,M77))</x:f>
      </x:c>
      <x:c r="Q77" s="72" t="n">
        <x:f>IF(A77="",0,IF(COUNTIF($A$5:A77,A77)=1,1,0))</x:f>
        <x:v>0</x:v>
      </x:c>
      <x:c r="R77" s="64" t="str">
        <x:f>IF(A77="","",IF(F77="C77成功",IF(AND(J77&lt;&gt;"",K77&lt;&gt;"",N77&gt;0),"有证据","缺C77证据"),IF(F77="C77发货确认中",IF(AND(J77&lt;&gt;"",K77&lt;&gt;""),"有证据","缺C77证据"),IF(F77="手动完结",IF(OR(L77&lt;&gt;"",O77&lt;&gt;"",S77&lt;&gt;""),"有记录","缺手工证据"),IF(OR(F77="卖出待补仓",F77="提交结果待确认",F77="异常待处理"),"持续跟踪","检查状态")))))</x:f>
      </x:c>
      <x:c r="T77" s="64" t="str">
        <x:f>IF(A77="","",IF(COUNTIF($A$5:$A$1204,A77)&gt;1,"重复",""))</x:f>
      </x:c>
      <x:c r="U77" s="64" t="str">
        <x:f>IF(A77="","",IF(T77="重复","检查重复",IF(OR(R77="有证据",R77="有记录",R77="持续跟踪"),"可追踪","检查")))</x:f>
      </x:c>
    </x:row>
    <x:row r="78">
      <x:c r="A78" s="62"/>
      <x:c r="B78" s="62"/>
      <x:c r="C78" s="62"/>
      <x:c r="D78" s="66"/>
      <x:c r="E78" s="68"/>
      <x:c r="F78" s="62"/>
      <x:c r="G78" s="62"/>
      <x:c r="H78" s="62"/>
      <x:c r="I78" s="62"/>
      <x:c r="J78" s="62"/>
      <x:c r="K78" s="62"/>
      <x:c r="L78" s="62"/>
      <x:c r="M78" s="68"/>
      <x:c r="N78" s="68"/>
      <x:c r="O78" s="68"/>
      <x:c r="P78" s="71" t="str">
        <x:f>IF(A78="","",IF(N78&gt;0,N78,M78))</x:f>
      </x:c>
      <x:c r="Q78" s="72" t="n">
        <x:f>IF(A78="",0,IF(COUNTIF($A$5:A78,A78)=1,1,0))</x:f>
        <x:v>0</x:v>
      </x:c>
      <x:c r="R78" s="64" t="str">
        <x:f>IF(A78="","",IF(F78="C78成功",IF(AND(J78&lt;&gt;"",K78&lt;&gt;"",N78&gt;0),"有证据","缺C78证据"),IF(F78="C78发货确认中",IF(AND(J78&lt;&gt;"",K78&lt;&gt;""),"有证据","缺C78证据"),IF(F78="手动完结",IF(OR(L78&lt;&gt;"",O78&lt;&gt;"",S78&lt;&gt;""),"有记录","缺手工证据"),IF(OR(F78="卖出待补仓",F78="提交结果待确认",F78="异常待处理"),"持续跟踪","检查状态")))))</x:f>
      </x:c>
      <x:c r="T78" s="64" t="str">
        <x:f>IF(A78="","",IF(COUNTIF($A$5:$A$1204,A78)&gt;1,"重复",""))</x:f>
      </x:c>
      <x:c r="U78" s="64" t="str">
        <x:f>IF(A78="","",IF(T78="重复","检查重复",IF(OR(R78="有证据",R78="有记录",R78="持续跟踪"),"可追踪","检查")))</x:f>
      </x:c>
    </x:row>
    <x:row r="79">
      <x:c r="A79" s="62"/>
      <x:c r="B79" s="62"/>
      <x:c r="C79" s="62"/>
      <x:c r="D79" s="66"/>
      <x:c r="E79" s="68"/>
      <x:c r="F79" s="62"/>
      <x:c r="G79" s="62"/>
      <x:c r="H79" s="62"/>
      <x:c r="I79" s="62"/>
      <x:c r="J79" s="62"/>
      <x:c r="K79" s="62"/>
      <x:c r="L79" s="62"/>
      <x:c r="M79" s="68"/>
      <x:c r="N79" s="68"/>
      <x:c r="O79" s="68"/>
      <x:c r="P79" s="71" t="str">
        <x:f>IF(A79="","",IF(N79&gt;0,N79,M79))</x:f>
      </x:c>
      <x:c r="Q79" s="72" t="n">
        <x:f>IF(A79="",0,IF(COUNTIF($A$5:A79,A79)=1,1,0))</x:f>
        <x:v>0</x:v>
      </x:c>
      <x:c r="R79" s="64" t="str">
        <x:f>IF(A79="","",IF(F79="C79成功",IF(AND(J79&lt;&gt;"",K79&lt;&gt;"",N79&gt;0),"有证据","缺C79证据"),IF(F79="C79发货确认中",IF(AND(J79&lt;&gt;"",K79&lt;&gt;""),"有证据","缺C79证据"),IF(F79="手动完结",IF(OR(L79&lt;&gt;"",O79&lt;&gt;"",S79&lt;&gt;""),"有记录","缺手工证据"),IF(OR(F79="卖出待补仓",F79="提交结果待确认",F79="异常待处理"),"持续跟踪","检查状态")))))</x:f>
      </x:c>
      <x:c r="T79" s="64" t="str">
        <x:f>IF(A79="","",IF(COUNTIF($A$5:$A$1204,A79)&gt;1,"重复",""))</x:f>
      </x:c>
      <x:c r="U79" s="64" t="str">
        <x:f>IF(A79="","",IF(T79="重复","检查重复",IF(OR(R79="有证据",R79="有记录",R79="持续跟踪"),"可追踪","检查")))</x:f>
      </x:c>
    </x:row>
    <x:row r="80">
      <x:c r="A80" s="62"/>
      <x:c r="B80" s="62"/>
      <x:c r="C80" s="62"/>
      <x:c r="D80" s="66"/>
      <x:c r="E80" s="68"/>
      <x:c r="F80" s="62"/>
      <x:c r="G80" s="62"/>
      <x:c r="H80" s="62"/>
      <x:c r="I80" s="62"/>
      <x:c r="J80" s="62"/>
      <x:c r="K80" s="62"/>
      <x:c r="L80" s="62"/>
      <x:c r="M80" s="68"/>
      <x:c r="N80" s="68"/>
      <x:c r="O80" s="68"/>
      <x:c r="P80" s="71" t="str">
        <x:f>IF(A80="","",IF(N80&gt;0,N80,M80))</x:f>
      </x:c>
      <x:c r="Q80" s="72" t="n">
        <x:f>IF(A80="",0,IF(COUNTIF($A$5:A80,A80)=1,1,0))</x:f>
        <x:v>0</x:v>
      </x:c>
      <x:c r="R80" s="64" t="str">
        <x:f>IF(A80="","",IF(F80="C80成功",IF(AND(J80&lt;&gt;"",K80&lt;&gt;"",N80&gt;0),"有证据","缺C80证据"),IF(F80="C80发货确认中",IF(AND(J80&lt;&gt;"",K80&lt;&gt;""),"有证据","缺C80证据"),IF(F80="手动完结",IF(OR(L80&lt;&gt;"",O80&lt;&gt;"",S80&lt;&gt;""),"有记录","缺手工证据"),IF(OR(F80="卖出待补仓",F80="提交结果待确认",F80="异常待处理"),"持续跟踪","检查状态")))))</x:f>
      </x:c>
      <x:c r="T80" s="64" t="str">
        <x:f>IF(A80="","",IF(COUNTIF($A$5:$A$1204,A80)&gt;1,"重复",""))</x:f>
      </x:c>
      <x:c r="U80" s="64" t="str">
        <x:f>IF(A80="","",IF(T80="重复","检查重复",IF(OR(R80="有证据",R80="有记录",R80="持续跟踪"),"可追踪","检查")))</x:f>
      </x:c>
    </x:row>
    <x:row r="81">
      <x:c r="A81" s="62"/>
      <x:c r="B81" s="62"/>
      <x:c r="C81" s="62"/>
      <x:c r="D81" s="66"/>
      <x:c r="E81" s="68"/>
      <x:c r="F81" s="62"/>
      <x:c r="G81" s="62"/>
      <x:c r="H81" s="62"/>
      <x:c r="I81" s="62"/>
      <x:c r="J81" s="62"/>
      <x:c r="K81" s="62"/>
      <x:c r="L81" s="62"/>
      <x:c r="M81" s="68"/>
      <x:c r="N81" s="68"/>
      <x:c r="O81" s="68"/>
      <x:c r="P81" s="71" t="str">
        <x:f>IF(A81="","",IF(N81&gt;0,N81,M81))</x:f>
      </x:c>
      <x:c r="Q81" s="72" t="n">
        <x:f>IF(A81="",0,IF(COUNTIF($A$5:A81,A81)=1,1,0))</x:f>
        <x:v>0</x:v>
      </x:c>
      <x:c r="R81" s="64" t="str">
        <x:f>IF(A81="","",IF(F81="C81成功",IF(AND(J81&lt;&gt;"",K81&lt;&gt;"",N81&gt;0),"有证据","缺C81证据"),IF(F81="C81发货确认中",IF(AND(J81&lt;&gt;"",K81&lt;&gt;""),"有证据","缺C81证据"),IF(F81="手动完结",IF(OR(L81&lt;&gt;"",O81&lt;&gt;"",S81&lt;&gt;""),"有记录","缺手工证据"),IF(OR(F81="卖出待补仓",F81="提交结果待确认",F81="异常待处理"),"持续跟踪","检查状态")))))</x:f>
      </x:c>
      <x:c r="T81" s="64" t="str">
        <x:f>IF(A81="","",IF(COUNTIF($A$5:$A$1204,A81)&gt;1,"重复",""))</x:f>
      </x:c>
      <x:c r="U81" s="64" t="str">
        <x:f>IF(A81="","",IF(T81="重复","检查重复",IF(OR(R81="有证据",R81="有记录",R81="持续跟踪"),"可追踪","检查")))</x:f>
      </x:c>
    </x:row>
    <x:row r="82">
      <x:c r="A82" s="62"/>
      <x:c r="B82" s="62"/>
      <x:c r="C82" s="62"/>
      <x:c r="D82" s="66"/>
      <x:c r="E82" s="68"/>
      <x:c r="F82" s="62"/>
      <x:c r="G82" s="62"/>
      <x:c r="H82" s="62"/>
      <x:c r="I82" s="62"/>
      <x:c r="J82" s="62"/>
      <x:c r="K82" s="62"/>
      <x:c r="L82" s="62"/>
      <x:c r="M82" s="68"/>
      <x:c r="N82" s="68"/>
      <x:c r="O82" s="68"/>
      <x:c r="P82" s="71" t="str">
        <x:f>IF(A82="","",IF(N82&gt;0,N82,M82))</x:f>
      </x:c>
      <x:c r="Q82" s="72" t="n">
        <x:f>IF(A82="",0,IF(COUNTIF($A$5:A82,A82)=1,1,0))</x:f>
        <x:v>0</x:v>
      </x:c>
      <x:c r="R82" s="64" t="str">
        <x:f>IF(A82="","",IF(F82="C82成功",IF(AND(J82&lt;&gt;"",K82&lt;&gt;"",N82&gt;0),"有证据","缺C82证据"),IF(F82="C82发货确认中",IF(AND(J82&lt;&gt;"",K82&lt;&gt;""),"有证据","缺C82证据"),IF(F82="手动完结",IF(OR(L82&lt;&gt;"",O82&lt;&gt;"",S82&lt;&gt;""),"有记录","缺手工证据"),IF(OR(F82="卖出待补仓",F82="提交结果待确认",F82="异常待处理"),"持续跟踪","检查状态")))))</x:f>
      </x:c>
      <x:c r="T82" s="64" t="str">
        <x:f>IF(A82="","",IF(COUNTIF($A$5:$A$1204,A82)&gt;1,"重复",""))</x:f>
      </x:c>
      <x:c r="U82" s="64" t="str">
        <x:f>IF(A82="","",IF(T82="重复","检查重复",IF(OR(R82="有证据",R82="有记录",R82="持续跟踪"),"可追踪","检查")))</x:f>
      </x:c>
    </x:row>
    <x:row r="83">
      <x:c r="A83" s="62"/>
      <x:c r="B83" s="62"/>
      <x:c r="C83" s="62"/>
      <x:c r="D83" s="66"/>
      <x:c r="E83" s="68"/>
      <x:c r="F83" s="62"/>
      <x:c r="G83" s="62"/>
      <x:c r="H83" s="62"/>
      <x:c r="I83" s="62"/>
      <x:c r="J83" s="62"/>
      <x:c r="K83" s="62"/>
      <x:c r="L83" s="62"/>
      <x:c r="M83" s="68"/>
      <x:c r="N83" s="68"/>
      <x:c r="O83" s="68"/>
      <x:c r="P83" s="71" t="str">
        <x:f>IF(A83="","",IF(N83&gt;0,N83,M83))</x:f>
      </x:c>
      <x:c r="Q83" s="72" t="n">
        <x:f>IF(A83="",0,IF(COUNTIF($A$5:A83,A83)=1,1,0))</x:f>
        <x:v>0</x:v>
      </x:c>
      <x:c r="R83" s="64" t="str">
        <x:f>IF(A83="","",IF(F83="C83成功",IF(AND(J83&lt;&gt;"",K83&lt;&gt;"",N83&gt;0),"有证据","缺C83证据"),IF(F83="C83发货确认中",IF(AND(J83&lt;&gt;"",K83&lt;&gt;""),"有证据","缺C83证据"),IF(F83="手动完结",IF(OR(L83&lt;&gt;"",O83&lt;&gt;"",S83&lt;&gt;""),"有记录","缺手工证据"),IF(OR(F83="卖出待补仓",F83="提交结果待确认",F83="异常待处理"),"持续跟踪","检查状态")))))</x:f>
      </x:c>
      <x:c r="T83" s="64" t="str">
        <x:f>IF(A83="","",IF(COUNTIF($A$5:$A$1204,A83)&gt;1,"重复",""))</x:f>
      </x:c>
      <x:c r="U83" s="64" t="str">
        <x:f>IF(A83="","",IF(T83="重复","检查重复",IF(OR(R83="有证据",R83="有记录",R83="持续跟踪"),"可追踪","检查")))</x:f>
      </x:c>
    </x:row>
    <x:row r="84">
      <x:c r="A84" s="62"/>
      <x:c r="B84" s="62"/>
      <x:c r="C84" s="62"/>
      <x:c r="D84" s="66"/>
      <x:c r="E84" s="68"/>
      <x:c r="F84" s="62"/>
      <x:c r="G84" s="62"/>
      <x:c r="H84" s="62"/>
      <x:c r="I84" s="62"/>
      <x:c r="J84" s="62"/>
      <x:c r="K84" s="62"/>
      <x:c r="L84" s="62"/>
      <x:c r="M84" s="68"/>
      <x:c r="N84" s="68"/>
      <x:c r="O84" s="68"/>
      <x:c r="P84" s="71" t="str">
        <x:f>IF(A84="","",IF(N84&gt;0,N84,M84))</x:f>
      </x:c>
      <x:c r="Q84" s="72" t="n">
        <x:f>IF(A84="",0,IF(COUNTIF($A$5:A84,A84)=1,1,0))</x:f>
        <x:v>0</x:v>
      </x:c>
      <x:c r="R84" s="64" t="str">
        <x:f>IF(A84="","",IF(F84="C84成功",IF(AND(J84&lt;&gt;"",K84&lt;&gt;"",N84&gt;0),"有证据","缺C84证据"),IF(F84="C84发货确认中",IF(AND(J84&lt;&gt;"",K84&lt;&gt;""),"有证据","缺C84证据"),IF(F84="手动完结",IF(OR(L84&lt;&gt;"",O84&lt;&gt;"",S84&lt;&gt;""),"有记录","缺手工证据"),IF(OR(F84="卖出待补仓",F84="提交结果待确认",F84="异常待处理"),"持续跟踪","检查状态")))))</x:f>
      </x:c>
      <x:c r="T84" s="64" t="str">
        <x:f>IF(A84="","",IF(COUNTIF($A$5:$A$1204,A84)&gt;1,"重复",""))</x:f>
      </x:c>
      <x:c r="U84" s="64" t="str">
        <x:f>IF(A84="","",IF(T84="重复","检查重复",IF(OR(R84="有证据",R84="有记录",R84="持续跟踪"),"可追踪","检查")))</x:f>
      </x:c>
    </x:row>
    <x:row r="85">
      <x:c r="A85" s="62"/>
      <x:c r="B85" s="62"/>
      <x:c r="C85" s="62"/>
      <x:c r="D85" s="66"/>
      <x:c r="E85" s="68"/>
      <x:c r="F85" s="62"/>
      <x:c r="G85" s="62"/>
      <x:c r="H85" s="62"/>
      <x:c r="I85" s="62"/>
      <x:c r="J85" s="62"/>
      <x:c r="K85" s="62"/>
      <x:c r="L85" s="62"/>
      <x:c r="M85" s="68"/>
      <x:c r="N85" s="68"/>
      <x:c r="O85" s="68"/>
      <x:c r="P85" s="71" t="str">
        <x:f>IF(A85="","",IF(N85&gt;0,N85,M85))</x:f>
      </x:c>
      <x:c r="Q85" s="72" t="n">
        <x:f>IF(A85="",0,IF(COUNTIF($A$5:A85,A85)=1,1,0))</x:f>
        <x:v>0</x:v>
      </x:c>
      <x:c r="R85" s="64" t="str">
        <x:f>IF(A85="","",IF(F85="C85成功",IF(AND(J85&lt;&gt;"",K85&lt;&gt;"",N85&gt;0),"有证据","缺C85证据"),IF(F85="C85发货确认中",IF(AND(J85&lt;&gt;"",K85&lt;&gt;""),"有证据","缺C85证据"),IF(F85="手动完结",IF(OR(L85&lt;&gt;"",O85&lt;&gt;"",S85&lt;&gt;""),"有记录","缺手工证据"),IF(OR(F85="卖出待补仓",F85="提交结果待确认",F85="异常待处理"),"持续跟踪","检查状态")))))</x:f>
      </x:c>
      <x:c r="T85" s="64" t="str">
        <x:f>IF(A85="","",IF(COUNTIF($A$5:$A$1204,A85)&gt;1,"重复",""))</x:f>
      </x:c>
      <x:c r="U85" s="64" t="str">
        <x:f>IF(A85="","",IF(T85="重复","检查重复",IF(OR(R85="有证据",R85="有记录",R85="持续跟踪"),"可追踪","检查")))</x:f>
      </x:c>
    </x:row>
    <x:row r="86">
      <x:c r="A86" s="62"/>
      <x:c r="B86" s="62"/>
      <x:c r="C86" s="62"/>
      <x:c r="D86" s="66"/>
      <x:c r="E86" s="68"/>
      <x:c r="F86" s="62"/>
      <x:c r="G86" s="62"/>
      <x:c r="H86" s="62"/>
      <x:c r="I86" s="62"/>
      <x:c r="J86" s="62"/>
      <x:c r="K86" s="62"/>
      <x:c r="L86" s="62"/>
      <x:c r="M86" s="68"/>
      <x:c r="N86" s="68"/>
      <x:c r="O86" s="68"/>
      <x:c r="P86" s="71" t="str">
        <x:f>IF(A86="","",IF(N86&gt;0,N86,M86))</x:f>
      </x:c>
      <x:c r="Q86" s="72" t="n">
        <x:f>IF(A86="",0,IF(COUNTIF($A$5:A86,A86)=1,1,0))</x:f>
        <x:v>0</x:v>
      </x:c>
      <x:c r="R86" s="64" t="str">
        <x:f>IF(A86="","",IF(F86="C86成功",IF(AND(J86&lt;&gt;"",K86&lt;&gt;"",N86&gt;0),"有证据","缺C86证据"),IF(F86="C86发货确认中",IF(AND(J86&lt;&gt;"",K86&lt;&gt;""),"有证据","缺C86证据"),IF(F86="手动完结",IF(OR(L86&lt;&gt;"",O86&lt;&gt;"",S86&lt;&gt;""),"有记录","缺手工证据"),IF(OR(F86="卖出待补仓",F86="提交结果待确认",F86="异常待处理"),"持续跟踪","检查状态")))))</x:f>
      </x:c>
      <x:c r="T86" s="64" t="str">
        <x:f>IF(A86="","",IF(COUNTIF($A$5:$A$1204,A86)&gt;1,"重复",""))</x:f>
      </x:c>
      <x:c r="U86" s="64" t="str">
        <x:f>IF(A86="","",IF(T86="重复","检查重复",IF(OR(R86="有证据",R86="有记录",R86="持续跟踪"),"可追踪","检查")))</x:f>
      </x:c>
    </x:row>
    <x:row r="87">
      <x:c r="A87" s="62"/>
      <x:c r="B87" s="62"/>
      <x:c r="C87" s="62"/>
      <x:c r="D87" s="66"/>
      <x:c r="E87" s="68"/>
      <x:c r="F87" s="62"/>
      <x:c r="G87" s="62"/>
      <x:c r="H87" s="62"/>
      <x:c r="I87" s="62"/>
      <x:c r="J87" s="62"/>
      <x:c r="K87" s="62"/>
      <x:c r="L87" s="62"/>
      <x:c r="M87" s="68"/>
      <x:c r="N87" s="68"/>
      <x:c r="O87" s="68"/>
      <x:c r="P87" s="71" t="str">
        <x:f>IF(A87="","",IF(N87&gt;0,N87,M87))</x:f>
      </x:c>
      <x:c r="Q87" s="72" t="n">
        <x:f>IF(A87="",0,IF(COUNTIF($A$5:A87,A87)=1,1,0))</x:f>
        <x:v>0</x:v>
      </x:c>
      <x:c r="R87" s="64" t="str">
        <x:f>IF(A87="","",IF(F87="C87成功",IF(AND(J87&lt;&gt;"",K87&lt;&gt;"",N87&gt;0),"有证据","缺C87证据"),IF(F87="C87发货确认中",IF(AND(J87&lt;&gt;"",K87&lt;&gt;""),"有证据","缺C87证据"),IF(F87="手动完结",IF(OR(L87&lt;&gt;"",O87&lt;&gt;"",S87&lt;&gt;""),"有记录","缺手工证据"),IF(OR(F87="卖出待补仓",F87="提交结果待确认",F87="异常待处理"),"持续跟踪","检查状态")))))</x:f>
      </x:c>
      <x:c r="T87" s="64" t="str">
        <x:f>IF(A87="","",IF(COUNTIF($A$5:$A$1204,A87)&gt;1,"重复",""))</x:f>
      </x:c>
      <x:c r="U87" s="64" t="str">
        <x:f>IF(A87="","",IF(T87="重复","检查重复",IF(OR(R87="有证据",R87="有记录",R87="持续跟踪"),"可追踪","检查")))</x:f>
      </x:c>
    </x:row>
    <x:row r="88">
      <x:c r="A88" s="62"/>
      <x:c r="B88" s="62"/>
      <x:c r="C88" s="62"/>
      <x:c r="D88" s="66"/>
      <x:c r="E88" s="68"/>
      <x:c r="F88" s="62"/>
      <x:c r="G88" s="62"/>
      <x:c r="H88" s="62"/>
      <x:c r="I88" s="62"/>
      <x:c r="J88" s="62"/>
      <x:c r="K88" s="62"/>
      <x:c r="L88" s="62"/>
      <x:c r="M88" s="68"/>
      <x:c r="N88" s="68"/>
      <x:c r="O88" s="68"/>
      <x:c r="P88" s="71" t="str">
        <x:f>IF(A88="","",IF(N88&gt;0,N88,M88))</x:f>
      </x:c>
      <x:c r="Q88" s="72" t="n">
        <x:f>IF(A88="",0,IF(COUNTIF($A$5:A88,A88)=1,1,0))</x:f>
        <x:v>0</x:v>
      </x:c>
      <x:c r="R88" s="64" t="str">
        <x:f>IF(A88="","",IF(F88="C88成功",IF(AND(J88&lt;&gt;"",K88&lt;&gt;"",N88&gt;0),"有证据","缺C88证据"),IF(F88="C88发货确认中",IF(AND(J88&lt;&gt;"",K88&lt;&gt;""),"有证据","缺C88证据"),IF(F88="手动完结",IF(OR(L88&lt;&gt;"",O88&lt;&gt;"",S88&lt;&gt;""),"有记录","缺手工证据"),IF(OR(F88="卖出待补仓",F88="提交结果待确认",F88="异常待处理"),"持续跟踪","检查状态")))))</x:f>
      </x:c>
      <x:c r="T88" s="64" t="str">
        <x:f>IF(A88="","",IF(COUNTIF($A$5:$A$1204,A88)&gt;1,"重复",""))</x:f>
      </x:c>
      <x:c r="U88" s="64" t="str">
        <x:f>IF(A88="","",IF(T88="重复","检查重复",IF(OR(R88="有证据",R88="有记录",R88="持续跟踪"),"可追踪","检查")))</x:f>
      </x:c>
    </x:row>
    <x:row r="89">
      <x:c r="A89" s="62"/>
      <x:c r="B89" s="62"/>
      <x:c r="C89" s="62"/>
      <x:c r="D89" s="66"/>
      <x:c r="E89" s="68"/>
      <x:c r="F89" s="62"/>
      <x:c r="G89" s="62"/>
      <x:c r="H89" s="62"/>
      <x:c r="I89" s="62"/>
      <x:c r="J89" s="62"/>
      <x:c r="K89" s="62"/>
      <x:c r="L89" s="62"/>
      <x:c r="M89" s="68"/>
      <x:c r="N89" s="68"/>
      <x:c r="O89" s="68"/>
      <x:c r="P89" s="71" t="str">
        <x:f>IF(A89="","",IF(N89&gt;0,N89,M89))</x:f>
      </x:c>
      <x:c r="Q89" s="72" t="n">
        <x:f>IF(A89="",0,IF(COUNTIF($A$5:A89,A89)=1,1,0))</x:f>
        <x:v>0</x:v>
      </x:c>
      <x:c r="R89" s="64" t="str">
        <x:f>IF(A89="","",IF(F89="C89成功",IF(AND(J89&lt;&gt;"",K89&lt;&gt;"",N89&gt;0),"有证据","缺C89证据"),IF(F89="C89发货确认中",IF(AND(J89&lt;&gt;"",K89&lt;&gt;""),"有证据","缺C89证据"),IF(F89="手动完结",IF(OR(L89&lt;&gt;"",O89&lt;&gt;"",S89&lt;&gt;""),"有记录","缺手工证据"),IF(OR(F89="卖出待补仓",F89="提交结果待确认",F89="异常待处理"),"持续跟踪","检查状态")))))</x:f>
      </x:c>
      <x:c r="T89" s="64" t="str">
        <x:f>IF(A89="","",IF(COUNTIF($A$5:$A$1204,A89)&gt;1,"重复",""))</x:f>
      </x:c>
      <x:c r="U89" s="64" t="str">
        <x:f>IF(A89="","",IF(T89="重复","检查重复",IF(OR(R89="有证据",R89="有记录",R89="持续跟踪"),"可追踪","检查")))</x:f>
      </x:c>
    </x:row>
    <x:row r="90">
      <x:c r="A90" s="62"/>
      <x:c r="B90" s="62"/>
      <x:c r="C90" s="62"/>
      <x:c r="D90" s="66"/>
      <x:c r="E90" s="68"/>
      <x:c r="F90" s="62"/>
      <x:c r="G90" s="62"/>
      <x:c r="H90" s="62"/>
      <x:c r="I90" s="62"/>
      <x:c r="J90" s="62"/>
      <x:c r="K90" s="62"/>
      <x:c r="L90" s="62"/>
      <x:c r="M90" s="68"/>
      <x:c r="N90" s="68"/>
      <x:c r="O90" s="68"/>
      <x:c r="P90" s="71" t="str">
        <x:f>IF(A90="","",IF(N90&gt;0,N90,M90))</x:f>
      </x:c>
      <x:c r="Q90" s="72" t="n">
        <x:f>IF(A90="",0,IF(COUNTIF($A$5:A90,A90)=1,1,0))</x:f>
        <x:v>0</x:v>
      </x:c>
      <x:c r="R90" s="64" t="str">
        <x:f>IF(A90="","",IF(F90="C90成功",IF(AND(J90&lt;&gt;"",K90&lt;&gt;"",N90&gt;0),"有证据","缺C90证据"),IF(F90="C90发货确认中",IF(AND(J90&lt;&gt;"",K90&lt;&gt;""),"有证据","缺C90证据"),IF(F90="手动完结",IF(OR(L90&lt;&gt;"",O90&lt;&gt;"",S90&lt;&gt;""),"有记录","缺手工证据"),IF(OR(F90="卖出待补仓",F90="提交结果待确认",F90="异常待处理"),"持续跟踪","检查状态")))))</x:f>
      </x:c>
      <x:c r="T90" s="64" t="str">
        <x:f>IF(A90="","",IF(COUNTIF($A$5:$A$1204,A90)&gt;1,"重复",""))</x:f>
      </x:c>
      <x:c r="U90" s="64" t="str">
        <x:f>IF(A90="","",IF(T90="重复","检查重复",IF(OR(R90="有证据",R90="有记录",R90="持续跟踪"),"可追踪","检查")))</x:f>
      </x:c>
    </x:row>
    <x:row r="91">
      <x:c r="A91" s="62"/>
      <x:c r="B91" s="62"/>
      <x:c r="C91" s="62"/>
      <x:c r="D91" s="66"/>
      <x:c r="E91" s="68"/>
      <x:c r="F91" s="62"/>
      <x:c r="G91" s="62"/>
      <x:c r="H91" s="62"/>
      <x:c r="I91" s="62"/>
      <x:c r="J91" s="62"/>
      <x:c r="K91" s="62"/>
      <x:c r="L91" s="62"/>
      <x:c r="M91" s="68"/>
      <x:c r="N91" s="68"/>
      <x:c r="O91" s="68"/>
      <x:c r="P91" s="71" t="str">
        <x:f>IF(A91="","",IF(N91&gt;0,N91,M91))</x:f>
      </x:c>
      <x:c r="Q91" s="72" t="n">
        <x:f>IF(A91="",0,IF(COUNTIF($A$5:A91,A91)=1,1,0))</x:f>
        <x:v>0</x:v>
      </x:c>
      <x:c r="R91" s="64" t="str">
        <x:f>IF(A91="","",IF(F91="C91成功",IF(AND(J91&lt;&gt;"",K91&lt;&gt;"",N91&gt;0),"有证据","缺C91证据"),IF(F91="C91发货确认中",IF(AND(J91&lt;&gt;"",K91&lt;&gt;""),"有证据","缺C91证据"),IF(F91="手动完结",IF(OR(L91&lt;&gt;"",O91&lt;&gt;"",S91&lt;&gt;""),"有记录","缺手工证据"),IF(OR(F91="卖出待补仓",F91="提交结果待确认",F91="异常待处理"),"持续跟踪","检查状态")))))</x:f>
      </x:c>
      <x:c r="T91" s="64" t="str">
        <x:f>IF(A91="","",IF(COUNTIF($A$5:$A$1204,A91)&gt;1,"重复",""))</x:f>
      </x:c>
      <x:c r="U91" s="64" t="str">
        <x:f>IF(A91="","",IF(T91="重复","检查重复",IF(OR(R91="有证据",R91="有记录",R91="持续跟踪"),"可追踪","检查")))</x:f>
      </x:c>
    </x:row>
    <x:row r="92">
      <x:c r="A92" s="62"/>
      <x:c r="B92" s="62"/>
      <x:c r="C92" s="62"/>
      <x:c r="D92" s="66"/>
      <x:c r="E92" s="68"/>
      <x:c r="F92" s="62"/>
      <x:c r="G92" s="62"/>
      <x:c r="H92" s="62"/>
      <x:c r="I92" s="62"/>
      <x:c r="J92" s="62"/>
      <x:c r="K92" s="62"/>
      <x:c r="L92" s="62"/>
      <x:c r="M92" s="68"/>
      <x:c r="N92" s="68"/>
      <x:c r="O92" s="68"/>
      <x:c r="P92" s="71" t="str">
        <x:f>IF(A92="","",IF(N92&gt;0,N92,M92))</x:f>
      </x:c>
      <x:c r="Q92" s="72" t="n">
        <x:f>IF(A92="",0,IF(COUNTIF($A$5:A92,A92)=1,1,0))</x:f>
        <x:v>0</x:v>
      </x:c>
      <x:c r="R92" s="64" t="str">
        <x:f>IF(A92="","",IF(F92="C92成功",IF(AND(J92&lt;&gt;"",K92&lt;&gt;"",N92&gt;0),"有证据","缺C92证据"),IF(F92="C92发货确认中",IF(AND(J92&lt;&gt;"",K92&lt;&gt;""),"有证据","缺C92证据"),IF(F92="手动完结",IF(OR(L92&lt;&gt;"",O92&lt;&gt;"",S92&lt;&gt;""),"有记录","缺手工证据"),IF(OR(F92="卖出待补仓",F92="提交结果待确认",F92="异常待处理"),"持续跟踪","检查状态")))))</x:f>
      </x:c>
      <x:c r="T92" s="64" t="str">
        <x:f>IF(A92="","",IF(COUNTIF($A$5:$A$1204,A92)&gt;1,"重复",""))</x:f>
      </x:c>
      <x:c r="U92" s="64" t="str">
        <x:f>IF(A92="","",IF(T92="重复","检查重复",IF(OR(R92="有证据",R92="有记录",R92="持续跟踪"),"可追踪","检查")))</x:f>
      </x:c>
    </x:row>
    <x:row r="93">
      <x:c r="A93" s="62"/>
      <x:c r="B93" s="62"/>
      <x:c r="C93" s="62"/>
      <x:c r="D93" s="66"/>
      <x:c r="E93" s="68"/>
      <x:c r="F93" s="62"/>
      <x:c r="G93" s="62"/>
      <x:c r="H93" s="62"/>
      <x:c r="I93" s="62"/>
      <x:c r="J93" s="62"/>
      <x:c r="K93" s="62"/>
      <x:c r="L93" s="62"/>
      <x:c r="M93" s="68"/>
      <x:c r="N93" s="68"/>
      <x:c r="O93" s="68"/>
      <x:c r="P93" s="71" t="str">
        <x:f>IF(A93="","",IF(N93&gt;0,N93,M93))</x:f>
      </x:c>
      <x:c r="Q93" s="72" t="n">
        <x:f>IF(A93="",0,IF(COUNTIF($A$5:A93,A93)=1,1,0))</x:f>
        <x:v>0</x:v>
      </x:c>
      <x:c r="R93" s="64" t="str">
        <x:f>IF(A93="","",IF(F93="C93成功",IF(AND(J93&lt;&gt;"",K93&lt;&gt;"",N93&gt;0),"有证据","缺C93证据"),IF(F93="C93发货确认中",IF(AND(J93&lt;&gt;"",K93&lt;&gt;""),"有证据","缺C93证据"),IF(F93="手动完结",IF(OR(L93&lt;&gt;"",O93&lt;&gt;"",S93&lt;&gt;""),"有记录","缺手工证据"),IF(OR(F93="卖出待补仓",F93="提交结果待确认",F93="异常待处理"),"持续跟踪","检查状态")))))</x:f>
      </x:c>
      <x:c r="T93" s="64" t="str">
        <x:f>IF(A93="","",IF(COUNTIF($A$5:$A$1204,A93)&gt;1,"重复",""))</x:f>
      </x:c>
      <x:c r="U93" s="64" t="str">
        <x:f>IF(A93="","",IF(T93="重复","检查重复",IF(OR(R93="有证据",R93="有记录",R93="持续跟踪"),"可追踪","检查")))</x:f>
      </x:c>
    </x:row>
    <x:row r="94">
      <x:c r="A94" s="62"/>
      <x:c r="B94" s="62"/>
      <x:c r="C94" s="62"/>
      <x:c r="D94" s="66"/>
      <x:c r="E94" s="68"/>
      <x:c r="F94" s="62"/>
      <x:c r="G94" s="62"/>
      <x:c r="H94" s="62"/>
      <x:c r="I94" s="62"/>
      <x:c r="J94" s="62"/>
      <x:c r="K94" s="62"/>
      <x:c r="L94" s="62"/>
      <x:c r="M94" s="68"/>
      <x:c r="N94" s="68"/>
      <x:c r="O94" s="68"/>
      <x:c r="P94" s="71" t="str">
        <x:f>IF(A94="","",IF(N94&gt;0,N94,M94))</x:f>
      </x:c>
      <x:c r="Q94" s="72" t="n">
        <x:f>IF(A94="",0,IF(COUNTIF($A$5:A94,A94)=1,1,0))</x:f>
        <x:v>0</x:v>
      </x:c>
      <x:c r="R94" s="64" t="str">
        <x:f>IF(A94="","",IF(F94="C94成功",IF(AND(J94&lt;&gt;"",K94&lt;&gt;"",N94&gt;0),"有证据","缺C94证据"),IF(F94="C94发货确认中",IF(AND(J94&lt;&gt;"",K94&lt;&gt;""),"有证据","缺C94证据"),IF(F94="手动完结",IF(OR(L94&lt;&gt;"",O94&lt;&gt;"",S94&lt;&gt;""),"有记录","缺手工证据"),IF(OR(F94="卖出待补仓",F94="提交结果待确认",F94="异常待处理"),"持续跟踪","检查状态")))))</x:f>
      </x:c>
      <x:c r="T94" s="64" t="str">
        <x:f>IF(A94="","",IF(COUNTIF($A$5:$A$1204,A94)&gt;1,"重复",""))</x:f>
      </x:c>
      <x:c r="U94" s="64" t="str">
        <x:f>IF(A94="","",IF(T94="重复","检查重复",IF(OR(R94="有证据",R94="有记录",R94="持续跟踪"),"可追踪","检查")))</x:f>
      </x:c>
    </x:row>
    <x:row r="95">
      <x:c r="A95" s="62"/>
      <x:c r="B95" s="62"/>
      <x:c r="C95" s="62"/>
      <x:c r="D95" s="66"/>
      <x:c r="E95" s="68"/>
      <x:c r="F95" s="62"/>
      <x:c r="G95" s="62"/>
      <x:c r="H95" s="62"/>
      <x:c r="I95" s="62"/>
      <x:c r="J95" s="62"/>
      <x:c r="K95" s="62"/>
      <x:c r="L95" s="62"/>
      <x:c r="M95" s="68"/>
      <x:c r="N95" s="68"/>
      <x:c r="O95" s="68"/>
      <x:c r="P95" s="71" t="str">
        <x:f>IF(A95="","",IF(N95&gt;0,N95,M95))</x:f>
      </x:c>
      <x:c r="Q95" s="72" t="n">
        <x:f>IF(A95="",0,IF(COUNTIF($A$5:A95,A95)=1,1,0))</x:f>
        <x:v>0</x:v>
      </x:c>
      <x:c r="R95" s="64" t="str">
        <x:f>IF(A95="","",IF(F95="C95成功",IF(AND(J95&lt;&gt;"",K95&lt;&gt;"",N95&gt;0),"有证据","缺C95证据"),IF(F95="C95发货确认中",IF(AND(J95&lt;&gt;"",K95&lt;&gt;""),"有证据","缺C95证据"),IF(F95="手动完结",IF(OR(L95&lt;&gt;"",O95&lt;&gt;"",S95&lt;&gt;""),"有记录","缺手工证据"),IF(OR(F95="卖出待补仓",F95="提交结果待确认",F95="异常待处理"),"持续跟踪","检查状态")))))</x:f>
      </x:c>
      <x:c r="T95" s="64" t="str">
        <x:f>IF(A95="","",IF(COUNTIF($A$5:$A$1204,A95)&gt;1,"重复",""))</x:f>
      </x:c>
      <x:c r="U95" s="64" t="str">
        <x:f>IF(A95="","",IF(T95="重复","检查重复",IF(OR(R95="有证据",R95="有记录",R95="持续跟踪"),"可追踪","检查")))</x:f>
      </x:c>
    </x:row>
    <x:row r="96">
      <x:c r="A96" s="62"/>
      <x:c r="B96" s="62"/>
      <x:c r="C96" s="62"/>
      <x:c r="D96" s="66"/>
      <x:c r="E96" s="68"/>
      <x:c r="F96" s="62"/>
      <x:c r="G96" s="62"/>
      <x:c r="H96" s="62"/>
      <x:c r="I96" s="62"/>
      <x:c r="J96" s="62"/>
      <x:c r="K96" s="62"/>
      <x:c r="L96" s="62"/>
      <x:c r="M96" s="68"/>
      <x:c r="N96" s="68"/>
      <x:c r="O96" s="68"/>
      <x:c r="P96" s="71" t="str">
        <x:f>IF(A96="","",IF(N96&gt;0,N96,M96))</x:f>
      </x:c>
      <x:c r="Q96" s="72" t="n">
        <x:f>IF(A96="",0,IF(COUNTIF($A$5:A96,A96)=1,1,0))</x:f>
        <x:v>0</x:v>
      </x:c>
      <x:c r="R96" s="64" t="str">
        <x:f>IF(A96="","",IF(F96="C96成功",IF(AND(J96&lt;&gt;"",K96&lt;&gt;"",N96&gt;0),"有证据","缺C96证据"),IF(F96="C96发货确认中",IF(AND(J96&lt;&gt;"",K96&lt;&gt;""),"有证据","缺C96证据"),IF(F96="手动完结",IF(OR(L96&lt;&gt;"",O96&lt;&gt;"",S96&lt;&gt;""),"有记录","缺手工证据"),IF(OR(F96="卖出待补仓",F96="提交结果待确认",F96="异常待处理"),"持续跟踪","检查状态")))))</x:f>
      </x:c>
      <x:c r="T96" s="64" t="str">
        <x:f>IF(A96="","",IF(COUNTIF($A$5:$A$1204,A96)&gt;1,"重复",""))</x:f>
      </x:c>
      <x:c r="U96" s="64" t="str">
        <x:f>IF(A96="","",IF(T96="重复","检查重复",IF(OR(R96="有证据",R96="有记录",R96="持续跟踪"),"可追踪","检查")))</x:f>
      </x:c>
    </x:row>
    <x:row r="97">
      <x:c r="A97" s="62"/>
      <x:c r="B97" s="62"/>
      <x:c r="C97" s="62"/>
      <x:c r="D97" s="66"/>
      <x:c r="E97" s="68"/>
      <x:c r="F97" s="62"/>
      <x:c r="G97" s="62"/>
      <x:c r="H97" s="62"/>
      <x:c r="I97" s="62"/>
      <x:c r="J97" s="62"/>
      <x:c r="K97" s="62"/>
      <x:c r="L97" s="62"/>
      <x:c r="M97" s="68"/>
      <x:c r="N97" s="68"/>
      <x:c r="O97" s="68"/>
      <x:c r="P97" s="71" t="str">
        <x:f>IF(A97="","",IF(N97&gt;0,N97,M97))</x:f>
      </x:c>
      <x:c r="Q97" s="72" t="n">
        <x:f>IF(A97="",0,IF(COUNTIF($A$5:A97,A97)=1,1,0))</x:f>
        <x:v>0</x:v>
      </x:c>
      <x:c r="R97" s="64" t="str">
        <x:f>IF(A97="","",IF(F97="C97成功",IF(AND(J97&lt;&gt;"",K97&lt;&gt;"",N97&gt;0),"有证据","缺C97证据"),IF(F97="C97发货确认中",IF(AND(J97&lt;&gt;"",K97&lt;&gt;""),"有证据","缺C97证据"),IF(F97="手动完结",IF(OR(L97&lt;&gt;"",O97&lt;&gt;"",S97&lt;&gt;""),"有记录","缺手工证据"),IF(OR(F97="卖出待补仓",F97="提交结果待确认",F97="异常待处理"),"持续跟踪","检查状态")))))</x:f>
      </x:c>
      <x:c r="T97" s="64" t="str">
        <x:f>IF(A97="","",IF(COUNTIF($A$5:$A$1204,A97)&gt;1,"重复",""))</x:f>
      </x:c>
      <x:c r="U97" s="64" t="str">
        <x:f>IF(A97="","",IF(T97="重复","检查重复",IF(OR(R97="有证据",R97="有记录",R97="持续跟踪"),"可追踪","检查")))</x:f>
      </x:c>
    </x:row>
    <x:row r="98">
      <x:c r="A98" s="62"/>
      <x:c r="B98" s="62"/>
      <x:c r="C98" s="62"/>
      <x:c r="D98" s="66"/>
      <x:c r="E98" s="68"/>
      <x:c r="F98" s="62"/>
      <x:c r="G98" s="62"/>
      <x:c r="H98" s="62"/>
      <x:c r="I98" s="62"/>
      <x:c r="J98" s="62"/>
      <x:c r="K98" s="62"/>
      <x:c r="L98" s="62"/>
      <x:c r="M98" s="68"/>
      <x:c r="N98" s="68"/>
      <x:c r="O98" s="68"/>
      <x:c r="P98" s="71" t="str">
        <x:f>IF(A98="","",IF(N98&gt;0,N98,M98))</x:f>
      </x:c>
      <x:c r="Q98" s="72" t="n">
        <x:f>IF(A98="",0,IF(COUNTIF($A$5:A98,A98)=1,1,0))</x:f>
        <x:v>0</x:v>
      </x:c>
      <x:c r="R98" s="64" t="str">
        <x:f>IF(A98="","",IF(F98="C98成功",IF(AND(J98&lt;&gt;"",K98&lt;&gt;"",N98&gt;0),"有证据","缺C98证据"),IF(F98="C98发货确认中",IF(AND(J98&lt;&gt;"",K98&lt;&gt;""),"有证据","缺C98证据"),IF(F98="手动完结",IF(OR(L98&lt;&gt;"",O98&lt;&gt;"",S98&lt;&gt;""),"有记录","缺手工证据"),IF(OR(F98="卖出待补仓",F98="提交结果待确认",F98="异常待处理"),"持续跟踪","检查状态")))))</x:f>
      </x:c>
      <x:c r="T98" s="64" t="str">
        <x:f>IF(A98="","",IF(COUNTIF($A$5:$A$1204,A98)&gt;1,"重复",""))</x:f>
      </x:c>
      <x:c r="U98" s="64" t="str">
        <x:f>IF(A98="","",IF(T98="重复","检查重复",IF(OR(R98="有证据",R98="有记录",R98="持续跟踪"),"可追踪","检查")))</x:f>
      </x:c>
    </x:row>
    <x:row r="99">
      <x:c r="A99" s="62"/>
      <x:c r="B99" s="62"/>
      <x:c r="C99" s="62"/>
      <x:c r="D99" s="66"/>
      <x:c r="E99" s="68"/>
      <x:c r="F99" s="62"/>
      <x:c r="G99" s="62"/>
      <x:c r="H99" s="62"/>
      <x:c r="I99" s="62"/>
      <x:c r="J99" s="62"/>
      <x:c r="K99" s="62"/>
      <x:c r="L99" s="62"/>
      <x:c r="M99" s="68"/>
      <x:c r="N99" s="68"/>
      <x:c r="O99" s="68"/>
      <x:c r="P99" s="71" t="str">
        <x:f>IF(A99="","",IF(N99&gt;0,N99,M99))</x:f>
      </x:c>
      <x:c r="Q99" s="72" t="n">
        <x:f>IF(A99="",0,IF(COUNTIF($A$5:A99,A99)=1,1,0))</x:f>
        <x:v>0</x:v>
      </x:c>
      <x:c r="R99" s="64" t="str">
        <x:f>IF(A99="","",IF(F99="C99成功",IF(AND(J99&lt;&gt;"",K99&lt;&gt;"",N99&gt;0),"有证据","缺C99证据"),IF(F99="C99发货确认中",IF(AND(J99&lt;&gt;"",K99&lt;&gt;""),"有证据","缺C99证据"),IF(F99="手动完结",IF(OR(L99&lt;&gt;"",O99&lt;&gt;"",S99&lt;&gt;""),"有记录","缺手工证据"),IF(OR(F99="卖出待补仓",F99="提交结果待确认",F99="异常待处理"),"持续跟踪","检查状态")))))</x:f>
      </x:c>
      <x:c r="T99" s="64" t="str">
        <x:f>IF(A99="","",IF(COUNTIF($A$5:$A$1204,A99)&gt;1,"重复",""))</x:f>
      </x:c>
      <x:c r="U99" s="64" t="str">
        <x:f>IF(A99="","",IF(T99="重复","检查重复",IF(OR(R99="有证据",R99="有记录",R99="持续跟踪"),"可追踪","检查")))</x:f>
      </x:c>
    </x:row>
    <x:row r="100">
      <x:c r="A100" s="62"/>
      <x:c r="B100" s="62"/>
      <x:c r="C100" s="62"/>
      <x:c r="D100" s="66"/>
      <x:c r="E100" s="68"/>
      <x:c r="F100" s="62"/>
      <x:c r="G100" s="62"/>
      <x:c r="H100" s="62"/>
      <x:c r="I100" s="62"/>
      <x:c r="J100" s="62"/>
      <x:c r="K100" s="62"/>
      <x:c r="L100" s="62"/>
      <x:c r="M100" s="68"/>
      <x:c r="N100" s="68"/>
      <x:c r="O100" s="68"/>
      <x:c r="P100" s="71" t="str">
        <x:f>IF(A100="","",IF(N100&gt;0,N100,M100))</x:f>
      </x:c>
      <x:c r="Q100" s="72" t="n">
        <x:f>IF(A100="",0,IF(COUNTIF($A$5:A100,A100)=1,1,0))</x:f>
        <x:v>0</x:v>
      </x:c>
      <x:c r="R100" s="64" t="str">
        <x:f>IF(A100="","",IF(F100="C100成功",IF(AND(J100&lt;&gt;"",K100&lt;&gt;"",N100&gt;0),"有证据","缺C100证据"),IF(F100="C100发货确认中",IF(AND(J100&lt;&gt;"",K100&lt;&gt;""),"有证据","缺C100证据"),IF(F100="手动完结",IF(OR(L100&lt;&gt;"",O100&lt;&gt;"",S100&lt;&gt;""),"有记录","缺手工证据"),IF(OR(F100="卖出待补仓",F100="提交结果待确认",F100="异常待处理"),"持续跟踪","检查状态")))))</x:f>
      </x:c>
      <x:c r="T100" s="64" t="str">
        <x:f>IF(A100="","",IF(COUNTIF($A$5:$A$1204,A100)&gt;1,"重复",""))</x:f>
      </x:c>
      <x:c r="U100" s="64" t="str">
        <x:f>IF(A100="","",IF(T100="重复","检查重复",IF(OR(R100="有证据",R100="有记录",R100="持续跟踪"),"可追踪","检查")))</x:f>
      </x:c>
    </x:row>
    <x:row r="101">
      <x:c r="A101" s="62"/>
      <x:c r="B101" s="62"/>
      <x:c r="C101" s="62"/>
      <x:c r="D101" s="66"/>
      <x:c r="E101" s="68"/>
      <x:c r="F101" s="62"/>
      <x:c r="G101" s="62"/>
      <x:c r="H101" s="62"/>
      <x:c r="I101" s="62"/>
      <x:c r="J101" s="62"/>
      <x:c r="K101" s="62"/>
      <x:c r="L101" s="62"/>
      <x:c r="M101" s="68"/>
      <x:c r="N101" s="68"/>
      <x:c r="O101" s="68"/>
      <x:c r="P101" s="71" t="str">
        <x:f>IF(A101="","",IF(N101&gt;0,N101,M101))</x:f>
      </x:c>
      <x:c r="Q101" s="72" t="n">
        <x:f>IF(A101="",0,IF(COUNTIF($A$5:A101,A101)=1,1,0))</x:f>
        <x:v>0</x:v>
      </x:c>
      <x:c r="R101" s="64" t="str">
        <x:f>IF(A101="","",IF(F101="C101成功",IF(AND(J101&lt;&gt;"",K101&lt;&gt;"",N101&gt;0),"有证据","缺C101证据"),IF(F101="C101发货确认中",IF(AND(J101&lt;&gt;"",K101&lt;&gt;""),"有证据","缺C101证据"),IF(F101="手动完结",IF(OR(L101&lt;&gt;"",O101&lt;&gt;"",S101&lt;&gt;""),"有记录","缺手工证据"),IF(OR(F101="卖出待补仓",F101="提交结果待确认",F101="异常待处理"),"持续跟踪","检查状态")))))</x:f>
      </x:c>
      <x:c r="T101" s="64" t="str">
        <x:f>IF(A101="","",IF(COUNTIF($A$5:$A$1204,A101)&gt;1,"重复",""))</x:f>
      </x:c>
      <x:c r="U101" s="64" t="str">
        <x:f>IF(A101="","",IF(T101="重复","检查重复",IF(OR(R101="有证据",R101="有记录",R101="持续跟踪"),"可追踪","检查")))</x:f>
      </x:c>
    </x:row>
    <x:row r="102">
      <x:c r="A102" s="62"/>
      <x:c r="B102" s="62"/>
      <x:c r="C102" s="62"/>
      <x:c r="D102" s="66"/>
      <x:c r="E102" s="68"/>
      <x:c r="F102" s="62"/>
      <x:c r="G102" s="62"/>
      <x:c r="H102" s="62"/>
      <x:c r="I102" s="62"/>
      <x:c r="J102" s="62"/>
      <x:c r="K102" s="62"/>
      <x:c r="L102" s="62"/>
      <x:c r="M102" s="68"/>
      <x:c r="N102" s="68"/>
      <x:c r="O102" s="68"/>
      <x:c r="P102" s="71" t="str">
        <x:f>IF(A102="","",IF(N102&gt;0,N102,M102))</x:f>
      </x:c>
      <x:c r="Q102" s="72" t="n">
        <x:f>IF(A102="",0,IF(COUNTIF($A$5:A102,A102)=1,1,0))</x:f>
        <x:v>0</x:v>
      </x:c>
      <x:c r="R102" s="64" t="str">
        <x:f>IF(A102="","",IF(F102="C102成功",IF(AND(J102&lt;&gt;"",K102&lt;&gt;"",N102&gt;0),"有证据","缺C102证据"),IF(F102="C102发货确认中",IF(AND(J102&lt;&gt;"",K102&lt;&gt;""),"有证据","缺C102证据"),IF(F102="手动完结",IF(OR(L102&lt;&gt;"",O102&lt;&gt;"",S102&lt;&gt;""),"有记录","缺手工证据"),IF(OR(F102="卖出待补仓",F102="提交结果待确认",F102="异常待处理"),"持续跟踪","检查状态")))))</x:f>
      </x:c>
      <x:c r="T102" s="64" t="str">
        <x:f>IF(A102="","",IF(COUNTIF($A$5:$A$1204,A102)&gt;1,"重复",""))</x:f>
      </x:c>
      <x:c r="U102" s="64" t="str">
        <x:f>IF(A102="","",IF(T102="重复","检查重复",IF(OR(R102="有证据",R102="有记录",R102="持续跟踪"),"可追踪","检查")))</x:f>
      </x:c>
    </x:row>
    <x:row r="103">
      <x:c r="A103" s="62"/>
      <x:c r="B103" s="62"/>
      <x:c r="C103" s="62"/>
      <x:c r="D103" s="66"/>
      <x:c r="E103" s="68"/>
      <x:c r="F103" s="62"/>
      <x:c r="G103" s="62"/>
      <x:c r="H103" s="62"/>
      <x:c r="I103" s="62"/>
      <x:c r="J103" s="62"/>
      <x:c r="K103" s="62"/>
      <x:c r="L103" s="62"/>
      <x:c r="M103" s="68"/>
      <x:c r="N103" s="68"/>
      <x:c r="O103" s="68"/>
      <x:c r="P103" s="71" t="str">
        <x:f>IF(A103="","",IF(N103&gt;0,N103,M103))</x:f>
      </x:c>
      <x:c r="Q103" s="72" t="n">
        <x:f>IF(A103="",0,IF(COUNTIF($A$5:A103,A103)=1,1,0))</x:f>
        <x:v>0</x:v>
      </x:c>
      <x:c r="R103" s="64" t="str">
        <x:f>IF(A103="","",IF(F103="C103成功",IF(AND(J103&lt;&gt;"",K103&lt;&gt;"",N103&gt;0),"有证据","缺C103证据"),IF(F103="C103发货确认中",IF(AND(J103&lt;&gt;"",K103&lt;&gt;""),"有证据","缺C103证据"),IF(F103="手动完结",IF(OR(L103&lt;&gt;"",O103&lt;&gt;"",S103&lt;&gt;""),"有记录","缺手工证据"),IF(OR(F103="卖出待补仓",F103="提交结果待确认",F103="异常待处理"),"持续跟踪","检查状态")))))</x:f>
      </x:c>
      <x:c r="T103" s="64" t="str">
        <x:f>IF(A103="","",IF(COUNTIF($A$5:$A$1204,A103)&gt;1,"重复",""))</x:f>
      </x:c>
      <x:c r="U103" s="64" t="str">
        <x:f>IF(A103="","",IF(T103="重复","检查重复",IF(OR(R103="有证据",R103="有记录",R103="持续跟踪"),"可追踪","检查")))</x:f>
      </x:c>
    </x:row>
    <x:row r="104">
      <x:c r="A104" s="62"/>
      <x:c r="B104" s="62"/>
      <x:c r="C104" s="62"/>
      <x:c r="D104" s="66"/>
      <x:c r="E104" s="68"/>
      <x:c r="F104" s="62"/>
      <x:c r="G104" s="62"/>
      <x:c r="H104" s="62"/>
      <x:c r="I104" s="62"/>
      <x:c r="J104" s="62"/>
      <x:c r="K104" s="62"/>
      <x:c r="L104" s="62"/>
      <x:c r="M104" s="68"/>
      <x:c r="N104" s="68"/>
      <x:c r="O104" s="68"/>
      <x:c r="P104" s="71" t="str">
        <x:f>IF(A104="","",IF(N104&gt;0,N104,M104))</x:f>
      </x:c>
      <x:c r="Q104" s="72" t="n">
        <x:f>IF(A104="",0,IF(COUNTIF($A$5:A104,A104)=1,1,0))</x:f>
        <x:v>0</x:v>
      </x:c>
      <x:c r="R104" s="64" t="str">
        <x:f>IF(A104="","",IF(F104="C104成功",IF(AND(J104&lt;&gt;"",K104&lt;&gt;"",N104&gt;0),"有证据","缺C104证据"),IF(F104="C104发货确认中",IF(AND(J104&lt;&gt;"",K104&lt;&gt;""),"有证据","缺C104证据"),IF(F104="手动完结",IF(OR(L104&lt;&gt;"",O104&lt;&gt;"",S104&lt;&gt;""),"有记录","缺手工证据"),IF(OR(F104="卖出待补仓",F104="提交结果待确认",F104="异常待处理"),"持续跟踪","检查状态")))))</x:f>
      </x:c>
      <x:c r="T104" s="64" t="str">
        <x:f>IF(A104="","",IF(COUNTIF($A$5:$A$1204,A104)&gt;1,"重复",""))</x:f>
      </x:c>
      <x:c r="U104" s="64" t="str">
        <x:f>IF(A104="","",IF(T104="重复","检查重复",IF(OR(R104="有证据",R104="有记录",R104="持续跟踪"),"可追踪","检查")))</x:f>
      </x:c>
    </x:row>
    <x:row r="105">
      <x:c r="A105" s="62"/>
      <x:c r="B105" s="62"/>
      <x:c r="C105" s="62"/>
      <x:c r="D105" s="66"/>
      <x:c r="E105" s="68"/>
      <x:c r="F105" s="62"/>
      <x:c r="G105" s="62"/>
      <x:c r="H105" s="62"/>
      <x:c r="I105" s="62"/>
      <x:c r="J105" s="62"/>
      <x:c r="K105" s="62"/>
      <x:c r="L105" s="62"/>
      <x:c r="M105" s="68"/>
      <x:c r="N105" s="68"/>
      <x:c r="O105" s="68"/>
      <x:c r="P105" s="71" t="str">
        <x:f>IF(A105="","",IF(N105&gt;0,N105,M105))</x:f>
      </x:c>
      <x:c r="Q105" s="72" t="n">
        <x:f>IF(A105="",0,IF(COUNTIF($A$5:A105,A105)=1,1,0))</x:f>
        <x:v>0</x:v>
      </x:c>
      <x:c r="R105" s="64" t="str">
        <x:f>IF(A105="","",IF(F105="C105成功",IF(AND(J105&lt;&gt;"",K105&lt;&gt;"",N105&gt;0),"有证据","缺C105证据"),IF(F105="C105发货确认中",IF(AND(J105&lt;&gt;"",K105&lt;&gt;""),"有证据","缺C105证据"),IF(F105="手动完结",IF(OR(L105&lt;&gt;"",O105&lt;&gt;"",S105&lt;&gt;""),"有记录","缺手工证据"),IF(OR(F105="卖出待补仓",F105="提交结果待确认",F105="异常待处理"),"持续跟踪","检查状态")))))</x:f>
      </x:c>
      <x:c r="T105" s="64" t="str">
        <x:f>IF(A105="","",IF(COUNTIF($A$5:$A$1204,A105)&gt;1,"重复",""))</x:f>
      </x:c>
      <x:c r="U105" s="64" t="str">
        <x:f>IF(A105="","",IF(T105="重复","检查重复",IF(OR(R105="有证据",R105="有记录",R105="持续跟踪"),"可追踪","检查")))</x:f>
      </x:c>
    </x:row>
    <x:row r="106">
      <x:c r="A106" s="62"/>
      <x:c r="B106" s="62"/>
      <x:c r="C106" s="62"/>
      <x:c r="D106" s="66"/>
      <x:c r="E106" s="68"/>
      <x:c r="F106" s="62"/>
      <x:c r="G106" s="62"/>
      <x:c r="H106" s="62"/>
      <x:c r="I106" s="62"/>
      <x:c r="J106" s="62"/>
      <x:c r="K106" s="62"/>
      <x:c r="L106" s="62"/>
      <x:c r="M106" s="68"/>
      <x:c r="N106" s="68"/>
      <x:c r="O106" s="68"/>
      <x:c r="P106" s="71" t="str">
        <x:f>IF(A106="","",IF(N106&gt;0,N106,M106))</x:f>
      </x:c>
      <x:c r="Q106" s="72" t="n">
        <x:f>IF(A106="",0,IF(COUNTIF($A$5:A106,A106)=1,1,0))</x:f>
        <x:v>0</x:v>
      </x:c>
      <x:c r="R106" s="64" t="str">
        <x:f>IF(A106="","",IF(F106="C106成功",IF(AND(J106&lt;&gt;"",K106&lt;&gt;"",N106&gt;0),"有证据","缺C106证据"),IF(F106="C106发货确认中",IF(AND(J106&lt;&gt;"",K106&lt;&gt;""),"有证据","缺C106证据"),IF(F106="手动完结",IF(OR(L106&lt;&gt;"",O106&lt;&gt;"",S106&lt;&gt;""),"有记录","缺手工证据"),IF(OR(F106="卖出待补仓",F106="提交结果待确认",F106="异常待处理"),"持续跟踪","检查状态")))))</x:f>
      </x:c>
      <x:c r="T106" s="64" t="str">
        <x:f>IF(A106="","",IF(COUNTIF($A$5:$A$1204,A106)&gt;1,"重复",""))</x:f>
      </x:c>
      <x:c r="U106" s="64" t="str">
        <x:f>IF(A106="","",IF(T106="重复","检查重复",IF(OR(R106="有证据",R106="有记录",R106="持续跟踪"),"可追踪","检查")))</x:f>
      </x:c>
    </x:row>
    <x:row r="107">
      <x:c r="A107" s="62"/>
      <x:c r="B107" s="62"/>
      <x:c r="C107" s="62"/>
      <x:c r="D107" s="66"/>
      <x:c r="E107" s="68"/>
      <x:c r="F107" s="62"/>
      <x:c r="G107" s="62"/>
      <x:c r="H107" s="62"/>
      <x:c r="I107" s="62"/>
      <x:c r="J107" s="62"/>
      <x:c r="K107" s="62"/>
      <x:c r="L107" s="62"/>
      <x:c r="M107" s="68"/>
      <x:c r="N107" s="68"/>
      <x:c r="O107" s="68"/>
      <x:c r="P107" s="71" t="str">
        <x:f>IF(A107="","",IF(N107&gt;0,N107,M107))</x:f>
      </x:c>
      <x:c r="Q107" s="72" t="n">
        <x:f>IF(A107="",0,IF(COUNTIF($A$5:A107,A107)=1,1,0))</x:f>
        <x:v>0</x:v>
      </x:c>
      <x:c r="R107" s="64" t="str">
        <x:f>IF(A107="","",IF(F107="C107成功",IF(AND(J107&lt;&gt;"",K107&lt;&gt;"",N107&gt;0),"有证据","缺C107证据"),IF(F107="C107发货确认中",IF(AND(J107&lt;&gt;"",K107&lt;&gt;""),"有证据","缺C107证据"),IF(F107="手动完结",IF(OR(L107&lt;&gt;"",O107&lt;&gt;"",S107&lt;&gt;""),"有记录","缺手工证据"),IF(OR(F107="卖出待补仓",F107="提交结果待确认",F107="异常待处理"),"持续跟踪","检查状态")))))</x:f>
      </x:c>
      <x:c r="T107" s="64" t="str">
        <x:f>IF(A107="","",IF(COUNTIF($A$5:$A$1204,A107)&gt;1,"重复",""))</x:f>
      </x:c>
      <x:c r="U107" s="64" t="str">
        <x:f>IF(A107="","",IF(T107="重复","检查重复",IF(OR(R107="有证据",R107="有记录",R107="持续跟踪"),"可追踪","检查")))</x:f>
      </x:c>
    </x:row>
    <x:row r="108">
      <x:c r="A108" s="62"/>
      <x:c r="B108" s="62"/>
      <x:c r="C108" s="62"/>
      <x:c r="D108" s="66"/>
      <x:c r="E108" s="68"/>
      <x:c r="F108" s="62"/>
      <x:c r="G108" s="62"/>
      <x:c r="H108" s="62"/>
      <x:c r="I108" s="62"/>
      <x:c r="J108" s="62"/>
      <x:c r="K108" s="62"/>
      <x:c r="L108" s="62"/>
      <x:c r="M108" s="68"/>
      <x:c r="N108" s="68"/>
      <x:c r="O108" s="68"/>
      <x:c r="P108" s="71" t="str">
        <x:f>IF(A108="","",IF(N108&gt;0,N108,M108))</x:f>
      </x:c>
      <x:c r="Q108" s="72" t="n">
        <x:f>IF(A108="",0,IF(COUNTIF($A$5:A108,A108)=1,1,0))</x:f>
        <x:v>0</x:v>
      </x:c>
      <x:c r="R108" s="64" t="str">
        <x:f>IF(A108="","",IF(F108="C108成功",IF(AND(J108&lt;&gt;"",K108&lt;&gt;"",N108&gt;0),"有证据","缺C108证据"),IF(F108="C108发货确认中",IF(AND(J108&lt;&gt;"",K108&lt;&gt;""),"有证据","缺C108证据"),IF(F108="手动完结",IF(OR(L108&lt;&gt;"",O108&lt;&gt;"",S108&lt;&gt;""),"有记录","缺手工证据"),IF(OR(F108="卖出待补仓",F108="提交结果待确认",F108="异常待处理"),"持续跟踪","检查状态")))))</x:f>
      </x:c>
      <x:c r="T108" s="64" t="str">
        <x:f>IF(A108="","",IF(COUNTIF($A$5:$A$1204,A108)&gt;1,"重复",""))</x:f>
      </x:c>
      <x:c r="U108" s="64" t="str">
        <x:f>IF(A108="","",IF(T108="重复","检查重复",IF(OR(R108="有证据",R108="有记录",R108="持续跟踪"),"可追踪","检查")))</x:f>
      </x:c>
    </x:row>
    <x:row r="109">
      <x:c r="A109" s="62"/>
      <x:c r="B109" s="62"/>
      <x:c r="C109" s="62"/>
      <x:c r="D109" s="66"/>
      <x:c r="E109" s="68"/>
      <x:c r="F109" s="62"/>
      <x:c r="G109" s="62"/>
      <x:c r="H109" s="62"/>
      <x:c r="I109" s="62"/>
      <x:c r="J109" s="62"/>
      <x:c r="K109" s="62"/>
      <x:c r="L109" s="62"/>
      <x:c r="M109" s="68"/>
      <x:c r="N109" s="68"/>
      <x:c r="O109" s="68"/>
      <x:c r="P109" s="71" t="str">
        <x:f>IF(A109="","",IF(N109&gt;0,N109,M109))</x:f>
      </x:c>
      <x:c r="Q109" s="72" t="n">
        <x:f>IF(A109="",0,IF(COUNTIF($A$5:A109,A109)=1,1,0))</x:f>
        <x:v>0</x:v>
      </x:c>
      <x:c r="R109" s="64" t="str">
        <x:f>IF(A109="","",IF(F109="C109成功",IF(AND(J109&lt;&gt;"",K109&lt;&gt;"",N109&gt;0),"有证据","缺C109证据"),IF(F109="C109发货确认中",IF(AND(J109&lt;&gt;"",K109&lt;&gt;""),"有证据","缺C109证据"),IF(F109="手动完结",IF(OR(L109&lt;&gt;"",O109&lt;&gt;"",S109&lt;&gt;""),"有记录","缺手工证据"),IF(OR(F109="卖出待补仓",F109="提交结果待确认",F109="异常待处理"),"持续跟踪","检查状态")))))</x:f>
      </x:c>
      <x:c r="T109" s="64" t="str">
        <x:f>IF(A109="","",IF(COUNTIF($A$5:$A$1204,A109)&gt;1,"重复",""))</x:f>
      </x:c>
      <x:c r="U109" s="64" t="str">
        <x:f>IF(A109="","",IF(T109="重复","检查重复",IF(OR(R109="有证据",R109="有记录",R109="持续跟踪"),"可追踪","检查")))</x:f>
      </x:c>
    </x:row>
    <x:row r="110">
      <x:c r="A110" s="62"/>
      <x:c r="B110" s="62"/>
      <x:c r="C110" s="62"/>
      <x:c r="D110" s="66"/>
      <x:c r="E110" s="68"/>
      <x:c r="F110" s="62"/>
      <x:c r="G110" s="62"/>
      <x:c r="H110" s="62"/>
      <x:c r="I110" s="62"/>
      <x:c r="J110" s="62"/>
      <x:c r="K110" s="62"/>
      <x:c r="L110" s="62"/>
      <x:c r="M110" s="68"/>
      <x:c r="N110" s="68"/>
      <x:c r="O110" s="68"/>
      <x:c r="P110" s="71" t="str">
        <x:f>IF(A110="","",IF(N110&gt;0,N110,M110))</x:f>
      </x:c>
      <x:c r="Q110" s="72" t="n">
        <x:f>IF(A110="",0,IF(COUNTIF($A$5:A110,A110)=1,1,0))</x:f>
        <x:v>0</x:v>
      </x:c>
      <x:c r="R110" s="64" t="str">
        <x:f>IF(A110="","",IF(F110="C110成功",IF(AND(J110&lt;&gt;"",K110&lt;&gt;"",N110&gt;0),"有证据","缺C110证据"),IF(F110="C110发货确认中",IF(AND(J110&lt;&gt;"",K110&lt;&gt;""),"有证据","缺C110证据"),IF(F110="手动完结",IF(OR(L110&lt;&gt;"",O110&lt;&gt;"",S110&lt;&gt;""),"有记录","缺手工证据"),IF(OR(F110="卖出待补仓",F110="提交结果待确认",F110="异常待处理"),"持续跟踪","检查状态")))))</x:f>
      </x:c>
      <x:c r="T110" s="64" t="str">
        <x:f>IF(A110="","",IF(COUNTIF($A$5:$A$1204,A110)&gt;1,"重复",""))</x:f>
      </x:c>
      <x:c r="U110" s="64" t="str">
        <x:f>IF(A110="","",IF(T110="重复","检查重复",IF(OR(R110="有证据",R110="有记录",R110="持续跟踪"),"可追踪","检查")))</x:f>
      </x:c>
    </x:row>
    <x:row r="111">
      <x:c r="A111" s="62"/>
      <x:c r="B111" s="62"/>
      <x:c r="C111" s="62"/>
      <x:c r="D111" s="66"/>
      <x:c r="E111" s="68"/>
      <x:c r="F111" s="62"/>
      <x:c r="G111" s="62"/>
      <x:c r="H111" s="62"/>
      <x:c r="I111" s="62"/>
      <x:c r="J111" s="62"/>
      <x:c r="K111" s="62"/>
      <x:c r="L111" s="62"/>
      <x:c r="M111" s="68"/>
      <x:c r="N111" s="68"/>
      <x:c r="O111" s="68"/>
      <x:c r="P111" s="71" t="str">
        <x:f>IF(A111="","",IF(N111&gt;0,N111,M111))</x:f>
      </x:c>
      <x:c r="Q111" s="72" t="n">
        <x:f>IF(A111="",0,IF(COUNTIF($A$5:A111,A111)=1,1,0))</x:f>
        <x:v>0</x:v>
      </x:c>
      <x:c r="R111" s="64" t="str">
        <x:f>IF(A111="","",IF(F111="C111成功",IF(AND(J111&lt;&gt;"",K111&lt;&gt;"",N111&gt;0),"有证据","缺C111证据"),IF(F111="C111发货确认中",IF(AND(J111&lt;&gt;"",K111&lt;&gt;""),"有证据","缺C111证据"),IF(F111="手动完结",IF(OR(L111&lt;&gt;"",O111&lt;&gt;"",S111&lt;&gt;""),"有记录","缺手工证据"),IF(OR(F111="卖出待补仓",F111="提交结果待确认",F111="异常待处理"),"持续跟踪","检查状态")))))</x:f>
      </x:c>
      <x:c r="T111" s="64" t="str">
        <x:f>IF(A111="","",IF(COUNTIF($A$5:$A$1204,A111)&gt;1,"重复",""))</x:f>
      </x:c>
      <x:c r="U111" s="64" t="str">
        <x:f>IF(A111="","",IF(T111="重复","检查重复",IF(OR(R111="有证据",R111="有记录",R111="持续跟踪"),"可追踪","检查")))</x:f>
      </x:c>
    </x:row>
    <x:row r="112">
      <x:c r="A112" s="62"/>
      <x:c r="B112" s="62"/>
      <x:c r="C112" s="62"/>
      <x:c r="D112" s="66"/>
      <x:c r="E112" s="68"/>
      <x:c r="F112" s="62"/>
      <x:c r="G112" s="62"/>
      <x:c r="H112" s="62"/>
      <x:c r="I112" s="62"/>
      <x:c r="J112" s="62"/>
      <x:c r="K112" s="62"/>
      <x:c r="L112" s="62"/>
      <x:c r="M112" s="68"/>
      <x:c r="N112" s="68"/>
      <x:c r="O112" s="68"/>
      <x:c r="P112" s="71" t="str">
        <x:f>IF(A112="","",IF(N112&gt;0,N112,M112))</x:f>
      </x:c>
      <x:c r="Q112" s="72" t="n">
        <x:f>IF(A112="",0,IF(COUNTIF($A$5:A112,A112)=1,1,0))</x:f>
        <x:v>0</x:v>
      </x:c>
      <x:c r="R112" s="64" t="str">
        <x:f>IF(A112="","",IF(F112="C112成功",IF(AND(J112&lt;&gt;"",K112&lt;&gt;"",N112&gt;0),"有证据","缺C112证据"),IF(F112="C112发货确认中",IF(AND(J112&lt;&gt;"",K112&lt;&gt;""),"有证据","缺C112证据"),IF(F112="手动完结",IF(OR(L112&lt;&gt;"",O112&lt;&gt;"",S112&lt;&gt;""),"有记录","缺手工证据"),IF(OR(F112="卖出待补仓",F112="提交结果待确认",F112="异常待处理"),"持续跟踪","检查状态")))))</x:f>
      </x:c>
      <x:c r="T112" s="64" t="str">
        <x:f>IF(A112="","",IF(COUNTIF($A$5:$A$1204,A112)&gt;1,"重复",""))</x:f>
      </x:c>
      <x:c r="U112" s="64" t="str">
        <x:f>IF(A112="","",IF(T112="重复","检查重复",IF(OR(R112="有证据",R112="有记录",R112="持续跟踪"),"可追踪","检查")))</x:f>
      </x:c>
    </x:row>
    <x:row r="113">
      <x:c r="A113" s="62"/>
      <x:c r="B113" s="62"/>
      <x:c r="C113" s="62"/>
      <x:c r="D113" s="66"/>
      <x:c r="E113" s="68"/>
      <x:c r="F113" s="62"/>
      <x:c r="G113" s="62"/>
      <x:c r="H113" s="62"/>
      <x:c r="I113" s="62"/>
      <x:c r="J113" s="62"/>
      <x:c r="K113" s="62"/>
      <x:c r="L113" s="62"/>
      <x:c r="M113" s="68"/>
      <x:c r="N113" s="68"/>
      <x:c r="O113" s="68"/>
      <x:c r="P113" s="71" t="str">
        <x:f>IF(A113="","",IF(N113&gt;0,N113,M113))</x:f>
      </x:c>
      <x:c r="Q113" s="72" t="n">
        <x:f>IF(A113="",0,IF(COUNTIF($A$5:A113,A113)=1,1,0))</x:f>
        <x:v>0</x:v>
      </x:c>
      <x:c r="R113" s="64" t="str">
        <x:f>IF(A113="","",IF(F113="C113成功",IF(AND(J113&lt;&gt;"",K113&lt;&gt;"",N113&gt;0),"有证据","缺C113证据"),IF(F113="C113发货确认中",IF(AND(J113&lt;&gt;"",K113&lt;&gt;""),"有证据","缺C113证据"),IF(F113="手动完结",IF(OR(L113&lt;&gt;"",O113&lt;&gt;"",S113&lt;&gt;""),"有记录","缺手工证据"),IF(OR(F113="卖出待补仓",F113="提交结果待确认",F113="异常待处理"),"持续跟踪","检查状态")))))</x:f>
      </x:c>
      <x:c r="T113" s="64" t="str">
        <x:f>IF(A113="","",IF(COUNTIF($A$5:$A$1204,A113)&gt;1,"重复",""))</x:f>
      </x:c>
      <x:c r="U113" s="64" t="str">
        <x:f>IF(A113="","",IF(T113="重复","检查重复",IF(OR(R113="有证据",R113="有记录",R113="持续跟踪"),"可追踪","检查")))</x:f>
      </x:c>
    </x:row>
    <x:row r="114">
      <x:c r="A114" s="62"/>
      <x:c r="B114" s="62"/>
      <x:c r="C114" s="62"/>
      <x:c r="D114" s="66"/>
      <x:c r="E114" s="68"/>
      <x:c r="F114" s="62"/>
      <x:c r="G114" s="62"/>
      <x:c r="H114" s="62"/>
      <x:c r="I114" s="62"/>
      <x:c r="J114" s="62"/>
      <x:c r="K114" s="62"/>
      <x:c r="L114" s="62"/>
      <x:c r="M114" s="68"/>
      <x:c r="N114" s="68"/>
      <x:c r="O114" s="68"/>
      <x:c r="P114" s="71" t="str">
        <x:f>IF(A114="","",IF(N114&gt;0,N114,M114))</x:f>
      </x:c>
      <x:c r="Q114" s="72" t="n">
        <x:f>IF(A114="",0,IF(COUNTIF($A$5:A114,A114)=1,1,0))</x:f>
        <x:v>0</x:v>
      </x:c>
      <x:c r="R114" s="64" t="str">
        <x:f>IF(A114="","",IF(F114="C114成功",IF(AND(J114&lt;&gt;"",K114&lt;&gt;"",N114&gt;0),"有证据","缺C114证据"),IF(F114="C114发货确认中",IF(AND(J114&lt;&gt;"",K114&lt;&gt;""),"有证据","缺C114证据"),IF(F114="手动完结",IF(OR(L114&lt;&gt;"",O114&lt;&gt;"",S114&lt;&gt;""),"有记录","缺手工证据"),IF(OR(F114="卖出待补仓",F114="提交结果待确认",F114="异常待处理"),"持续跟踪","检查状态")))))</x:f>
      </x:c>
      <x:c r="T114" s="64" t="str">
        <x:f>IF(A114="","",IF(COUNTIF($A$5:$A$1204,A114)&gt;1,"重复",""))</x:f>
      </x:c>
      <x:c r="U114" s="64" t="str">
        <x:f>IF(A114="","",IF(T114="重复","检查重复",IF(OR(R114="有证据",R114="有记录",R114="持续跟踪"),"可追踪","检查")))</x:f>
      </x:c>
    </x:row>
    <x:row r="115">
      <x:c r="A115" s="62"/>
      <x:c r="B115" s="62"/>
      <x:c r="C115" s="62"/>
      <x:c r="D115" s="66"/>
      <x:c r="E115" s="68"/>
      <x:c r="F115" s="62"/>
      <x:c r="G115" s="62"/>
      <x:c r="H115" s="62"/>
      <x:c r="I115" s="62"/>
      <x:c r="J115" s="62"/>
      <x:c r="K115" s="62"/>
      <x:c r="L115" s="62"/>
      <x:c r="M115" s="68"/>
      <x:c r="N115" s="68"/>
      <x:c r="O115" s="68"/>
      <x:c r="P115" s="71" t="str">
        <x:f>IF(A115="","",IF(N115&gt;0,N115,M115))</x:f>
      </x:c>
      <x:c r="Q115" s="72" t="n">
        <x:f>IF(A115="",0,IF(COUNTIF($A$5:A115,A115)=1,1,0))</x:f>
        <x:v>0</x:v>
      </x:c>
      <x:c r="R115" s="64" t="str">
        <x:f>IF(A115="","",IF(F115="C115成功",IF(AND(J115&lt;&gt;"",K115&lt;&gt;"",N115&gt;0),"有证据","缺C115证据"),IF(F115="C115发货确认中",IF(AND(J115&lt;&gt;"",K115&lt;&gt;""),"有证据","缺C115证据"),IF(F115="手动完结",IF(OR(L115&lt;&gt;"",O115&lt;&gt;"",S115&lt;&gt;""),"有记录","缺手工证据"),IF(OR(F115="卖出待补仓",F115="提交结果待确认",F115="异常待处理"),"持续跟踪","检查状态")))))</x:f>
      </x:c>
      <x:c r="T115" s="64" t="str">
        <x:f>IF(A115="","",IF(COUNTIF($A$5:$A$1204,A115)&gt;1,"重复",""))</x:f>
      </x:c>
      <x:c r="U115" s="64" t="str">
        <x:f>IF(A115="","",IF(T115="重复","检查重复",IF(OR(R115="有证据",R115="有记录",R115="持续跟踪"),"可追踪","检查")))</x:f>
      </x:c>
    </x:row>
    <x:row r="116">
      <x:c r="A116" s="62"/>
      <x:c r="B116" s="62"/>
      <x:c r="C116" s="62"/>
      <x:c r="D116" s="66"/>
      <x:c r="E116" s="68"/>
      <x:c r="F116" s="62"/>
      <x:c r="G116" s="62"/>
      <x:c r="H116" s="62"/>
      <x:c r="I116" s="62"/>
      <x:c r="J116" s="62"/>
      <x:c r="K116" s="62"/>
      <x:c r="L116" s="62"/>
      <x:c r="M116" s="68"/>
      <x:c r="N116" s="68"/>
      <x:c r="O116" s="68"/>
      <x:c r="P116" s="71" t="str">
        <x:f>IF(A116="","",IF(N116&gt;0,N116,M116))</x:f>
      </x:c>
      <x:c r="Q116" s="72" t="n">
        <x:f>IF(A116="",0,IF(COUNTIF($A$5:A116,A116)=1,1,0))</x:f>
        <x:v>0</x:v>
      </x:c>
      <x:c r="R116" s="64" t="str">
        <x:f>IF(A116="","",IF(F116="C116成功",IF(AND(J116&lt;&gt;"",K116&lt;&gt;"",N116&gt;0),"有证据","缺C116证据"),IF(F116="C116发货确认中",IF(AND(J116&lt;&gt;"",K116&lt;&gt;""),"有证据","缺C116证据"),IF(F116="手动完结",IF(OR(L116&lt;&gt;"",O116&lt;&gt;"",S116&lt;&gt;""),"有记录","缺手工证据"),IF(OR(F116="卖出待补仓",F116="提交结果待确认",F116="异常待处理"),"持续跟踪","检查状态")))))</x:f>
      </x:c>
      <x:c r="T116" s="64" t="str">
        <x:f>IF(A116="","",IF(COUNTIF($A$5:$A$1204,A116)&gt;1,"重复",""))</x:f>
      </x:c>
      <x:c r="U116" s="64" t="str">
        <x:f>IF(A116="","",IF(T116="重复","检查重复",IF(OR(R116="有证据",R116="有记录",R116="持续跟踪"),"可追踪","检查")))</x:f>
      </x:c>
    </x:row>
    <x:row r="117">
      <x:c r="A117" s="62"/>
      <x:c r="B117" s="62"/>
      <x:c r="C117" s="62"/>
      <x:c r="D117" s="66"/>
      <x:c r="E117" s="68"/>
      <x:c r="F117" s="62"/>
      <x:c r="G117" s="62"/>
      <x:c r="H117" s="62"/>
      <x:c r="I117" s="62"/>
      <x:c r="J117" s="62"/>
      <x:c r="K117" s="62"/>
      <x:c r="L117" s="62"/>
      <x:c r="M117" s="68"/>
      <x:c r="N117" s="68"/>
      <x:c r="O117" s="68"/>
      <x:c r="P117" s="71" t="str">
        <x:f>IF(A117="","",IF(N117&gt;0,N117,M117))</x:f>
      </x:c>
      <x:c r="Q117" s="72" t="n">
        <x:f>IF(A117="",0,IF(COUNTIF($A$5:A117,A117)=1,1,0))</x:f>
        <x:v>0</x:v>
      </x:c>
      <x:c r="R117" s="64" t="str">
        <x:f>IF(A117="","",IF(F117="C117成功",IF(AND(J117&lt;&gt;"",K117&lt;&gt;"",N117&gt;0),"有证据","缺C117证据"),IF(F117="C117发货确认中",IF(AND(J117&lt;&gt;"",K117&lt;&gt;""),"有证据","缺C117证据"),IF(F117="手动完结",IF(OR(L117&lt;&gt;"",O117&lt;&gt;"",S117&lt;&gt;""),"有记录","缺手工证据"),IF(OR(F117="卖出待补仓",F117="提交结果待确认",F117="异常待处理"),"持续跟踪","检查状态")))))</x:f>
      </x:c>
      <x:c r="T117" s="64" t="str">
        <x:f>IF(A117="","",IF(COUNTIF($A$5:$A$1204,A117)&gt;1,"重复",""))</x:f>
      </x:c>
      <x:c r="U117" s="64" t="str">
        <x:f>IF(A117="","",IF(T117="重复","检查重复",IF(OR(R117="有证据",R117="有记录",R117="持续跟踪"),"可追踪","检查")))</x:f>
      </x:c>
    </x:row>
    <x:row r="118">
      <x:c r="A118" s="62"/>
      <x:c r="B118" s="62"/>
      <x:c r="C118" s="62"/>
      <x:c r="D118" s="66"/>
      <x:c r="E118" s="68"/>
      <x:c r="F118" s="62"/>
      <x:c r="G118" s="62"/>
      <x:c r="H118" s="62"/>
      <x:c r="I118" s="62"/>
      <x:c r="J118" s="62"/>
      <x:c r="K118" s="62"/>
      <x:c r="L118" s="62"/>
      <x:c r="M118" s="68"/>
      <x:c r="N118" s="68"/>
      <x:c r="O118" s="68"/>
      <x:c r="P118" s="71" t="str">
        <x:f>IF(A118="","",IF(N118&gt;0,N118,M118))</x:f>
      </x:c>
      <x:c r="Q118" s="72" t="n">
        <x:f>IF(A118="",0,IF(COUNTIF($A$5:A118,A118)=1,1,0))</x:f>
        <x:v>0</x:v>
      </x:c>
      <x:c r="R118" s="64" t="str">
        <x:f>IF(A118="","",IF(F118="C118成功",IF(AND(J118&lt;&gt;"",K118&lt;&gt;"",N118&gt;0),"有证据","缺C118证据"),IF(F118="C118发货确认中",IF(AND(J118&lt;&gt;"",K118&lt;&gt;""),"有证据","缺C118证据"),IF(F118="手动完结",IF(OR(L118&lt;&gt;"",O118&lt;&gt;"",S118&lt;&gt;""),"有记录","缺手工证据"),IF(OR(F118="卖出待补仓",F118="提交结果待确认",F118="异常待处理"),"持续跟踪","检查状态")))))</x:f>
      </x:c>
      <x:c r="T118" s="64" t="str">
        <x:f>IF(A118="","",IF(COUNTIF($A$5:$A$1204,A118)&gt;1,"重复",""))</x:f>
      </x:c>
      <x:c r="U118" s="64" t="str">
        <x:f>IF(A118="","",IF(T118="重复","检查重复",IF(OR(R118="有证据",R118="有记录",R118="持续跟踪"),"可追踪","检查")))</x:f>
      </x:c>
    </x:row>
    <x:row r="119">
      <x:c r="A119" s="62"/>
      <x:c r="B119" s="62"/>
      <x:c r="C119" s="62"/>
      <x:c r="D119" s="66"/>
      <x:c r="E119" s="68"/>
      <x:c r="F119" s="62"/>
      <x:c r="G119" s="62"/>
      <x:c r="H119" s="62"/>
      <x:c r="I119" s="62"/>
      <x:c r="J119" s="62"/>
      <x:c r="K119" s="62"/>
      <x:c r="L119" s="62"/>
      <x:c r="M119" s="68"/>
      <x:c r="N119" s="68"/>
      <x:c r="O119" s="68"/>
      <x:c r="P119" s="71" t="str">
        <x:f>IF(A119="","",IF(N119&gt;0,N119,M119))</x:f>
      </x:c>
      <x:c r="Q119" s="72" t="n">
        <x:f>IF(A119="",0,IF(COUNTIF($A$5:A119,A119)=1,1,0))</x:f>
        <x:v>0</x:v>
      </x:c>
      <x:c r="R119" s="64" t="str">
        <x:f>IF(A119="","",IF(F119="C119成功",IF(AND(J119&lt;&gt;"",K119&lt;&gt;"",N119&gt;0),"有证据","缺C119证据"),IF(F119="C119发货确认中",IF(AND(J119&lt;&gt;"",K119&lt;&gt;""),"有证据","缺C119证据"),IF(F119="手动完结",IF(OR(L119&lt;&gt;"",O119&lt;&gt;"",S119&lt;&gt;""),"有记录","缺手工证据"),IF(OR(F119="卖出待补仓",F119="提交结果待确认",F119="异常待处理"),"持续跟踪","检查状态")))))</x:f>
      </x:c>
      <x:c r="T119" s="64" t="str">
        <x:f>IF(A119="","",IF(COUNTIF($A$5:$A$1204,A119)&gt;1,"重复",""))</x:f>
      </x:c>
      <x:c r="U119" s="64" t="str">
        <x:f>IF(A119="","",IF(T119="重复","检查重复",IF(OR(R119="有证据",R119="有记录",R119="持续跟踪"),"可追踪","检查")))</x:f>
      </x:c>
    </x:row>
    <x:row r="120">
      <x:c r="A120" s="62"/>
      <x:c r="B120" s="62"/>
      <x:c r="C120" s="62"/>
      <x:c r="D120" s="66"/>
      <x:c r="E120" s="68"/>
      <x:c r="F120" s="62"/>
      <x:c r="G120" s="62"/>
      <x:c r="H120" s="62"/>
      <x:c r="I120" s="62"/>
      <x:c r="J120" s="62"/>
      <x:c r="K120" s="62"/>
      <x:c r="L120" s="62"/>
      <x:c r="M120" s="68"/>
      <x:c r="N120" s="68"/>
      <x:c r="O120" s="68"/>
      <x:c r="P120" s="71" t="str">
        <x:f>IF(A120="","",IF(N120&gt;0,N120,M120))</x:f>
      </x:c>
      <x:c r="Q120" s="72" t="n">
        <x:f>IF(A120="",0,IF(COUNTIF($A$5:A120,A120)=1,1,0))</x:f>
        <x:v>0</x:v>
      </x:c>
      <x:c r="R120" s="64" t="str">
        <x:f>IF(A120="","",IF(F120="C120成功",IF(AND(J120&lt;&gt;"",K120&lt;&gt;"",N120&gt;0),"有证据","缺C120证据"),IF(F120="C120发货确认中",IF(AND(J120&lt;&gt;"",K120&lt;&gt;""),"有证据","缺C120证据"),IF(F120="手动完结",IF(OR(L120&lt;&gt;"",O120&lt;&gt;"",S120&lt;&gt;""),"有记录","缺手工证据"),IF(OR(F120="卖出待补仓",F120="提交结果待确认",F120="异常待处理"),"持续跟踪","检查状态")))))</x:f>
      </x:c>
      <x:c r="T120" s="64" t="str">
        <x:f>IF(A120="","",IF(COUNTIF($A$5:$A$1204,A120)&gt;1,"重复",""))</x:f>
      </x:c>
      <x:c r="U120" s="64" t="str">
        <x:f>IF(A120="","",IF(T120="重复","检查重复",IF(OR(R120="有证据",R120="有记录",R120="持续跟踪"),"可追踪","检查")))</x:f>
      </x:c>
    </x:row>
    <x:row r="121">
      <x:c r="A121" s="62"/>
      <x:c r="B121" s="62"/>
      <x:c r="C121" s="62"/>
      <x:c r="D121" s="66"/>
      <x:c r="E121" s="68"/>
      <x:c r="F121" s="62"/>
      <x:c r="G121" s="62"/>
      <x:c r="H121" s="62"/>
      <x:c r="I121" s="62"/>
      <x:c r="J121" s="62"/>
      <x:c r="K121" s="62"/>
      <x:c r="L121" s="62"/>
      <x:c r="M121" s="68"/>
      <x:c r="N121" s="68"/>
      <x:c r="O121" s="68"/>
      <x:c r="P121" s="71" t="str">
        <x:f>IF(A121="","",IF(N121&gt;0,N121,M121))</x:f>
      </x:c>
      <x:c r="Q121" s="72" t="n">
        <x:f>IF(A121="",0,IF(COUNTIF($A$5:A121,A121)=1,1,0))</x:f>
        <x:v>0</x:v>
      </x:c>
      <x:c r="R121" s="64" t="str">
        <x:f>IF(A121="","",IF(F121="C121成功",IF(AND(J121&lt;&gt;"",K121&lt;&gt;"",N121&gt;0),"有证据","缺C121证据"),IF(F121="C121发货确认中",IF(AND(J121&lt;&gt;"",K121&lt;&gt;""),"有证据","缺C121证据"),IF(F121="手动完结",IF(OR(L121&lt;&gt;"",O121&lt;&gt;"",S121&lt;&gt;""),"有记录","缺手工证据"),IF(OR(F121="卖出待补仓",F121="提交结果待确认",F121="异常待处理"),"持续跟踪","检查状态")))))</x:f>
      </x:c>
      <x:c r="T121" s="64" t="str">
        <x:f>IF(A121="","",IF(COUNTIF($A$5:$A$1204,A121)&gt;1,"重复",""))</x:f>
      </x:c>
      <x:c r="U121" s="64" t="str">
        <x:f>IF(A121="","",IF(T121="重复","检查重复",IF(OR(R121="有证据",R121="有记录",R121="持续跟踪"),"可追踪","检查")))</x:f>
      </x:c>
    </x:row>
    <x:row r="122">
      <x:c r="A122" s="62"/>
      <x:c r="B122" s="62"/>
      <x:c r="C122" s="62"/>
      <x:c r="D122" s="66"/>
      <x:c r="E122" s="68"/>
      <x:c r="F122" s="62"/>
      <x:c r="G122" s="62"/>
      <x:c r="H122" s="62"/>
      <x:c r="I122" s="62"/>
      <x:c r="J122" s="62"/>
      <x:c r="K122" s="62"/>
      <x:c r="L122" s="62"/>
      <x:c r="M122" s="68"/>
      <x:c r="N122" s="68"/>
      <x:c r="O122" s="68"/>
      <x:c r="P122" s="71" t="str">
        <x:f>IF(A122="","",IF(N122&gt;0,N122,M122))</x:f>
      </x:c>
      <x:c r="Q122" s="72" t="n">
        <x:f>IF(A122="",0,IF(COUNTIF($A$5:A122,A122)=1,1,0))</x:f>
        <x:v>0</x:v>
      </x:c>
      <x:c r="R122" s="64" t="str">
        <x:f>IF(A122="","",IF(F122="C122成功",IF(AND(J122&lt;&gt;"",K122&lt;&gt;"",N122&gt;0),"有证据","缺C122证据"),IF(F122="C122发货确认中",IF(AND(J122&lt;&gt;"",K122&lt;&gt;""),"有证据","缺C122证据"),IF(F122="手动完结",IF(OR(L122&lt;&gt;"",O122&lt;&gt;"",S122&lt;&gt;""),"有记录","缺手工证据"),IF(OR(F122="卖出待补仓",F122="提交结果待确认",F122="异常待处理"),"持续跟踪","检查状态")))))</x:f>
      </x:c>
      <x:c r="T122" s="64" t="str">
        <x:f>IF(A122="","",IF(COUNTIF($A$5:$A$1204,A122)&gt;1,"重复",""))</x:f>
      </x:c>
      <x:c r="U122" s="64" t="str">
        <x:f>IF(A122="","",IF(T122="重复","检查重复",IF(OR(R122="有证据",R122="有记录",R122="持续跟踪"),"可追踪","检查")))</x:f>
      </x:c>
    </x:row>
    <x:row r="123">
      <x:c r="A123" s="62"/>
      <x:c r="B123" s="62"/>
      <x:c r="C123" s="62"/>
      <x:c r="D123" s="66"/>
      <x:c r="E123" s="68"/>
      <x:c r="F123" s="62"/>
      <x:c r="G123" s="62"/>
      <x:c r="H123" s="62"/>
      <x:c r="I123" s="62"/>
      <x:c r="J123" s="62"/>
      <x:c r="K123" s="62"/>
      <x:c r="L123" s="62"/>
      <x:c r="M123" s="68"/>
      <x:c r="N123" s="68"/>
      <x:c r="O123" s="68"/>
      <x:c r="P123" s="71" t="str">
        <x:f>IF(A123="","",IF(N123&gt;0,N123,M123))</x:f>
      </x:c>
      <x:c r="Q123" s="72" t="n">
        <x:f>IF(A123="",0,IF(COUNTIF($A$5:A123,A123)=1,1,0))</x:f>
        <x:v>0</x:v>
      </x:c>
      <x:c r="R123" s="64" t="str">
        <x:f>IF(A123="","",IF(F123="C123成功",IF(AND(J123&lt;&gt;"",K123&lt;&gt;"",N123&gt;0),"有证据","缺C123证据"),IF(F123="C123发货确认中",IF(AND(J123&lt;&gt;"",K123&lt;&gt;""),"有证据","缺C123证据"),IF(F123="手动完结",IF(OR(L123&lt;&gt;"",O123&lt;&gt;"",S123&lt;&gt;""),"有记录","缺手工证据"),IF(OR(F123="卖出待补仓",F123="提交结果待确认",F123="异常待处理"),"持续跟踪","检查状态")))))</x:f>
      </x:c>
      <x:c r="T123" s="64" t="str">
        <x:f>IF(A123="","",IF(COUNTIF($A$5:$A$1204,A123)&gt;1,"重复",""))</x:f>
      </x:c>
      <x:c r="U123" s="64" t="str">
        <x:f>IF(A123="","",IF(T123="重复","检查重复",IF(OR(R123="有证据",R123="有记录",R123="持续跟踪"),"可追踪","检查")))</x:f>
      </x:c>
    </x:row>
    <x:row r="124">
      <x:c r="A124" s="62"/>
      <x:c r="B124" s="62"/>
      <x:c r="C124" s="62"/>
      <x:c r="D124" s="66"/>
      <x:c r="E124" s="68"/>
      <x:c r="F124" s="62"/>
      <x:c r="G124" s="62"/>
      <x:c r="H124" s="62"/>
      <x:c r="I124" s="62"/>
      <x:c r="J124" s="62"/>
      <x:c r="K124" s="62"/>
      <x:c r="L124" s="62"/>
      <x:c r="M124" s="68"/>
      <x:c r="N124" s="68"/>
      <x:c r="O124" s="68"/>
      <x:c r="P124" s="71" t="str">
        <x:f>IF(A124="","",IF(N124&gt;0,N124,M124))</x:f>
      </x:c>
      <x:c r="Q124" s="72" t="n">
        <x:f>IF(A124="",0,IF(COUNTIF($A$5:A124,A124)=1,1,0))</x:f>
        <x:v>0</x:v>
      </x:c>
      <x:c r="R124" s="64" t="str">
        <x:f>IF(A124="","",IF(F124="C124成功",IF(AND(J124&lt;&gt;"",K124&lt;&gt;"",N124&gt;0),"有证据","缺C124证据"),IF(F124="C124发货确认中",IF(AND(J124&lt;&gt;"",K124&lt;&gt;""),"有证据","缺C124证据"),IF(F124="手动完结",IF(OR(L124&lt;&gt;"",O124&lt;&gt;"",S124&lt;&gt;""),"有记录","缺手工证据"),IF(OR(F124="卖出待补仓",F124="提交结果待确认",F124="异常待处理"),"持续跟踪","检查状态")))))</x:f>
      </x:c>
      <x:c r="T124" s="64" t="str">
        <x:f>IF(A124="","",IF(COUNTIF($A$5:$A$1204,A124)&gt;1,"重复",""))</x:f>
      </x:c>
      <x:c r="U124" s="64" t="str">
        <x:f>IF(A124="","",IF(T124="重复","检查重复",IF(OR(R124="有证据",R124="有记录",R124="持续跟踪"),"可追踪","检查")))</x:f>
      </x:c>
    </x:row>
    <x:row r="125">
      <x:c r="A125" s="62"/>
      <x:c r="B125" s="62"/>
      <x:c r="C125" s="62"/>
      <x:c r="D125" s="66"/>
      <x:c r="E125" s="68"/>
      <x:c r="F125" s="62"/>
      <x:c r="G125" s="62"/>
      <x:c r="H125" s="62"/>
      <x:c r="I125" s="62"/>
      <x:c r="J125" s="62"/>
      <x:c r="K125" s="62"/>
      <x:c r="L125" s="62"/>
      <x:c r="M125" s="68"/>
      <x:c r="N125" s="68"/>
      <x:c r="O125" s="68"/>
      <x:c r="P125" s="71" t="str">
        <x:f>IF(A125="","",IF(N125&gt;0,N125,M125))</x:f>
      </x:c>
      <x:c r="Q125" s="72" t="n">
        <x:f>IF(A125="",0,IF(COUNTIF($A$5:A125,A125)=1,1,0))</x:f>
        <x:v>0</x:v>
      </x:c>
      <x:c r="R125" s="64" t="str">
        <x:f>IF(A125="","",IF(F125="C125成功",IF(AND(J125&lt;&gt;"",K125&lt;&gt;"",N125&gt;0),"有证据","缺C125证据"),IF(F125="C125发货确认中",IF(AND(J125&lt;&gt;"",K125&lt;&gt;""),"有证据","缺C125证据"),IF(F125="手动完结",IF(OR(L125&lt;&gt;"",O125&lt;&gt;"",S125&lt;&gt;""),"有记录","缺手工证据"),IF(OR(F125="卖出待补仓",F125="提交结果待确认",F125="异常待处理"),"持续跟踪","检查状态")))))</x:f>
      </x:c>
      <x:c r="T125" s="64" t="str">
        <x:f>IF(A125="","",IF(COUNTIF($A$5:$A$1204,A125)&gt;1,"重复",""))</x:f>
      </x:c>
      <x:c r="U125" s="64" t="str">
        <x:f>IF(A125="","",IF(T125="重复","检查重复",IF(OR(R125="有证据",R125="有记录",R125="持续跟踪"),"可追踪","检查")))</x:f>
      </x:c>
    </x:row>
    <x:row r="126">
      <x:c r="A126" s="62"/>
      <x:c r="B126" s="62"/>
      <x:c r="C126" s="62"/>
      <x:c r="D126" s="66"/>
      <x:c r="E126" s="68"/>
      <x:c r="F126" s="62"/>
      <x:c r="G126" s="62"/>
      <x:c r="H126" s="62"/>
      <x:c r="I126" s="62"/>
      <x:c r="J126" s="62"/>
      <x:c r="K126" s="62"/>
      <x:c r="L126" s="62"/>
      <x:c r="M126" s="68"/>
      <x:c r="N126" s="68"/>
      <x:c r="O126" s="68"/>
      <x:c r="P126" s="71" t="str">
        <x:f>IF(A126="","",IF(N126&gt;0,N126,M126))</x:f>
      </x:c>
      <x:c r="Q126" s="72" t="n">
        <x:f>IF(A126="",0,IF(COUNTIF($A$5:A126,A126)=1,1,0))</x:f>
        <x:v>0</x:v>
      </x:c>
      <x:c r="R126" s="64" t="str">
        <x:f>IF(A126="","",IF(F126="C126成功",IF(AND(J126&lt;&gt;"",K126&lt;&gt;"",N126&gt;0),"有证据","缺C126证据"),IF(F126="C126发货确认中",IF(AND(J126&lt;&gt;"",K126&lt;&gt;""),"有证据","缺C126证据"),IF(F126="手动完结",IF(OR(L126&lt;&gt;"",O126&lt;&gt;"",S126&lt;&gt;""),"有记录","缺手工证据"),IF(OR(F126="卖出待补仓",F126="提交结果待确认",F126="异常待处理"),"持续跟踪","检查状态")))))</x:f>
      </x:c>
      <x:c r="T126" s="64" t="str">
        <x:f>IF(A126="","",IF(COUNTIF($A$5:$A$1204,A126)&gt;1,"重复",""))</x:f>
      </x:c>
      <x:c r="U126" s="64" t="str">
        <x:f>IF(A126="","",IF(T126="重复","检查重复",IF(OR(R126="有证据",R126="有记录",R126="持续跟踪"),"可追踪","检查")))</x:f>
      </x:c>
    </x:row>
    <x:row r="127">
      <x:c r="A127" s="62"/>
      <x:c r="B127" s="62"/>
      <x:c r="C127" s="62"/>
      <x:c r="D127" s="66"/>
      <x:c r="E127" s="68"/>
      <x:c r="F127" s="62"/>
      <x:c r="G127" s="62"/>
      <x:c r="H127" s="62"/>
      <x:c r="I127" s="62"/>
      <x:c r="J127" s="62"/>
      <x:c r="K127" s="62"/>
      <x:c r="L127" s="62"/>
      <x:c r="M127" s="68"/>
      <x:c r="N127" s="68"/>
      <x:c r="O127" s="68"/>
      <x:c r="P127" s="71" t="str">
        <x:f>IF(A127="","",IF(N127&gt;0,N127,M127))</x:f>
      </x:c>
      <x:c r="Q127" s="72" t="n">
        <x:f>IF(A127="",0,IF(COUNTIF($A$5:A127,A127)=1,1,0))</x:f>
        <x:v>0</x:v>
      </x:c>
      <x:c r="R127" s="64" t="str">
        <x:f>IF(A127="","",IF(F127="C127成功",IF(AND(J127&lt;&gt;"",K127&lt;&gt;"",N127&gt;0),"有证据","缺C127证据"),IF(F127="C127发货确认中",IF(AND(J127&lt;&gt;"",K127&lt;&gt;""),"有证据","缺C127证据"),IF(F127="手动完结",IF(OR(L127&lt;&gt;"",O127&lt;&gt;"",S127&lt;&gt;""),"有记录","缺手工证据"),IF(OR(F127="卖出待补仓",F127="提交结果待确认",F127="异常待处理"),"持续跟踪","检查状态")))))</x:f>
      </x:c>
      <x:c r="T127" s="64" t="str">
        <x:f>IF(A127="","",IF(COUNTIF($A$5:$A$1204,A127)&gt;1,"重复",""))</x:f>
      </x:c>
      <x:c r="U127" s="64" t="str">
        <x:f>IF(A127="","",IF(T127="重复","检查重复",IF(OR(R127="有证据",R127="有记录",R127="持续跟踪"),"可追踪","检查")))</x:f>
      </x:c>
    </x:row>
    <x:row r="128">
      <x:c r="A128" s="62"/>
      <x:c r="B128" s="62"/>
      <x:c r="C128" s="62"/>
      <x:c r="D128" s="66"/>
      <x:c r="E128" s="68"/>
      <x:c r="F128" s="62"/>
      <x:c r="G128" s="62"/>
      <x:c r="H128" s="62"/>
      <x:c r="I128" s="62"/>
      <x:c r="J128" s="62"/>
      <x:c r="K128" s="62"/>
      <x:c r="L128" s="62"/>
      <x:c r="M128" s="68"/>
      <x:c r="N128" s="68"/>
      <x:c r="O128" s="68"/>
      <x:c r="P128" s="71" t="str">
        <x:f>IF(A128="","",IF(N128&gt;0,N128,M128))</x:f>
      </x:c>
      <x:c r="Q128" s="72" t="n">
        <x:f>IF(A128="",0,IF(COUNTIF($A$5:A128,A128)=1,1,0))</x:f>
        <x:v>0</x:v>
      </x:c>
      <x:c r="R128" s="64" t="str">
        <x:f>IF(A128="","",IF(F128="C128成功",IF(AND(J128&lt;&gt;"",K128&lt;&gt;"",N128&gt;0),"有证据","缺C128证据"),IF(F128="C128发货确认中",IF(AND(J128&lt;&gt;"",K128&lt;&gt;""),"有证据","缺C128证据"),IF(F128="手动完结",IF(OR(L128&lt;&gt;"",O128&lt;&gt;"",S128&lt;&gt;""),"有记录","缺手工证据"),IF(OR(F128="卖出待补仓",F128="提交结果待确认",F128="异常待处理"),"持续跟踪","检查状态")))))</x:f>
      </x:c>
      <x:c r="T128" s="64" t="str">
        <x:f>IF(A128="","",IF(COUNTIF($A$5:$A$1204,A128)&gt;1,"重复",""))</x:f>
      </x:c>
      <x:c r="U128" s="64" t="str">
        <x:f>IF(A128="","",IF(T128="重复","检查重复",IF(OR(R128="有证据",R128="有记录",R128="持续跟踪"),"可追踪","检查")))</x:f>
      </x:c>
    </x:row>
    <x:row r="129">
      <x:c r="A129" s="62"/>
      <x:c r="B129" s="62"/>
      <x:c r="C129" s="62"/>
      <x:c r="D129" s="66"/>
      <x:c r="E129" s="68"/>
      <x:c r="F129" s="62"/>
      <x:c r="G129" s="62"/>
      <x:c r="H129" s="62"/>
      <x:c r="I129" s="62"/>
      <x:c r="J129" s="62"/>
      <x:c r="K129" s="62"/>
      <x:c r="L129" s="62"/>
      <x:c r="M129" s="68"/>
      <x:c r="N129" s="68"/>
      <x:c r="O129" s="68"/>
      <x:c r="P129" s="71" t="str">
        <x:f>IF(A129="","",IF(N129&gt;0,N129,M129))</x:f>
      </x:c>
      <x:c r="Q129" s="72" t="n">
        <x:f>IF(A129="",0,IF(COUNTIF($A$5:A129,A129)=1,1,0))</x:f>
        <x:v>0</x:v>
      </x:c>
      <x:c r="R129" s="64" t="str">
        <x:f>IF(A129="","",IF(F129="C129成功",IF(AND(J129&lt;&gt;"",K129&lt;&gt;"",N129&gt;0),"有证据","缺C129证据"),IF(F129="C129发货确认中",IF(AND(J129&lt;&gt;"",K129&lt;&gt;""),"有证据","缺C129证据"),IF(F129="手动完结",IF(OR(L129&lt;&gt;"",O129&lt;&gt;"",S129&lt;&gt;""),"有记录","缺手工证据"),IF(OR(F129="卖出待补仓",F129="提交结果待确认",F129="异常待处理"),"持续跟踪","检查状态")))))</x:f>
      </x:c>
      <x:c r="T129" s="64" t="str">
        <x:f>IF(A129="","",IF(COUNTIF($A$5:$A$1204,A129)&gt;1,"重复",""))</x:f>
      </x:c>
      <x:c r="U129" s="64" t="str">
        <x:f>IF(A129="","",IF(T129="重复","检查重复",IF(OR(R129="有证据",R129="有记录",R129="持续跟踪"),"可追踪","检查")))</x:f>
      </x:c>
    </x:row>
    <x:row r="130">
      <x:c r="A130" s="62"/>
      <x:c r="B130" s="62"/>
      <x:c r="C130" s="62"/>
      <x:c r="D130" s="66"/>
      <x:c r="E130" s="68"/>
      <x:c r="F130" s="62"/>
      <x:c r="G130" s="62"/>
      <x:c r="H130" s="62"/>
      <x:c r="I130" s="62"/>
      <x:c r="J130" s="62"/>
      <x:c r="K130" s="62"/>
      <x:c r="L130" s="62"/>
      <x:c r="M130" s="68"/>
      <x:c r="N130" s="68"/>
      <x:c r="O130" s="68"/>
      <x:c r="P130" s="71" t="str">
        <x:f>IF(A130="","",IF(N130&gt;0,N130,M130))</x:f>
      </x:c>
      <x:c r="Q130" s="72" t="n">
        <x:f>IF(A130="",0,IF(COUNTIF($A$5:A130,A130)=1,1,0))</x:f>
        <x:v>0</x:v>
      </x:c>
      <x:c r="R130" s="64" t="str">
        <x:f>IF(A130="","",IF(F130="C130成功",IF(AND(J130&lt;&gt;"",K130&lt;&gt;"",N130&gt;0),"有证据","缺C130证据"),IF(F130="C130发货确认中",IF(AND(J130&lt;&gt;"",K130&lt;&gt;""),"有证据","缺C130证据"),IF(F130="手动完结",IF(OR(L130&lt;&gt;"",O130&lt;&gt;"",S130&lt;&gt;""),"有记录","缺手工证据"),IF(OR(F130="卖出待补仓",F130="提交结果待确认",F130="异常待处理"),"持续跟踪","检查状态")))))</x:f>
      </x:c>
      <x:c r="T130" s="64" t="str">
        <x:f>IF(A130="","",IF(COUNTIF($A$5:$A$1204,A130)&gt;1,"重复",""))</x:f>
      </x:c>
      <x:c r="U130" s="64" t="str">
        <x:f>IF(A130="","",IF(T130="重复","检查重复",IF(OR(R130="有证据",R130="有记录",R130="持续跟踪"),"可追踪","检查")))</x:f>
      </x:c>
    </x:row>
    <x:row r="131">
      <x:c r="A131" s="62"/>
      <x:c r="B131" s="62"/>
      <x:c r="C131" s="62"/>
      <x:c r="D131" s="66"/>
      <x:c r="E131" s="68"/>
      <x:c r="F131" s="62"/>
      <x:c r="G131" s="62"/>
      <x:c r="H131" s="62"/>
      <x:c r="I131" s="62"/>
      <x:c r="J131" s="62"/>
      <x:c r="K131" s="62"/>
      <x:c r="L131" s="62"/>
      <x:c r="M131" s="68"/>
      <x:c r="N131" s="68"/>
      <x:c r="O131" s="68"/>
      <x:c r="P131" s="71" t="str">
        <x:f>IF(A131="","",IF(N131&gt;0,N131,M131))</x:f>
      </x:c>
      <x:c r="Q131" s="72" t="n">
        <x:f>IF(A131="",0,IF(COUNTIF($A$5:A131,A131)=1,1,0))</x:f>
        <x:v>0</x:v>
      </x:c>
      <x:c r="R131" s="64" t="str">
        <x:f>IF(A131="","",IF(F131="C131成功",IF(AND(J131&lt;&gt;"",K131&lt;&gt;"",N131&gt;0),"有证据","缺C131证据"),IF(F131="C131发货确认中",IF(AND(J131&lt;&gt;"",K131&lt;&gt;""),"有证据","缺C131证据"),IF(F131="手动完结",IF(OR(L131&lt;&gt;"",O131&lt;&gt;"",S131&lt;&gt;""),"有记录","缺手工证据"),IF(OR(F131="卖出待补仓",F131="提交结果待确认",F131="异常待处理"),"持续跟踪","检查状态")))))</x:f>
      </x:c>
      <x:c r="T131" s="64" t="str">
        <x:f>IF(A131="","",IF(COUNTIF($A$5:$A$1204,A131)&gt;1,"重复",""))</x:f>
      </x:c>
      <x:c r="U131" s="64" t="str">
        <x:f>IF(A131="","",IF(T131="重复","检查重复",IF(OR(R131="有证据",R131="有记录",R131="持续跟踪"),"可追踪","检查")))</x:f>
      </x:c>
    </x:row>
    <x:row r="132">
      <x:c r="A132" s="62"/>
      <x:c r="B132" s="62"/>
      <x:c r="C132" s="62"/>
      <x:c r="D132" s="66"/>
      <x:c r="E132" s="68"/>
      <x:c r="F132" s="62"/>
      <x:c r="G132" s="62"/>
      <x:c r="H132" s="62"/>
      <x:c r="I132" s="62"/>
      <x:c r="J132" s="62"/>
      <x:c r="K132" s="62"/>
      <x:c r="L132" s="62"/>
      <x:c r="M132" s="68"/>
      <x:c r="N132" s="68"/>
      <x:c r="O132" s="68"/>
      <x:c r="P132" s="71" t="str">
        <x:f>IF(A132="","",IF(N132&gt;0,N132,M132))</x:f>
      </x:c>
      <x:c r="Q132" s="72" t="n">
        <x:f>IF(A132="",0,IF(COUNTIF($A$5:A132,A132)=1,1,0))</x:f>
        <x:v>0</x:v>
      </x:c>
      <x:c r="R132" s="64" t="str">
        <x:f>IF(A132="","",IF(F132="C132成功",IF(AND(J132&lt;&gt;"",K132&lt;&gt;"",N132&gt;0),"有证据","缺C132证据"),IF(F132="C132发货确认中",IF(AND(J132&lt;&gt;"",K132&lt;&gt;""),"有证据","缺C132证据"),IF(F132="手动完结",IF(OR(L132&lt;&gt;"",O132&lt;&gt;"",S132&lt;&gt;""),"有记录","缺手工证据"),IF(OR(F132="卖出待补仓",F132="提交结果待确认",F132="异常待处理"),"持续跟踪","检查状态")))))</x:f>
      </x:c>
      <x:c r="T132" s="64" t="str">
        <x:f>IF(A132="","",IF(COUNTIF($A$5:$A$1204,A132)&gt;1,"重复",""))</x:f>
      </x:c>
      <x:c r="U132" s="64" t="str">
        <x:f>IF(A132="","",IF(T132="重复","检查重复",IF(OR(R132="有证据",R132="有记录",R132="持续跟踪"),"可追踪","检查")))</x:f>
      </x:c>
    </x:row>
    <x:row r="133">
      <x:c r="A133" s="62"/>
      <x:c r="B133" s="62"/>
      <x:c r="C133" s="62"/>
      <x:c r="D133" s="66"/>
      <x:c r="E133" s="68"/>
      <x:c r="F133" s="62"/>
      <x:c r="G133" s="62"/>
      <x:c r="H133" s="62"/>
      <x:c r="I133" s="62"/>
      <x:c r="J133" s="62"/>
      <x:c r="K133" s="62"/>
      <x:c r="L133" s="62"/>
      <x:c r="M133" s="68"/>
      <x:c r="N133" s="68"/>
      <x:c r="O133" s="68"/>
      <x:c r="P133" s="71" t="str">
        <x:f>IF(A133="","",IF(N133&gt;0,N133,M133))</x:f>
      </x:c>
      <x:c r="Q133" s="72" t="n">
        <x:f>IF(A133="",0,IF(COUNTIF($A$5:A133,A133)=1,1,0))</x:f>
        <x:v>0</x:v>
      </x:c>
      <x:c r="R133" s="64" t="str">
        <x:f>IF(A133="","",IF(F133="C133成功",IF(AND(J133&lt;&gt;"",K133&lt;&gt;"",N133&gt;0),"有证据","缺C133证据"),IF(F133="C133发货确认中",IF(AND(J133&lt;&gt;"",K133&lt;&gt;""),"有证据","缺C133证据"),IF(F133="手动完结",IF(OR(L133&lt;&gt;"",O133&lt;&gt;"",S133&lt;&gt;""),"有记录","缺手工证据"),IF(OR(F133="卖出待补仓",F133="提交结果待确认",F133="异常待处理"),"持续跟踪","检查状态")))))</x:f>
      </x:c>
      <x:c r="T133" s="64" t="str">
        <x:f>IF(A133="","",IF(COUNTIF($A$5:$A$1204,A133)&gt;1,"重复",""))</x:f>
      </x:c>
      <x:c r="U133" s="64" t="str">
        <x:f>IF(A133="","",IF(T133="重复","检查重复",IF(OR(R133="有证据",R133="有记录",R133="持续跟踪"),"可追踪","检查")))</x:f>
      </x:c>
    </x:row>
    <x:row r="134">
      <x:c r="A134" s="62"/>
      <x:c r="B134" s="62"/>
      <x:c r="C134" s="62"/>
      <x:c r="D134" s="66"/>
      <x:c r="E134" s="68"/>
      <x:c r="F134" s="62"/>
      <x:c r="G134" s="62"/>
      <x:c r="H134" s="62"/>
      <x:c r="I134" s="62"/>
      <x:c r="J134" s="62"/>
      <x:c r="K134" s="62"/>
      <x:c r="L134" s="62"/>
      <x:c r="M134" s="68"/>
      <x:c r="N134" s="68"/>
      <x:c r="O134" s="68"/>
      <x:c r="P134" s="71" t="str">
        <x:f>IF(A134="","",IF(N134&gt;0,N134,M134))</x:f>
      </x:c>
      <x:c r="Q134" s="72" t="n">
        <x:f>IF(A134="",0,IF(COUNTIF($A$5:A134,A134)=1,1,0))</x:f>
        <x:v>0</x:v>
      </x:c>
      <x:c r="R134" s="64" t="str">
        <x:f>IF(A134="","",IF(F134="C134成功",IF(AND(J134&lt;&gt;"",K134&lt;&gt;"",N134&gt;0),"有证据","缺C134证据"),IF(F134="C134发货确认中",IF(AND(J134&lt;&gt;"",K134&lt;&gt;""),"有证据","缺C134证据"),IF(F134="手动完结",IF(OR(L134&lt;&gt;"",O134&lt;&gt;"",S134&lt;&gt;""),"有记录","缺手工证据"),IF(OR(F134="卖出待补仓",F134="提交结果待确认",F134="异常待处理"),"持续跟踪","检查状态")))))</x:f>
      </x:c>
      <x:c r="T134" s="64" t="str">
        <x:f>IF(A134="","",IF(COUNTIF($A$5:$A$1204,A134)&gt;1,"重复",""))</x:f>
      </x:c>
      <x:c r="U134" s="64" t="str">
        <x:f>IF(A134="","",IF(T134="重复","检查重复",IF(OR(R134="有证据",R134="有记录",R134="持续跟踪"),"可追踪","检查")))</x:f>
      </x:c>
    </x:row>
    <x:row r="135">
      <x:c r="A135" s="62"/>
      <x:c r="B135" s="62"/>
      <x:c r="C135" s="62"/>
      <x:c r="D135" s="66"/>
      <x:c r="E135" s="68"/>
      <x:c r="F135" s="62"/>
      <x:c r="G135" s="62"/>
      <x:c r="H135" s="62"/>
      <x:c r="I135" s="62"/>
      <x:c r="J135" s="62"/>
      <x:c r="K135" s="62"/>
      <x:c r="L135" s="62"/>
      <x:c r="M135" s="68"/>
      <x:c r="N135" s="68"/>
      <x:c r="O135" s="68"/>
      <x:c r="P135" s="71" t="str">
        <x:f>IF(A135="","",IF(N135&gt;0,N135,M135))</x:f>
      </x:c>
      <x:c r="Q135" s="72" t="n">
        <x:f>IF(A135="",0,IF(COUNTIF($A$5:A135,A135)=1,1,0))</x:f>
        <x:v>0</x:v>
      </x:c>
      <x:c r="R135" s="64" t="str">
        <x:f>IF(A135="","",IF(F135="C135成功",IF(AND(J135&lt;&gt;"",K135&lt;&gt;"",N135&gt;0),"有证据","缺C135证据"),IF(F135="C135发货确认中",IF(AND(J135&lt;&gt;"",K135&lt;&gt;""),"有证据","缺C135证据"),IF(F135="手动完结",IF(OR(L135&lt;&gt;"",O135&lt;&gt;"",S135&lt;&gt;""),"有记录","缺手工证据"),IF(OR(F135="卖出待补仓",F135="提交结果待确认",F135="异常待处理"),"持续跟踪","检查状态")))))</x:f>
      </x:c>
      <x:c r="T135" s="64" t="str">
        <x:f>IF(A135="","",IF(COUNTIF($A$5:$A$1204,A135)&gt;1,"重复",""))</x:f>
      </x:c>
      <x:c r="U135" s="64" t="str">
        <x:f>IF(A135="","",IF(T135="重复","检查重复",IF(OR(R135="有证据",R135="有记录",R135="持续跟踪"),"可追踪","检查")))</x:f>
      </x:c>
    </x:row>
    <x:row r="136">
      <x:c r="A136" s="62"/>
      <x:c r="B136" s="62"/>
      <x:c r="C136" s="62"/>
      <x:c r="D136" s="66"/>
      <x:c r="E136" s="68"/>
      <x:c r="F136" s="62"/>
      <x:c r="G136" s="62"/>
      <x:c r="H136" s="62"/>
      <x:c r="I136" s="62"/>
      <x:c r="J136" s="62"/>
      <x:c r="K136" s="62"/>
      <x:c r="L136" s="62"/>
      <x:c r="M136" s="68"/>
      <x:c r="N136" s="68"/>
      <x:c r="O136" s="68"/>
      <x:c r="P136" s="71" t="str">
        <x:f>IF(A136="","",IF(N136&gt;0,N136,M136))</x:f>
      </x:c>
      <x:c r="Q136" s="72" t="n">
        <x:f>IF(A136="",0,IF(COUNTIF($A$5:A136,A136)=1,1,0))</x:f>
        <x:v>0</x:v>
      </x:c>
      <x:c r="R136" s="64" t="str">
        <x:f>IF(A136="","",IF(F136="C136成功",IF(AND(J136&lt;&gt;"",K136&lt;&gt;"",N136&gt;0),"有证据","缺C136证据"),IF(F136="C136发货确认中",IF(AND(J136&lt;&gt;"",K136&lt;&gt;""),"有证据","缺C136证据"),IF(F136="手动完结",IF(OR(L136&lt;&gt;"",O136&lt;&gt;"",S136&lt;&gt;""),"有记录","缺手工证据"),IF(OR(F136="卖出待补仓",F136="提交结果待确认",F136="异常待处理"),"持续跟踪","检查状态")))))</x:f>
      </x:c>
      <x:c r="T136" s="64" t="str">
        <x:f>IF(A136="","",IF(COUNTIF($A$5:$A$1204,A136)&gt;1,"重复",""))</x:f>
      </x:c>
      <x:c r="U136" s="64" t="str">
        <x:f>IF(A136="","",IF(T136="重复","检查重复",IF(OR(R136="有证据",R136="有记录",R136="持续跟踪"),"可追踪","检查")))</x:f>
      </x:c>
    </x:row>
    <x:row r="137">
      <x:c r="A137" s="62"/>
      <x:c r="B137" s="62"/>
      <x:c r="C137" s="62"/>
      <x:c r="D137" s="66"/>
      <x:c r="E137" s="68"/>
      <x:c r="F137" s="62"/>
      <x:c r="G137" s="62"/>
      <x:c r="H137" s="62"/>
      <x:c r="I137" s="62"/>
      <x:c r="J137" s="62"/>
      <x:c r="K137" s="62"/>
      <x:c r="L137" s="62"/>
      <x:c r="M137" s="68"/>
      <x:c r="N137" s="68"/>
      <x:c r="O137" s="68"/>
      <x:c r="P137" s="71" t="str">
        <x:f>IF(A137="","",IF(N137&gt;0,N137,M137))</x:f>
      </x:c>
      <x:c r="Q137" s="72" t="n">
        <x:f>IF(A137="",0,IF(COUNTIF($A$5:A137,A137)=1,1,0))</x:f>
        <x:v>0</x:v>
      </x:c>
      <x:c r="R137" s="64" t="str">
        <x:f>IF(A137="","",IF(F137="C137成功",IF(AND(J137&lt;&gt;"",K137&lt;&gt;"",N137&gt;0),"有证据","缺C137证据"),IF(F137="C137发货确认中",IF(AND(J137&lt;&gt;"",K137&lt;&gt;""),"有证据","缺C137证据"),IF(F137="手动完结",IF(OR(L137&lt;&gt;"",O137&lt;&gt;"",S137&lt;&gt;""),"有记录","缺手工证据"),IF(OR(F137="卖出待补仓",F137="提交结果待确认",F137="异常待处理"),"持续跟踪","检查状态")))))</x:f>
      </x:c>
      <x:c r="T137" s="64" t="str">
        <x:f>IF(A137="","",IF(COUNTIF($A$5:$A$1204,A137)&gt;1,"重复",""))</x:f>
      </x:c>
      <x:c r="U137" s="64" t="str">
        <x:f>IF(A137="","",IF(T137="重复","检查重复",IF(OR(R137="有证据",R137="有记录",R137="持续跟踪"),"可追踪","检查")))</x:f>
      </x:c>
    </x:row>
    <x:row r="138">
      <x:c r="A138" s="62"/>
      <x:c r="B138" s="62"/>
      <x:c r="C138" s="62"/>
      <x:c r="D138" s="66"/>
      <x:c r="E138" s="68"/>
      <x:c r="F138" s="62"/>
      <x:c r="G138" s="62"/>
      <x:c r="H138" s="62"/>
      <x:c r="I138" s="62"/>
      <x:c r="J138" s="62"/>
      <x:c r="K138" s="62"/>
      <x:c r="L138" s="62"/>
      <x:c r="M138" s="68"/>
      <x:c r="N138" s="68"/>
      <x:c r="O138" s="68"/>
      <x:c r="P138" s="71" t="str">
        <x:f>IF(A138="","",IF(N138&gt;0,N138,M138))</x:f>
      </x:c>
      <x:c r="Q138" s="72" t="n">
        <x:f>IF(A138="",0,IF(COUNTIF($A$5:A138,A138)=1,1,0))</x:f>
        <x:v>0</x:v>
      </x:c>
      <x:c r="R138" s="64" t="str">
        <x:f>IF(A138="","",IF(F138="C138成功",IF(AND(J138&lt;&gt;"",K138&lt;&gt;"",N138&gt;0),"有证据","缺C138证据"),IF(F138="C138发货确认中",IF(AND(J138&lt;&gt;"",K138&lt;&gt;""),"有证据","缺C138证据"),IF(F138="手动完结",IF(OR(L138&lt;&gt;"",O138&lt;&gt;"",S138&lt;&gt;""),"有记录","缺手工证据"),IF(OR(F138="卖出待补仓",F138="提交结果待确认",F138="异常待处理"),"持续跟踪","检查状态")))))</x:f>
      </x:c>
      <x:c r="T138" s="64" t="str">
        <x:f>IF(A138="","",IF(COUNTIF($A$5:$A$1204,A138)&gt;1,"重复",""))</x:f>
      </x:c>
      <x:c r="U138" s="64" t="str">
        <x:f>IF(A138="","",IF(T138="重复","检查重复",IF(OR(R138="有证据",R138="有记录",R138="持续跟踪"),"可追踪","检查")))</x:f>
      </x:c>
    </x:row>
    <x:row r="139">
      <x:c r="A139" s="62"/>
      <x:c r="B139" s="62"/>
      <x:c r="C139" s="62"/>
      <x:c r="D139" s="66"/>
      <x:c r="E139" s="68"/>
      <x:c r="F139" s="62"/>
      <x:c r="G139" s="62"/>
      <x:c r="H139" s="62"/>
      <x:c r="I139" s="62"/>
      <x:c r="J139" s="62"/>
      <x:c r="K139" s="62"/>
      <x:c r="L139" s="62"/>
      <x:c r="M139" s="68"/>
      <x:c r="N139" s="68"/>
      <x:c r="O139" s="68"/>
      <x:c r="P139" s="71" t="str">
        <x:f>IF(A139="","",IF(N139&gt;0,N139,M139))</x:f>
      </x:c>
      <x:c r="Q139" s="72" t="n">
        <x:f>IF(A139="",0,IF(COUNTIF($A$5:A139,A139)=1,1,0))</x:f>
        <x:v>0</x:v>
      </x:c>
      <x:c r="R139" s="64" t="str">
        <x:f>IF(A139="","",IF(F139="C139成功",IF(AND(J139&lt;&gt;"",K139&lt;&gt;"",N139&gt;0),"有证据","缺C139证据"),IF(F139="C139发货确认中",IF(AND(J139&lt;&gt;"",K139&lt;&gt;""),"有证据","缺C139证据"),IF(F139="手动完结",IF(OR(L139&lt;&gt;"",O139&lt;&gt;"",S139&lt;&gt;""),"有记录","缺手工证据"),IF(OR(F139="卖出待补仓",F139="提交结果待确认",F139="异常待处理"),"持续跟踪","检查状态")))))</x:f>
      </x:c>
      <x:c r="T139" s="64" t="str">
        <x:f>IF(A139="","",IF(COUNTIF($A$5:$A$1204,A139)&gt;1,"重复",""))</x:f>
      </x:c>
      <x:c r="U139" s="64" t="str">
        <x:f>IF(A139="","",IF(T139="重复","检查重复",IF(OR(R139="有证据",R139="有记录",R139="持续跟踪"),"可追踪","检查")))</x:f>
      </x:c>
    </x:row>
    <x:row r="140">
      <x:c r="A140" s="62"/>
      <x:c r="B140" s="62"/>
      <x:c r="C140" s="62"/>
      <x:c r="D140" s="66"/>
      <x:c r="E140" s="68"/>
      <x:c r="F140" s="62"/>
      <x:c r="G140" s="62"/>
      <x:c r="H140" s="62"/>
      <x:c r="I140" s="62"/>
      <x:c r="J140" s="62"/>
      <x:c r="K140" s="62"/>
      <x:c r="L140" s="62"/>
      <x:c r="M140" s="68"/>
      <x:c r="N140" s="68"/>
      <x:c r="O140" s="68"/>
      <x:c r="P140" s="71" t="str">
        <x:f>IF(A140="","",IF(N140&gt;0,N140,M140))</x:f>
      </x:c>
      <x:c r="Q140" s="72" t="n">
        <x:f>IF(A140="",0,IF(COUNTIF($A$5:A140,A140)=1,1,0))</x:f>
        <x:v>0</x:v>
      </x:c>
      <x:c r="R140" s="64" t="str">
        <x:f>IF(A140="","",IF(F140="C140成功",IF(AND(J140&lt;&gt;"",K140&lt;&gt;"",N140&gt;0),"有证据","缺C140证据"),IF(F140="C140发货确认中",IF(AND(J140&lt;&gt;"",K140&lt;&gt;""),"有证据","缺C140证据"),IF(F140="手动完结",IF(OR(L140&lt;&gt;"",O140&lt;&gt;"",S140&lt;&gt;""),"有记录","缺手工证据"),IF(OR(F140="卖出待补仓",F140="提交结果待确认",F140="异常待处理"),"持续跟踪","检查状态")))))</x:f>
      </x:c>
      <x:c r="T140" s="64" t="str">
        <x:f>IF(A140="","",IF(COUNTIF($A$5:$A$1204,A140)&gt;1,"重复",""))</x:f>
      </x:c>
      <x:c r="U140" s="64" t="str">
        <x:f>IF(A140="","",IF(T140="重复","检查重复",IF(OR(R140="有证据",R140="有记录",R140="持续跟踪"),"可追踪","检查")))</x:f>
      </x:c>
    </x:row>
    <x:row r="141">
      <x:c r="A141" s="62"/>
      <x:c r="B141" s="62"/>
      <x:c r="C141" s="62"/>
      <x:c r="D141" s="66"/>
      <x:c r="E141" s="68"/>
      <x:c r="F141" s="62"/>
      <x:c r="G141" s="62"/>
      <x:c r="H141" s="62"/>
      <x:c r="I141" s="62"/>
      <x:c r="J141" s="62"/>
      <x:c r="K141" s="62"/>
      <x:c r="L141" s="62"/>
      <x:c r="M141" s="68"/>
      <x:c r="N141" s="68"/>
      <x:c r="O141" s="68"/>
      <x:c r="P141" s="71" t="str">
        <x:f>IF(A141="","",IF(N141&gt;0,N141,M141))</x:f>
      </x:c>
      <x:c r="Q141" s="72" t="n">
        <x:f>IF(A141="",0,IF(COUNTIF($A$5:A141,A141)=1,1,0))</x:f>
        <x:v>0</x:v>
      </x:c>
      <x:c r="R141" s="64" t="str">
        <x:f>IF(A141="","",IF(F141="C141成功",IF(AND(J141&lt;&gt;"",K141&lt;&gt;"",N141&gt;0),"有证据","缺C141证据"),IF(F141="C141发货确认中",IF(AND(J141&lt;&gt;"",K141&lt;&gt;""),"有证据","缺C141证据"),IF(F141="手动完结",IF(OR(L141&lt;&gt;"",O141&lt;&gt;"",S141&lt;&gt;""),"有记录","缺手工证据"),IF(OR(F141="卖出待补仓",F141="提交结果待确认",F141="异常待处理"),"持续跟踪","检查状态")))))</x:f>
      </x:c>
      <x:c r="T141" s="64" t="str">
        <x:f>IF(A141="","",IF(COUNTIF($A$5:$A$1204,A141)&gt;1,"重复",""))</x:f>
      </x:c>
      <x:c r="U141" s="64" t="str">
        <x:f>IF(A141="","",IF(T141="重复","检查重复",IF(OR(R141="有证据",R141="有记录",R141="持续跟踪"),"可追踪","检查")))</x:f>
      </x:c>
    </x:row>
    <x:row r="142">
      <x:c r="A142" s="62"/>
      <x:c r="B142" s="62"/>
      <x:c r="C142" s="62"/>
      <x:c r="D142" s="66"/>
      <x:c r="E142" s="68"/>
      <x:c r="F142" s="62"/>
      <x:c r="G142" s="62"/>
      <x:c r="H142" s="62"/>
      <x:c r="I142" s="62"/>
      <x:c r="J142" s="62"/>
      <x:c r="K142" s="62"/>
      <x:c r="L142" s="62"/>
      <x:c r="M142" s="68"/>
      <x:c r="N142" s="68"/>
      <x:c r="O142" s="68"/>
      <x:c r="P142" s="71" t="str">
        <x:f>IF(A142="","",IF(N142&gt;0,N142,M142))</x:f>
      </x:c>
      <x:c r="Q142" s="72" t="n">
        <x:f>IF(A142="",0,IF(COUNTIF($A$5:A142,A142)=1,1,0))</x:f>
        <x:v>0</x:v>
      </x:c>
      <x:c r="R142" s="64" t="str">
        <x:f>IF(A142="","",IF(F142="C142成功",IF(AND(J142&lt;&gt;"",K142&lt;&gt;"",N142&gt;0),"有证据","缺C142证据"),IF(F142="C142发货确认中",IF(AND(J142&lt;&gt;"",K142&lt;&gt;""),"有证据","缺C142证据"),IF(F142="手动完结",IF(OR(L142&lt;&gt;"",O142&lt;&gt;"",S142&lt;&gt;""),"有记录","缺手工证据"),IF(OR(F142="卖出待补仓",F142="提交结果待确认",F142="异常待处理"),"持续跟踪","检查状态")))))</x:f>
      </x:c>
      <x:c r="T142" s="64" t="str">
        <x:f>IF(A142="","",IF(COUNTIF($A$5:$A$1204,A142)&gt;1,"重复",""))</x:f>
      </x:c>
      <x:c r="U142" s="64" t="str">
        <x:f>IF(A142="","",IF(T142="重复","检查重复",IF(OR(R142="有证据",R142="有记录",R142="持续跟踪"),"可追踪","检查")))</x:f>
      </x:c>
    </x:row>
    <x:row r="143">
      <x:c r="A143" s="62"/>
      <x:c r="B143" s="62"/>
      <x:c r="C143" s="62"/>
      <x:c r="D143" s="66"/>
      <x:c r="E143" s="68"/>
      <x:c r="F143" s="62"/>
      <x:c r="G143" s="62"/>
      <x:c r="H143" s="62"/>
      <x:c r="I143" s="62"/>
      <x:c r="J143" s="62"/>
      <x:c r="K143" s="62"/>
      <x:c r="L143" s="62"/>
      <x:c r="M143" s="68"/>
      <x:c r="N143" s="68"/>
      <x:c r="O143" s="68"/>
      <x:c r="P143" s="71" t="str">
        <x:f>IF(A143="","",IF(N143&gt;0,N143,M143))</x:f>
      </x:c>
      <x:c r="Q143" s="72" t="n">
        <x:f>IF(A143="",0,IF(COUNTIF($A$5:A143,A143)=1,1,0))</x:f>
        <x:v>0</x:v>
      </x:c>
      <x:c r="R143" s="64" t="str">
        <x:f>IF(A143="","",IF(F143="C143成功",IF(AND(J143&lt;&gt;"",K143&lt;&gt;"",N143&gt;0),"有证据","缺C143证据"),IF(F143="C143发货确认中",IF(AND(J143&lt;&gt;"",K143&lt;&gt;""),"有证据","缺C143证据"),IF(F143="手动完结",IF(OR(L143&lt;&gt;"",O143&lt;&gt;"",S143&lt;&gt;""),"有记录","缺手工证据"),IF(OR(F143="卖出待补仓",F143="提交结果待确认",F143="异常待处理"),"持续跟踪","检查状态")))))</x:f>
      </x:c>
      <x:c r="T143" s="64" t="str">
        <x:f>IF(A143="","",IF(COUNTIF($A$5:$A$1204,A143)&gt;1,"重复",""))</x:f>
      </x:c>
      <x:c r="U143" s="64" t="str">
        <x:f>IF(A143="","",IF(T143="重复","检查重复",IF(OR(R143="有证据",R143="有记录",R143="持续跟踪"),"可追踪","检查")))</x:f>
      </x:c>
    </x:row>
    <x:row r="144">
      <x:c r="A144" s="62"/>
      <x:c r="B144" s="62"/>
      <x:c r="C144" s="62"/>
      <x:c r="D144" s="66"/>
      <x:c r="E144" s="68"/>
      <x:c r="F144" s="62"/>
      <x:c r="G144" s="62"/>
      <x:c r="H144" s="62"/>
      <x:c r="I144" s="62"/>
      <x:c r="J144" s="62"/>
      <x:c r="K144" s="62"/>
      <x:c r="L144" s="62"/>
      <x:c r="M144" s="68"/>
      <x:c r="N144" s="68"/>
      <x:c r="O144" s="68"/>
      <x:c r="P144" s="71" t="str">
        <x:f>IF(A144="","",IF(N144&gt;0,N144,M144))</x:f>
      </x:c>
      <x:c r="Q144" s="72" t="n">
        <x:f>IF(A144="",0,IF(COUNTIF($A$5:A144,A144)=1,1,0))</x:f>
        <x:v>0</x:v>
      </x:c>
      <x:c r="R144" s="64" t="str">
        <x:f>IF(A144="","",IF(F144="C144成功",IF(AND(J144&lt;&gt;"",K144&lt;&gt;"",N144&gt;0),"有证据","缺C144证据"),IF(F144="C144发货确认中",IF(AND(J144&lt;&gt;"",K144&lt;&gt;""),"有证据","缺C144证据"),IF(F144="手动完结",IF(OR(L144&lt;&gt;"",O144&lt;&gt;"",S144&lt;&gt;""),"有记录","缺手工证据"),IF(OR(F144="卖出待补仓",F144="提交结果待确认",F144="异常待处理"),"持续跟踪","检查状态")))))</x:f>
      </x:c>
      <x:c r="T144" s="64" t="str">
        <x:f>IF(A144="","",IF(COUNTIF($A$5:$A$1204,A144)&gt;1,"重复",""))</x:f>
      </x:c>
      <x:c r="U144" s="64" t="str">
        <x:f>IF(A144="","",IF(T144="重复","检查重复",IF(OR(R144="有证据",R144="有记录",R144="持续跟踪"),"可追踪","检查")))</x:f>
      </x:c>
    </x:row>
    <x:row r="145">
      <x:c r="A145" s="62"/>
      <x:c r="B145" s="62"/>
      <x:c r="C145" s="62"/>
      <x:c r="D145" s="66"/>
      <x:c r="E145" s="68"/>
      <x:c r="F145" s="62"/>
      <x:c r="G145" s="62"/>
      <x:c r="H145" s="62"/>
      <x:c r="I145" s="62"/>
      <x:c r="J145" s="62"/>
      <x:c r="K145" s="62"/>
      <x:c r="L145" s="62"/>
      <x:c r="M145" s="68"/>
      <x:c r="N145" s="68"/>
      <x:c r="O145" s="68"/>
      <x:c r="P145" s="71" t="str">
        <x:f>IF(A145="","",IF(N145&gt;0,N145,M145))</x:f>
      </x:c>
      <x:c r="Q145" s="72" t="n">
        <x:f>IF(A145="",0,IF(COUNTIF($A$5:A145,A145)=1,1,0))</x:f>
        <x:v>0</x:v>
      </x:c>
      <x:c r="R145" s="64" t="str">
        <x:f>IF(A145="","",IF(F145="C145成功",IF(AND(J145&lt;&gt;"",K145&lt;&gt;"",N145&gt;0),"有证据","缺C145证据"),IF(F145="C145发货确认中",IF(AND(J145&lt;&gt;"",K145&lt;&gt;""),"有证据","缺C145证据"),IF(F145="手动完结",IF(OR(L145&lt;&gt;"",O145&lt;&gt;"",S145&lt;&gt;""),"有记录","缺手工证据"),IF(OR(F145="卖出待补仓",F145="提交结果待确认",F145="异常待处理"),"持续跟踪","检查状态")))))</x:f>
      </x:c>
      <x:c r="T145" s="64" t="str">
        <x:f>IF(A145="","",IF(COUNTIF($A$5:$A$1204,A145)&gt;1,"重复",""))</x:f>
      </x:c>
      <x:c r="U145" s="64" t="str">
        <x:f>IF(A145="","",IF(T145="重复","检查重复",IF(OR(R145="有证据",R145="有记录",R145="持续跟踪"),"可追踪","检查")))</x:f>
      </x:c>
    </x:row>
    <x:row r="146">
      <x:c r="A146" s="62"/>
      <x:c r="B146" s="62"/>
      <x:c r="C146" s="62"/>
      <x:c r="D146" s="66"/>
      <x:c r="E146" s="68"/>
      <x:c r="F146" s="62"/>
      <x:c r="G146" s="62"/>
      <x:c r="H146" s="62"/>
      <x:c r="I146" s="62"/>
      <x:c r="J146" s="62"/>
      <x:c r="K146" s="62"/>
      <x:c r="L146" s="62"/>
      <x:c r="M146" s="68"/>
      <x:c r="N146" s="68"/>
      <x:c r="O146" s="68"/>
      <x:c r="P146" s="71" t="str">
        <x:f>IF(A146="","",IF(N146&gt;0,N146,M146))</x:f>
      </x:c>
      <x:c r="Q146" s="72" t="n">
        <x:f>IF(A146="",0,IF(COUNTIF($A$5:A146,A146)=1,1,0))</x:f>
        <x:v>0</x:v>
      </x:c>
      <x:c r="R146" s="64" t="str">
        <x:f>IF(A146="","",IF(F146="C146成功",IF(AND(J146&lt;&gt;"",K146&lt;&gt;"",N146&gt;0),"有证据","缺C146证据"),IF(F146="C146发货确认中",IF(AND(J146&lt;&gt;"",K146&lt;&gt;""),"有证据","缺C146证据"),IF(F146="手动完结",IF(OR(L146&lt;&gt;"",O146&lt;&gt;"",S146&lt;&gt;""),"有记录","缺手工证据"),IF(OR(F146="卖出待补仓",F146="提交结果待确认",F146="异常待处理"),"持续跟踪","检查状态")))))</x:f>
      </x:c>
      <x:c r="T146" s="64" t="str">
        <x:f>IF(A146="","",IF(COUNTIF($A$5:$A$1204,A146)&gt;1,"重复",""))</x:f>
      </x:c>
      <x:c r="U146" s="64" t="str">
        <x:f>IF(A146="","",IF(T146="重复","检查重复",IF(OR(R146="有证据",R146="有记录",R146="持续跟踪"),"可追踪","检查")))</x:f>
      </x:c>
    </x:row>
    <x:row r="147">
      <x:c r="A147" s="62"/>
      <x:c r="B147" s="62"/>
      <x:c r="C147" s="62"/>
      <x:c r="D147" s="66"/>
      <x:c r="E147" s="68"/>
      <x:c r="F147" s="62"/>
      <x:c r="G147" s="62"/>
      <x:c r="H147" s="62"/>
      <x:c r="I147" s="62"/>
      <x:c r="J147" s="62"/>
      <x:c r="K147" s="62"/>
      <x:c r="L147" s="62"/>
      <x:c r="M147" s="68"/>
      <x:c r="N147" s="68"/>
      <x:c r="O147" s="68"/>
      <x:c r="P147" s="71" t="str">
        <x:f>IF(A147="","",IF(N147&gt;0,N147,M147))</x:f>
      </x:c>
      <x:c r="Q147" s="72" t="n">
        <x:f>IF(A147="",0,IF(COUNTIF($A$5:A147,A147)=1,1,0))</x:f>
        <x:v>0</x:v>
      </x:c>
      <x:c r="R147" s="64" t="str">
        <x:f>IF(A147="","",IF(F147="C147成功",IF(AND(J147&lt;&gt;"",K147&lt;&gt;"",N147&gt;0),"有证据","缺C147证据"),IF(F147="C147发货确认中",IF(AND(J147&lt;&gt;"",K147&lt;&gt;""),"有证据","缺C147证据"),IF(F147="手动完结",IF(OR(L147&lt;&gt;"",O147&lt;&gt;"",S147&lt;&gt;""),"有记录","缺手工证据"),IF(OR(F147="卖出待补仓",F147="提交结果待确认",F147="异常待处理"),"持续跟踪","检查状态")))))</x:f>
      </x:c>
      <x:c r="T147" s="64" t="str">
        <x:f>IF(A147="","",IF(COUNTIF($A$5:$A$1204,A147)&gt;1,"重复",""))</x:f>
      </x:c>
      <x:c r="U147" s="64" t="str">
        <x:f>IF(A147="","",IF(T147="重复","检查重复",IF(OR(R147="有证据",R147="有记录",R147="持续跟踪"),"可追踪","检查")))</x:f>
      </x:c>
    </x:row>
    <x:row r="148">
      <x:c r="A148" s="62"/>
      <x:c r="B148" s="62"/>
      <x:c r="C148" s="62"/>
      <x:c r="D148" s="66"/>
      <x:c r="E148" s="68"/>
      <x:c r="F148" s="62"/>
      <x:c r="G148" s="62"/>
      <x:c r="H148" s="62"/>
      <x:c r="I148" s="62"/>
      <x:c r="J148" s="62"/>
      <x:c r="K148" s="62"/>
      <x:c r="L148" s="62"/>
      <x:c r="M148" s="68"/>
      <x:c r="N148" s="68"/>
      <x:c r="O148" s="68"/>
      <x:c r="P148" s="71" t="str">
        <x:f>IF(A148="","",IF(N148&gt;0,N148,M148))</x:f>
      </x:c>
      <x:c r="Q148" s="72" t="n">
        <x:f>IF(A148="",0,IF(COUNTIF($A$5:A148,A148)=1,1,0))</x:f>
        <x:v>0</x:v>
      </x:c>
      <x:c r="R148" s="64" t="str">
        <x:f>IF(A148="","",IF(F148="C148成功",IF(AND(J148&lt;&gt;"",K148&lt;&gt;"",N148&gt;0),"有证据","缺C148证据"),IF(F148="C148发货确认中",IF(AND(J148&lt;&gt;"",K148&lt;&gt;""),"有证据","缺C148证据"),IF(F148="手动完结",IF(OR(L148&lt;&gt;"",O148&lt;&gt;"",S148&lt;&gt;""),"有记录","缺手工证据"),IF(OR(F148="卖出待补仓",F148="提交结果待确认",F148="异常待处理"),"持续跟踪","检查状态")))))</x:f>
      </x:c>
      <x:c r="T148" s="64" t="str">
        <x:f>IF(A148="","",IF(COUNTIF($A$5:$A$1204,A148)&gt;1,"重复",""))</x:f>
      </x:c>
      <x:c r="U148" s="64" t="str">
        <x:f>IF(A148="","",IF(T148="重复","检查重复",IF(OR(R148="有证据",R148="有记录",R148="持续跟踪"),"可追踪","检查")))</x:f>
      </x:c>
    </x:row>
    <x:row r="149">
      <x:c r="A149" s="62"/>
      <x:c r="B149" s="62"/>
      <x:c r="C149" s="62"/>
      <x:c r="D149" s="66"/>
      <x:c r="E149" s="68"/>
      <x:c r="F149" s="62"/>
      <x:c r="G149" s="62"/>
      <x:c r="H149" s="62"/>
      <x:c r="I149" s="62"/>
      <x:c r="J149" s="62"/>
      <x:c r="K149" s="62"/>
      <x:c r="L149" s="62"/>
      <x:c r="M149" s="68"/>
      <x:c r="N149" s="68"/>
      <x:c r="O149" s="68"/>
      <x:c r="P149" s="71" t="str">
        <x:f>IF(A149="","",IF(N149&gt;0,N149,M149))</x:f>
      </x:c>
      <x:c r="Q149" s="72" t="n">
        <x:f>IF(A149="",0,IF(COUNTIF($A$5:A149,A149)=1,1,0))</x:f>
        <x:v>0</x:v>
      </x:c>
      <x:c r="R149" s="64" t="str">
        <x:f>IF(A149="","",IF(F149="C149成功",IF(AND(J149&lt;&gt;"",K149&lt;&gt;"",N149&gt;0),"有证据","缺C149证据"),IF(F149="C149发货确认中",IF(AND(J149&lt;&gt;"",K149&lt;&gt;""),"有证据","缺C149证据"),IF(F149="手动完结",IF(OR(L149&lt;&gt;"",O149&lt;&gt;"",S149&lt;&gt;""),"有记录","缺手工证据"),IF(OR(F149="卖出待补仓",F149="提交结果待确认",F149="异常待处理"),"持续跟踪","检查状态")))))</x:f>
      </x:c>
      <x:c r="T149" s="64" t="str">
        <x:f>IF(A149="","",IF(COUNTIF($A$5:$A$1204,A149)&gt;1,"重复",""))</x:f>
      </x:c>
      <x:c r="U149" s="64" t="str">
        <x:f>IF(A149="","",IF(T149="重复","检查重复",IF(OR(R149="有证据",R149="有记录",R149="持续跟踪"),"可追踪","检查")))</x:f>
      </x:c>
    </x:row>
    <x:row r="150">
      <x:c r="A150" s="62"/>
      <x:c r="B150" s="62"/>
      <x:c r="C150" s="62"/>
      <x:c r="D150" s="66"/>
      <x:c r="E150" s="68"/>
      <x:c r="F150" s="62"/>
      <x:c r="G150" s="62"/>
      <x:c r="H150" s="62"/>
      <x:c r="I150" s="62"/>
      <x:c r="J150" s="62"/>
      <x:c r="K150" s="62"/>
      <x:c r="L150" s="62"/>
      <x:c r="M150" s="68"/>
      <x:c r="N150" s="68"/>
      <x:c r="O150" s="68"/>
      <x:c r="P150" s="71" t="str">
        <x:f>IF(A150="","",IF(N150&gt;0,N150,M150))</x:f>
      </x:c>
      <x:c r="Q150" s="72" t="n">
        <x:f>IF(A150="",0,IF(COUNTIF($A$5:A150,A150)=1,1,0))</x:f>
        <x:v>0</x:v>
      </x:c>
      <x:c r="R150" s="64" t="str">
        <x:f>IF(A150="","",IF(F150="C150成功",IF(AND(J150&lt;&gt;"",K150&lt;&gt;"",N150&gt;0),"有证据","缺C150证据"),IF(F150="C150发货确认中",IF(AND(J150&lt;&gt;"",K150&lt;&gt;""),"有证据","缺C150证据"),IF(F150="手动完结",IF(OR(L150&lt;&gt;"",O150&lt;&gt;"",S150&lt;&gt;""),"有记录","缺手工证据"),IF(OR(F150="卖出待补仓",F150="提交结果待确认",F150="异常待处理"),"持续跟踪","检查状态")))))</x:f>
      </x:c>
      <x:c r="T150" s="64" t="str">
        <x:f>IF(A150="","",IF(COUNTIF($A$5:$A$1204,A150)&gt;1,"重复",""))</x:f>
      </x:c>
      <x:c r="U150" s="64" t="str">
        <x:f>IF(A150="","",IF(T150="重复","检查重复",IF(OR(R150="有证据",R150="有记录",R150="持续跟踪"),"可追踪","检查")))</x:f>
      </x:c>
    </x:row>
    <x:row r="151">
      <x:c r="A151" s="62"/>
      <x:c r="B151" s="62"/>
      <x:c r="C151" s="62"/>
      <x:c r="D151" s="66"/>
      <x:c r="E151" s="68"/>
      <x:c r="F151" s="62"/>
      <x:c r="G151" s="62"/>
      <x:c r="H151" s="62"/>
      <x:c r="I151" s="62"/>
      <x:c r="J151" s="62"/>
      <x:c r="K151" s="62"/>
      <x:c r="L151" s="62"/>
      <x:c r="M151" s="68"/>
      <x:c r="N151" s="68"/>
      <x:c r="O151" s="68"/>
      <x:c r="P151" s="71" t="str">
        <x:f>IF(A151="","",IF(N151&gt;0,N151,M151))</x:f>
      </x:c>
      <x:c r="Q151" s="72" t="n">
        <x:f>IF(A151="",0,IF(COUNTIF($A$5:A151,A151)=1,1,0))</x:f>
        <x:v>0</x:v>
      </x:c>
      <x:c r="R151" s="64" t="str">
        <x:f>IF(A151="","",IF(F151="C151成功",IF(AND(J151&lt;&gt;"",K151&lt;&gt;"",N151&gt;0),"有证据","缺C151证据"),IF(F151="C151发货确认中",IF(AND(J151&lt;&gt;"",K151&lt;&gt;""),"有证据","缺C151证据"),IF(F151="手动完结",IF(OR(L151&lt;&gt;"",O151&lt;&gt;"",S151&lt;&gt;""),"有记录","缺手工证据"),IF(OR(F151="卖出待补仓",F151="提交结果待确认",F151="异常待处理"),"持续跟踪","检查状态")))))</x:f>
      </x:c>
      <x:c r="T151" s="64" t="str">
        <x:f>IF(A151="","",IF(COUNTIF($A$5:$A$1204,A151)&gt;1,"重复",""))</x:f>
      </x:c>
      <x:c r="U151" s="64" t="str">
        <x:f>IF(A151="","",IF(T151="重复","检查重复",IF(OR(R151="有证据",R151="有记录",R151="持续跟踪"),"可追踪","检查")))</x:f>
      </x:c>
    </x:row>
    <x:row r="152">
      <x:c r="A152" s="62"/>
      <x:c r="B152" s="62"/>
      <x:c r="C152" s="62"/>
      <x:c r="D152" s="66"/>
      <x:c r="E152" s="68"/>
      <x:c r="F152" s="62"/>
      <x:c r="G152" s="62"/>
      <x:c r="H152" s="62"/>
      <x:c r="I152" s="62"/>
      <x:c r="J152" s="62"/>
      <x:c r="K152" s="62"/>
      <x:c r="L152" s="62"/>
      <x:c r="M152" s="68"/>
      <x:c r="N152" s="68"/>
      <x:c r="O152" s="68"/>
      <x:c r="P152" s="71" t="str">
        <x:f>IF(A152="","",IF(N152&gt;0,N152,M152))</x:f>
      </x:c>
      <x:c r="Q152" s="72" t="n">
        <x:f>IF(A152="",0,IF(COUNTIF($A$5:A152,A152)=1,1,0))</x:f>
        <x:v>0</x:v>
      </x:c>
      <x:c r="R152" s="64" t="str">
        <x:f>IF(A152="","",IF(F152="C152成功",IF(AND(J152&lt;&gt;"",K152&lt;&gt;"",N152&gt;0),"有证据","缺C152证据"),IF(F152="C152发货确认中",IF(AND(J152&lt;&gt;"",K152&lt;&gt;""),"有证据","缺C152证据"),IF(F152="手动完结",IF(OR(L152&lt;&gt;"",O152&lt;&gt;"",S152&lt;&gt;""),"有记录","缺手工证据"),IF(OR(F152="卖出待补仓",F152="提交结果待确认",F152="异常待处理"),"持续跟踪","检查状态")))))</x:f>
      </x:c>
      <x:c r="T152" s="64" t="str">
        <x:f>IF(A152="","",IF(COUNTIF($A$5:$A$1204,A152)&gt;1,"重复",""))</x:f>
      </x:c>
      <x:c r="U152" s="64" t="str">
        <x:f>IF(A152="","",IF(T152="重复","检查重复",IF(OR(R152="有证据",R152="有记录",R152="持续跟踪"),"可追踪","检查")))</x:f>
      </x:c>
    </x:row>
    <x:row r="153">
      <x:c r="A153" s="62"/>
      <x:c r="B153" s="62"/>
      <x:c r="C153" s="62"/>
      <x:c r="D153" s="66"/>
      <x:c r="E153" s="68"/>
      <x:c r="F153" s="62"/>
      <x:c r="G153" s="62"/>
      <x:c r="H153" s="62"/>
      <x:c r="I153" s="62"/>
      <x:c r="J153" s="62"/>
      <x:c r="K153" s="62"/>
      <x:c r="L153" s="62"/>
      <x:c r="M153" s="68"/>
      <x:c r="N153" s="68"/>
      <x:c r="O153" s="68"/>
      <x:c r="P153" s="71" t="str">
        <x:f>IF(A153="","",IF(N153&gt;0,N153,M153))</x:f>
      </x:c>
      <x:c r="Q153" s="72" t="n">
        <x:f>IF(A153="",0,IF(COUNTIF($A$5:A153,A153)=1,1,0))</x:f>
        <x:v>0</x:v>
      </x:c>
      <x:c r="R153" s="64" t="str">
        <x:f>IF(A153="","",IF(F153="C153成功",IF(AND(J153&lt;&gt;"",K153&lt;&gt;"",N153&gt;0),"有证据","缺C153证据"),IF(F153="C153发货确认中",IF(AND(J153&lt;&gt;"",K153&lt;&gt;""),"有证据","缺C153证据"),IF(F153="手动完结",IF(OR(L153&lt;&gt;"",O153&lt;&gt;"",S153&lt;&gt;""),"有记录","缺手工证据"),IF(OR(F153="卖出待补仓",F153="提交结果待确认",F153="异常待处理"),"持续跟踪","检查状态")))))</x:f>
      </x:c>
      <x:c r="T153" s="64" t="str">
        <x:f>IF(A153="","",IF(COUNTIF($A$5:$A$1204,A153)&gt;1,"重复",""))</x:f>
      </x:c>
      <x:c r="U153" s="64" t="str">
        <x:f>IF(A153="","",IF(T153="重复","检查重复",IF(OR(R153="有证据",R153="有记录",R153="持续跟踪"),"可追踪","检查")))</x:f>
      </x:c>
    </x:row>
    <x:row r="154">
      <x:c r="A154" s="62"/>
      <x:c r="B154" s="62"/>
      <x:c r="C154" s="62"/>
      <x:c r="D154" s="66"/>
      <x:c r="E154" s="68"/>
      <x:c r="F154" s="62"/>
      <x:c r="G154" s="62"/>
      <x:c r="H154" s="62"/>
      <x:c r="I154" s="62"/>
      <x:c r="J154" s="62"/>
      <x:c r="K154" s="62"/>
      <x:c r="L154" s="62"/>
      <x:c r="M154" s="68"/>
      <x:c r="N154" s="68"/>
      <x:c r="O154" s="68"/>
      <x:c r="P154" s="71" t="str">
        <x:f>IF(A154="","",IF(N154&gt;0,N154,M154))</x:f>
      </x:c>
      <x:c r="Q154" s="72" t="n">
        <x:f>IF(A154="",0,IF(COUNTIF($A$5:A154,A154)=1,1,0))</x:f>
        <x:v>0</x:v>
      </x:c>
      <x:c r="R154" s="64" t="str">
        <x:f>IF(A154="","",IF(F154="C154成功",IF(AND(J154&lt;&gt;"",K154&lt;&gt;"",N154&gt;0),"有证据","缺C154证据"),IF(F154="C154发货确认中",IF(AND(J154&lt;&gt;"",K154&lt;&gt;""),"有证据","缺C154证据"),IF(F154="手动完结",IF(OR(L154&lt;&gt;"",O154&lt;&gt;"",S154&lt;&gt;""),"有记录","缺手工证据"),IF(OR(F154="卖出待补仓",F154="提交结果待确认",F154="异常待处理"),"持续跟踪","检查状态")))))</x:f>
      </x:c>
      <x:c r="T154" s="64" t="str">
        <x:f>IF(A154="","",IF(COUNTIF($A$5:$A$1204,A154)&gt;1,"重复",""))</x:f>
      </x:c>
      <x:c r="U154" s="64" t="str">
        <x:f>IF(A154="","",IF(T154="重复","检查重复",IF(OR(R154="有证据",R154="有记录",R154="持续跟踪"),"可追踪","检查")))</x:f>
      </x:c>
    </x:row>
    <x:row r="155">
      <x:c r="A155" s="62"/>
      <x:c r="B155" s="62"/>
      <x:c r="C155" s="62"/>
      <x:c r="D155" s="66"/>
      <x:c r="E155" s="68"/>
      <x:c r="F155" s="62"/>
      <x:c r="G155" s="62"/>
      <x:c r="H155" s="62"/>
      <x:c r="I155" s="62"/>
      <x:c r="J155" s="62"/>
      <x:c r="K155" s="62"/>
      <x:c r="L155" s="62"/>
      <x:c r="M155" s="68"/>
      <x:c r="N155" s="68"/>
      <x:c r="O155" s="68"/>
      <x:c r="P155" s="71" t="str">
        <x:f>IF(A155="","",IF(N155&gt;0,N155,M155))</x:f>
      </x:c>
      <x:c r="Q155" s="72" t="n">
        <x:f>IF(A155="",0,IF(COUNTIF($A$5:A155,A155)=1,1,0))</x:f>
        <x:v>0</x:v>
      </x:c>
      <x:c r="R155" s="64" t="str">
        <x:f>IF(A155="","",IF(F155="C155成功",IF(AND(J155&lt;&gt;"",K155&lt;&gt;"",N155&gt;0),"有证据","缺C155证据"),IF(F155="C155发货确认中",IF(AND(J155&lt;&gt;"",K155&lt;&gt;""),"有证据","缺C155证据"),IF(F155="手动完结",IF(OR(L155&lt;&gt;"",O155&lt;&gt;"",S155&lt;&gt;""),"有记录","缺手工证据"),IF(OR(F155="卖出待补仓",F155="提交结果待确认",F155="异常待处理"),"持续跟踪","检查状态")))))</x:f>
      </x:c>
      <x:c r="T155" s="64" t="str">
        <x:f>IF(A155="","",IF(COUNTIF($A$5:$A$1204,A155)&gt;1,"重复",""))</x:f>
      </x:c>
      <x:c r="U155" s="64" t="str">
        <x:f>IF(A155="","",IF(T155="重复","检查重复",IF(OR(R155="有证据",R155="有记录",R155="持续跟踪"),"可追踪","检查")))</x:f>
      </x:c>
    </x:row>
    <x:row r="156">
      <x:c r="A156" s="62"/>
      <x:c r="B156" s="62"/>
      <x:c r="C156" s="62"/>
      <x:c r="D156" s="66"/>
      <x:c r="E156" s="68"/>
      <x:c r="F156" s="62"/>
      <x:c r="G156" s="62"/>
      <x:c r="H156" s="62"/>
      <x:c r="I156" s="62"/>
      <x:c r="J156" s="62"/>
      <x:c r="K156" s="62"/>
      <x:c r="L156" s="62"/>
      <x:c r="M156" s="68"/>
      <x:c r="N156" s="68"/>
      <x:c r="O156" s="68"/>
      <x:c r="P156" s="71" t="str">
        <x:f>IF(A156="","",IF(N156&gt;0,N156,M156))</x:f>
      </x:c>
      <x:c r="Q156" s="72" t="n">
        <x:f>IF(A156="",0,IF(COUNTIF($A$5:A156,A156)=1,1,0))</x:f>
        <x:v>0</x:v>
      </x:c>
      <x:c r="R156" s="64" t="str">
        <x:f>IF(A156="","",IF(F156="C156成功",IF(AND(J156&lt;&gt;"",K156&lt;&gt;"",N156&gt;0),"有证据","缺C156证据"),IF(F156="C156发货确认中",IF(AND(J156&lt;&gt;"",K156&lt;&gt;""),"有证据","缺C156证据"),IF(F156="手动完结",IF(OR(L156&lt;&gt;"",O156&lt;&gt;"",S156&lt;&gt;""),"有记录","缺手工证据"),IF(OR(F156="卖出待补仓",F156="提交结果待确认",F156="异常待处理"),"持续跟踪","检查状态")))))</x:f>
      </x:c>
      <x:c r="T156" s="64" t="str">
        <x:f>IF(A156="","",IF(COUNTIF($A$5:$A$1204,A156)&gt;1,"重复",""))</x:f>
      </x:c>
      <x:c r="U156" s="64" t="str">
        <x:f>IF(A156="","",IF(T156="重复","检查重复",IF(OR(R156="有证据",R156="有记录",R156="持续跟踪"),"可追踪","检查")))</x:f>
      </x:c>
    </x:row>
    <x:row r="157">
      <x:c r="A157" s="62"/>
      <x:c r="B157" s="62"/>
      <x:c r="C157" s="62"/>
      <x:c r="D157" s="66"/>
      <x:c r="E157" s="68"/>
      <x:c r="F157" s="62"/>
      <x:c r="G157" s="62"/>
      <x:c r="H157" s="62"/>
      <x:c r="I157" s="62"/>
      <x:c r="J157" s="62"/>
      <x:c r="K157" s="62"/>
      <x:c r="L157" s="62"/>
      <x:c r="M157" s="68"/>
      <x:c r="N157" s="68"/>
      <x:c r="O157" s="68"/>
      <x:c r="P157" s="71" t="str">
        <x:f>IF(A157="","",IF(N157&gt;0,N157,M157))</x:f>
      </x:c>
      <x:c r="Q157" s="72" t="n">
        <x:f>IF(A157="",0,IF(COUNTIF($A$5:A157,A157)=1,1,0))</x:f>
        <x:v>0</x:v>
      </x:c>
      <x:c r="R157" s="64" t="str">
        <x:f>IF(A157="","",IF(F157="C157成功",IF(AND(J157&lt;&gt;"",K157&lt;&gt;"",N157&gt;0),"有证据","缺C157证据"),IF(F157="C157发货确认中",IF(AND(J157&lt;&gt;"",K157&lt;&gt;""),"有证据","缺C157证据"),IF(F157="手动完结",IF(OR(L157&lt;&gt;"",O157&lt;&gt;"",S157&lt;&gt;""),"有记录","缺手工证据"),IF(OR(F157="卖出待补仓",F157="提交结果待确认",F157="异常待处理"),"持续跟踪","检查状态")))))</x:f>
      </x:c>
      <x:c r="T157" s="64" t="str">
        <x:f>IF(A157="","",IF(COUNTIF($A$5:$A$1204,A157)&gt;1,"重复",""))</x:f>
      </x:c>
      <x:c r="U157" s="64" t="str">
        <x:f>IF(A157="","",IF(T157="重复","检查重复",IF(OR(R157="有证据",R157="有记录",R157="持续跟踪"),"可追踪","检查")))</x:f>
      </x:c>
    </x:row>
    <x:row r="158">
      <x:c r="A158" s="62"/>
      <x:c r="B158" s="62"/>
      <x:c r="C158" s="62"/>
      <x:c r="D158" s="66"/>
      <x:c r="E158" s="68"/>
      <x:c r="F158" s="62"/>
      <x:c r="G158" s="62"/>
      <x:c r="H158" s="62"/>
      <x:c r="I158" s="62"/>
      <x:c r="J158" s="62"/>
      <x:c r="K158" s="62"/>
      <x:c r="L158" s="62"/>
      <x:c r="M158" s="68"/>
      <x:c r="N158" s="68"/>
      <x:c r="O158" s="68"/>
      <x:c r="P158" s="71" t="str">
        <x:f>IF(A158="","",IF(N158&gt;0,N158,M158))</x:f>
      </x:c>
      <x:c r="Q158" s="72" t="n">
        <x:f>IF(A158="",0,IF(COUNTIF($A$5:A158,A158)=1,1,0))</x:f>
        <x:v>0</x:v>
      </x:c>
      <x:c r="R158" s="64" t="str">
        <x:f>IF(A158="","",IF(F158="C158成功",IF(AND(J158&lt;&gt;"",K158&lt;&gt;"",N158&gt;0),"有证据","缺C158证据"),IF(F158="C158发货确认中",IF(AND(J158&lt;&gt;"",K158&lt;&gt;""),"有证据","缺C158证据"),IF(F158="手动完结",IF(OR(L158&lt;&gt;"",O158&lt;&gt;"",S158&lt;&gt;""),"有记录","缺手工证据"),IF(OR(F158="卖出待补仓",F158="提交结果待确认",F158="异常待处理"),"持续跟踪","检查状态")))))</x:f>
      </x:c>
      <x:c r="T158" s="64" t="str">
        <x:f>IF(A158="","",IF(COUNTIF($A$5:$A$1204,A158)&gt;1,"重复",""))</x:f>
      </x:c>
      <x:c r="U158" s="64" t="str">
        <x:f>IF(A158="","",IF(T158="重复","检查重复",IF(OR(R158="有证据",R158="有记录",R158="持续跟踪"),"可追踪","检查")))</x:f>
      </x:c>
    </x:row>
    <x:row r="159">
      <x:c r="A159" s="62"/>
      <x:c r="B159" s="62"/>
      <x:c r="C159" s="62"/>
      <x:c r="D159" s="66"/>
      <x:c r="E159" s="68"/>
      <x:c r="F159" s="62"/>
      <x:c r="G159" s="62"/>
      <x:c r="H159" s="62"/>
      <x:c r="I159" s="62"/>
      <x:c r="J159" s="62"/>
      <x:c r="K159" s="62"/>
      <x:c r="L159" s="62"/>
      <x:c r="M159" s="68"/>
      <x:c r="N159" s="68"/>
      <x:c r="O159" s="68"/>
      <x:c r="P159" s="71" t="str">
        <x:f>IF(A159="","",IF(N159&gt;0,N159,M159))</x:f>
      </x:c>
      <x:c r="Q159" s="72" t="n">
        <x:f>IF(A159="",0,IF(COUNTIF($A$5:A159,A159)=1,1,0))</x:f>
        <x:v>0</x:v>
      </x:c>
      <x:c r="R159" s="64" t="str">
        <x:f>IF(A159="","",IF(F159="C159成功",IF(AND(J159&lt;&gt;"",K159&lt;&gt;"",N159&gt;0),"有证据","缺C159证据"),IF(F159="C159发货确认中",IF(AND(J159&lt;&gt;"",K159&lt;&gt;""),"有证据","缺C159证据"),IF(F159="手动完结",IF(OR(L159&lt;&gt;"",O159&lt;&gt;"",S159&lt;&gt;""),"有记录","缺手工证据"),IF(OR(F159="卖出待补仓",F159="提交结果待确认",F159="异常待处理"),"持续跟踪","检查状态")))))</x:f>
      </x:c>
      <x:c r="T159" s="64" t="str">
        <x:f>IF(A159="","",IF(COUNTIF($A$5:$A$1204,A159)&gt;1,"重复",""))</x:f>
      </x:c>
      <x:c r="U159" s="64" t="str">
        <x:f>IF(A159="","",IF(T159="重复","检查重复",IF(OR(R159="有证据",R159="有记录",R159="持续跟踪"),"可追踪","检查")))</x:f>
      </x:c>
    </x:row>
    <x:row r="160">
      <x:c r="A160" s="62"/>
      <x:c r="B160" s="62"/>
      <x:c r="C160" s="62"/>
      <x:c r="D160" s="66"/>
      <x:c r="E160" s="68"/>
      <x:c r="F160" s="62"/>
      <x:c r="G160" s="62"/>
      <x:c r="H160" s="62"/>
      <x:c r="I160" s="62"/>
      <x:c r="J160" s="62"/>
      <x:c r="K160" s="62"/>
      <x:c r="L160" s="62"/>
      <x:c r="M160" s="68"/>
      <x:c r="N160" s="68"/>
      <x:c r="O160" s="68"/>
      <x:c r="P160" s="71" t="str">
        <x:f>IF(A160="","",IF(N160&gt;0,N160,M160))</x:f>
      </x:c>
      <x:c r="Q160" s="72" t="n">
        <x:f>IF(A160="",0,IF(COUNTIF($A$5:A160,A160)=1,1,0))</x:f>
        <x:v>0</x:v>
      </x:c>
      <x:c r="R160" s="64" t="str">
        <x:f>IF(A160="","",IF(F160="C160成功",IF(AND(J160&lt;&gt;"",K160&lt;&gt;"",N160&gt;0),"有证据","缺C160证据"),IF(F160="C160发货确认中",IF(AND(J160&lt;&gt;"",K160&lt;&gt;""),"有证据","缺C160证据"),IF(F160="手动完结",IF(OR(L160&lt;&gt;"",O160&lt;&gt;"",S160&lt;&gt;""),"有记录","缺手工证据"),IF(OR(F160="卖出待补仓",F160="提交结果待确认",F160="异常待处理"),"持续跟踪","检查状态")))))</x:f>
      </x:c>
      <x:c r="T160" s="64" t="str">
        <x:f>IF(A160="","",IF(COUNTIF($A$5:$A$1204,A160)&gt;1,"重复",""))</x:f>
      </x:c>
      <x:c r="U160" s="64" t="str">
        <x:f>IF(A160="","",IF(T160="重复","检查重复",IF(OR(R160="有证据",R160="有记录",R160="持续跟踪"),"可追踪","检查")))</x:f>
      </x:c>
    </x:row>
    <x:row r="161">
      <x:c r="A161" s="62"/>
      <x:c r="B161" s="62"/>
      <x:c r="C161" s="62"/>
      <x:c r="D161" s="66"/>
      <x:c r="E161" s="68"/>
      <x:c r="F161" s="62"/>
      <x:c r="G161" s="62"/>
      <x:c r="H161" s="62"/>
      <x:c r="I161" s="62"/>
      <x:c r="J161" s="62"/>
      <x:c r="K161" s="62"/>
      <x:c r="L161" s="62"/>
      <x:c r="M161" s="68"/>
      <x:c r="N161" s="68"/>
      <x:c r="O161" s="68"/>
      <x:c r="P161" s="71" t="str">
        <x:f>IF(A161="","",IF(N161&gt;0,N161,M161))</x:f>
      </x:c>
      <x:c r="Q161" s="72" t="n">
        <x:f>IF(A161="",0,IF(COUNTIF($A$5:A161,A161)=1,1,0))</x:f>
        <x:v>0</x:v>
      </x:c>
      <x:c r="R161" s="64" t="str">
        <x:f>IF(A161="","",IF(F161="C161成功",IF(AND(J161&lt;&gt;"",K161&lt;&gt;"",N161&gt;0),"有证据","缺C161证据"),IF(F161="C161发货确认中",IF(AND(J161&lt;&gt;"",K161&lt;&gt;""),"有证据","缺C161证据"),IF(F161="手动完结",IF(OR(L161&lt;&gt;"",O161&lt;&gt;"",S161&lt;&gt;""),"有记录","缺手工证据"),IF(OR(F161="卖出待补仓",F161="提交结果待确认",F161="异常待处理"),"持续跟踪","检查状态")))))</x:f>
      </x:c>
      <x:c r="T161" s="64" t="str">
        <x:f>IF(A161="","",IF(COUNTIF($A$5:$A$1204,A161)&gt;1,"重复",""))</x:f>
      </x:c>
      <x:c r="U161" s="64" t="str">
        <x:f>IF(A161="","",IF(T161="重复","检查重复",IF(OR(R161="有证据",R161="有记录",R161="持续跟踪"),"可追踪","检查")))</x:f>
      </x:c>
    </x:row>
    <x:row r="162">
      <x:c r="A162" s="62"/>
      <x:c r="B162" s="62"/>
      <x:c r="C162" s="62"/>
      <x:c r="D162" s="66"/>
      <x:c r="E162" s="68"/>
      <x:c r="F162" s="62"/>
      <x:c r="G162" s="62"/>
      <x:c r="H162" s="62"/>
      <x:c r="I162" s="62"/>
      <x:c r="J162" s="62"/>
      <x:c r="K162" s="62"/>
      <x:c r="L162" s="62"/>
      <x:c r="M162" s="68"/>
      <x:c r="N162" s="68"/>
      <x:c r="O162" s="68"/>
      <x:c r="P162" s="71" t="str">
        <x:f>IF(A162="","",IF(N162&gt;0,N162,M162))</x:f>
      </x:c>
      <x:c r="Q162" s="72" t="n">
        <x:f>IF(A162="",0,IF(COUNTIF($A$5:A162,A162)=1,1,0))</x:f>
        <x:v>0</x:v>
      </x:c>
      <x:c r="R162" s="64" t="str">
        <x:f>IF(A162="","",IF(F162="C162成功",IF(AND(J162&lt;&gt;"",K162&lt;&gt;"",N162&gt;0),"有证据","缺C162证据"),IF(F162="C162发货确认中",IF(AND(J162&lt;&gt;"",K162&lt;&gt;""),"有证据","缺C162证据"),IF(F162="手动完结",IF(OR(L162&lt;&gt;"",O162&lt;&gt;"",S162&lt;&gt;""),"有记录","缺手工证据"),IF(OR(F162="卖出待补仓",F162="提交结果待确认",F162="异常待处理"),"持续跟踪","检查状态")))))</x:f>
      </x:c>
      <x:c r="T162" s="64" t="str">
        <x:f>IF(A162="","",IF(COUNTIF($A$5:$A$1204,A162)&gt;1,"重复",""))</x:f>
      </x:c>
      <x:c r="U162" s="64" t="str">
        <x:f>IF(A162="","",IF(T162="重复","检查重复",IF(OR(R162="有证据",R162="有记录",R162="持续跟踪"),"可追踪","检查")))</x:f>
      </x:c>
    </x:row>
    <x:row r="163">
      <x:c r="A163" s="62"/>
      <x:c r="B163" s="62"/>
      <x:c r="C163" s="62"/>
      <x:c r="D163" s="66"/>
      <x:c r="E163" s="68"/>
      <x:c r="F163" s="62"/>
      <x:c r="G163" s="62"/>
      <x:c r="H163" s="62"/>
      <x:c r="I163" s="62"/>
      <x:c r="J163" s="62"/>
      <x:c r="K163" s="62"/>
      <x:c r="L163" s="62"/>
      <x:c r="M163" s="68"/>
      <x:c r="N163" s="68"/>
      <x:c r="O163" s="68"/>
      <x:c r="P163" s="71" t="str">
        <x:f>IF(A163="","",IF(N163&gt;0,N163,M163))</x:f>
      </x:c>
      <x:c r="Q163" s="72" t="n">
        <x:f>IF(A163="",0,IF(COUNTIF($A$5:A163,A163)=1,1,0))</x:f>
        <x:v>0</x:v>
      </x:c>
      <x:c r="R163" s="64" t="str">
        <x:f>IF(A163="","",IF(F163="C163成功",IF(AND(J163&lt;&gt;"",K163&lt;&gt;"",N163&gt;0),"有证据","缺C163证据"),IF(F163="C163发货确认中",IF(AND(J163&lt;&gt;"",K163&lt;&gt;""),"有证据","缺C163证据"),IF(F163="手动完结",IF(OR(L163&lt;&gt;"",O163&lt;&gt;"",S163&lt;&gt;""),"有记录","缺手工证据"),IF(OR(F163="卖出待补仓",F163="提交结果待确认",F163="异常待处理"),"持续跟踪","检查状态")))))</x:f>
      </x:c>
      <x:c r="T163" s="64" t="str">
        <x:f>IF(A163="","",IF(COUNTIF($A$5:$A$1204,A163)&gt;1,"重复",""))</x:f>
      </x:c>
      <x:c r="U163" s="64" t="str">
        <x:f>IF(A163="","",IF(T163="重复","检查重复",IF(OR(R163="有证据",R163="有记录",R163="持续跟踪"),"可追踪","检查")))</x:f>
      </x:c>
    </x:row>
    <x:row r="164">
      <x:c r="A164" s="62"/>
      <x:c r="B164" s="62"/>
      <x:c r="C164" s="62"/>
      <x:c r="D164" s="66"/>
      <x:c r="E164" s="68"/>
      <x:c r="F164" s="62"/>
      <x:c r="G164" s="62"/>
      <x:c r="H164" s="62"/>
      <x:c r="I164" s="62"/>
      <x:c r="J164" s="62"/>
      <x:c r="K164" s="62"/>
      <x:c r="L164" s="62"/>
      <x:c r="M164" s="68"/>
      <x:c r="N164" s="68"/>
      <x:c r="O164" s="68"/>
      <x:c r="P164" s="71" t="str">
        <x:f>IF(A164="","",IF(N164&gt;0,N164,M164))</x:f>
      </x:c>
      <x:c r="Q164" s="72" t="n">
        <x:f>IF(A164="",0,IF(COUNTIF($A$5:A164,A164)=1,1,0))</x:f>
        <x:v>0</x:v>
      </x:c>
      <x:c r="R164" s="64" t="str">
        <x:f>IF(A164="","",IF(F164="C164成功",IF(AND(J164&lt;&gt;"",K164&lt;&gt;"",N164&gt;0),"有证据","缺C164证据"),IF(F164="C164发货确认中",IF(AND(J164&lt;&gt;"",K164&lt;&gt;""),"有证据","缺C164证据"),IF(F164="手动完结",IF(OR(L164&lt;&gt;"",O164&lt;&gt;"",S164&lt;&gt;""),"有记录","缺手工证据"),IF(OR(F164="卖出待补仓",F164="提交结果待确认",F164="异常待处理"),"持续跟踪","检查状态")))))</x:f>
      </x:c>
      <x:c r="T164" s="64" t="str">
        <x:f>IF(A164="","",IF(COUNTIF($A$5:$A$1204,A164)&gt;1,"重复",""))</x:f>
      </x:c>
      <x:c r="U164" s="64" t="str">
        <x:f>IF(A164="","",IF(T164="重复","检查重复",IF(OR(R164="有证据",R164="有记录",R164="持续跟踪"),"可追踪","检查")))</x:f>
      </x:c>
    </x:row>
    <x:row r="165">
      <x:c r="A165" s="62"/>
      <x:c r="B165" s="62"/>
      <x:c r="C165" s="62"/>
      <x:c r="D165" s="66"/>
      <x:c r="E165" s="68"/>
      <x:c r="F165" s="62"/>
      <x:c r="G165" s="62"/>
      <x:c r="H165" s="62"/>
      <x:c r="I165" s="62"/>
      <x:c r="J165" s="62"/>
      <x:c r="K165" s="62"/>
      <x:c r="L165" s="62"/>
      <x:c r="M165" s="68"/>
      <x:c r="N165" s="68"/>
      <x:c r="O165" s="68"/>
      <x:c r="P165" s="71" t="str">
        <x:f>IF(A165="","",IF(N165&gt;0,N165,M165))</x:f>
      </x:c>
      <x:c r="Q165" s="72" t="n">
        <x:f>IF(A165="",0,IF(COUNTIF($A$5:A165,A165)=1,1,0))</x:f>
        <x:v>0</x:v>
      </x:c>
      <x:c r="R165" s="64" t="str">
        <x:f>IF(A165="","",IF(F165="C165成功",IF(AND(J165&lt;&gt;"",K165&lt;&gt;"",N165&gt;0),"有证据","缺C165证据"),IF(F165="C165发货确认中",IF(AND(J165&lt;&gt;"",K165&lt;&gt;""),"有证据","缺C165证据"),IF(F165="手动完结",IF(OR(L165&lt;&gt;"",O165&lt;&gt;"",S165&lt;&gt;""),"有记录","缺手工证据"),IF(OR(F165="卖出待补仓",F165="提交结果待确认",F165="异常待处理"),"持续跟踪","检查状态")))))</x:f>
      </x:c>
      <x:c r="T165" s="64" t="str">
        <x:f>IF(A165="","",IF(COUNTIF($A$5:$A$1204,A165)&gt;1,"重复",""))</x:f>
      </x:c>
      <x:c r="U165" s="64" t="str">
        <x:f>IF(A165="","",IF(T165="重复","检查重复",IF(OR(R165="有证据",R165="有记录",R165="持续跟踪"),"可追踪","检查")))</x:f>
      </x:c>
    </x:row>
    <x:row r="166">
      <x:c r="A166" s="62"/>
      <x:c r="B166" s="62"/>
      <x:c r="C166" s="62"/>
      <x:c r="D166" s="66"/>
      <x:c r="E166" s="68"/>
      <x:c r="F166" s="62"/>
      <x:c r="G166" s="62"/>
      <x:c r="H166" s="62"/>
      <x:c r="I166" s="62"/>
      <x:c r="J166" s="62"/>
      <x:c r="K166" s="62"/>
      <x:c r="L166" s="62"/>
      <x:c r="M166" s="68"/>
      <x:c r="N166" s="68"/>
      <x:c r="O166" s="68"/>
      <x:c r="P166" s="71" t="str">
        <x:f>IF(A166="","",IF(N166&gt;0,N166,M166))</x:f>
      </x:c>
      <x:c r="Q166" s="72" t="n">
        <x:f>IF(A166="",0,IF(COUNTIF($A$5:A166,A166)=1,1,0))</x:f>
        <x:v>0</x:v>
      </x:c>
      <x:c r="R166" s="64" t="str">
        <x:f>IF(A166="","",IF(F166="C166成功",IF(AND(J166&lt;&gt;"",K166&lt;&gt;"",N166&gt;0),"有证据","缺C166证据"),IF(F166="C166发货确认中",IF(AND(J166&lt;&gt;"",K166&lt;&gt;""),"有证据","缺C166证据"),IF(F166="手动完结",IF(OR(L166&lt;&gt;"",O166&lt;&gt;"",S166&lt;&gt;""),"有记录","缺手工证据"),IF(OR(F166="卖出待补仓",F166="提交结果待确认",F166="异常待处理"),"持续跟踪","检查状态")))))</x:f>
      </x:c>
      <x:c r="T166" s="64" t="str">
        <x:f>IF(A166="","",IF(COUNTIF($A$5:$A$1204,A166)&gt;1,"重复",""))</x:f>
      </x:c>
      <x:c r="U166" s="64" t="str">
        <x:f>IF(A166="","",IF(T166="重复","检查重复",IF(OR(R166="有证据",R166="有记录",R166="持续跟踪"),"可追踪","检查")))</x:f>
      </x:c>
    </x:row>
    <x:row r="167">
      <x:c r="A167" s="62"/>
      <x:c r="B167" s="62"/>
      <x:c r="C167" s="62"/>
      <x:c r="D167" s="66"/>
      <x:c r="E167" s="68"/>
      <x:c r="F167" s="62"/>
      <x:c r="G167" s="62"/>
      <x:c r="H167" s="62"/>
      <x:c r="I167" s="62"/>
      <x:c r="J167" s="62"/>
      <x:c r="K167" s="62"/>
      <x:c r="L167" s="62"/>
      <x:c r="M167" s="68"/>
      <x:c r="N167" s="68"/>
      <x:c r="O167" s="68"/>
      <x:c r="P167" s="71" t="str">
        <x:f>IF(A167="","",IF(N167&gt;0,N167,M167))</x:f>
      </x:c>
      <x:c r="Q167" s="72" t="n">
        <x:f>IF(A167="",0,IF(COUNTIF($A$5:A167,A167)=1,1,0))</x:f>
        <x:v>0</x:v>
      </x:c>
      <x:c r="R167" s="64" t="str">
        <x:f>IF(A167="","",IF(F167="C167成功",IF(AND(J167&lt;&gt;"",K167&lt;&gt;"",N167&gt;0),"有证据","缺C167证据"),IF(F167="C167发货确认中",IF(AND(J167&lt;&gt;"",K167&lt;&gt;""),"有证据","缺C167证据"),IF(F167="手动完结",IF(OR(L167&lt;&gt;"",O167&lt;&gt;"",S167&lt;&gt;""),"有记录","缺手工证据"),IF(OR(F167="卖出待补仓",F167="提交结果待确认",F167="异常待处理"),"持续跟踪","检查状态")))))</x:f>
      </x:c>
      <x:c r="T167" s="64" t="str">
        <x:f>IF(A167="","",IF(COUNTIF($A$5:$A$1204,A167)&gt;1,"重复",""))</x:f>
      </x:c>
      <x:c r="U167" s="64" t="str">
        <x:f>IF(A167="","",IF(T167="重复","检查重复",IF(OR(R167="有证据",R167="有记录",R167="持续跟踪"),"可追踪","检查")))</x:f>
      </x:c>
    </x:row>
    <x:row r="168">
      <x:c r="A168" s="62"/>
      <x:c r="B168" s="62"/>
      <x:c r="C168" s="62"/>
      <x:c r="D168" s="66"/>
      <x:c r="E168" s="68"/>
      <x:c r="F168" s="62"/>
      <x:c r="G168" s="62"/>
      <x:c r="H168" s="62"/>
      <x:c r="I168" s="62"/>
      <x:c r="J168" s="62"/>
      <x:c r="K168" s="62"/>
      <x:c r="L168" s="62"/>
      <x:c r="M168" s="68"/>
      <x:c r="N168" s="68"/>
      <x:c r="O168" s="68"/>
      <x:c r="P168" s="71" t="str">
        <x:f>IF(A168="","",IF(N168&gt;0,N168,M168))</x:f>
      </x:c>
      <x:c r="Q168" s="72" t="n">
        <x:f>IF(A168="",0,IF(COUNTIF($A$5:A168,A168)=1,1,0))</x:f>
        <x:v>0</x:v>
      </x:c>
      <x:c r="R168" s="64" t="str">
        <x:f>IF(A168="","",IF(F168="C168成功",IF(AND(J168&lt;&gt;"",K168&lt;&gt;"",N168&gt;0),"有证据","缺C168证据"),IF(F168="C168发货确认中",IF(AND(J168&lt;&gt;"",K168&lt;&gt;""),"有证据","缺C168证据"),IF(F168="手动完结",IF(OR(L168&lt;&gt;"",O168&lt;&gt;"",S168&lt;&gt;""),"有记录","缺手工证据"),IF(OR(F168="卖出待补仓",F168="提交结果待确认",F168="异常待处理"),"持续跟踪","检查状态")))))</x:f>
      </x:c>
      <x:c r="T168" s="64" t="str">
        <x:f>IF(A168="","",IF(COUNTIF($A$5:$A$1204,A168)&gt;1,"重复",""))</x:f>
      </x:c>
      <x:c r="U168" s="64" t="str">
        <x:f>IF(A168="","",IF(T168="重复","检查重复",IF(OR(R168="有证据",R168="有记录",R168="持续跟踪"),"可追踪","检查")))</x:f>
      </x:c>
    </x:row>
    <x:row r="169">
      <x:c r="A169" s="62"/>
      <x:c r="B169" s="62"/>
      <x:c r="C169" s="62"/>
      <x:c r="D169" s="66"/>
      <x:c r="E169" s="68"/>
      <x:c r="F169" s="62"/>
      <x:c r="G169" s="62"/>
      <x:c r="H169" s="62"/>
      <x:c r="I169" s="62"/>
      <x:c r="J169" s="62"/>
      <x:c r="K169" s="62"/>
      <x:c r="L169" s="62"/>
      <x:c r="M169" s="68"/>
      <x:c r="N169" s="68"/>
      <x:c r="O169" s="68"/>
      <x:c r="P169" s="71" t="str">
        <x:f>IF(A169="","",IF(N169&gt;0,N169,M169))</x:f>
      </x:c>
      <x:c r="Q169" s="72" t="n">
        <x:f>IF(A169="",0,IF(COUNTIF($A$5:A169,A169)=1,1,0))</x:f>
        <x:v>0</x:v>
      </x:c>
      <x:c r="R169" s="64" t="str">
        <x:f>IF(A169="","",IF(F169="C169成功",IF(AND(J169&lt;&gt;"",K169&lt;&gt;"",N169&gt;0),"有证据","缺C169证据"),IF(F169="C169发货确认中",IF(AND(J169&lt;&gt;"",K169&lt;&gt;""),"有证据","缺C169证据"),IF(F169="手动完结",IF(OR(L169&lt;&gt;"",O169&lt;&gt;"",S169&lt;&gt;""),"有记录","缺手工证据"),IF(OR(F169="卖出待补仓",F169="提交结果待确认",F169="异常待处理"),"持续跟踪","检查状态")))))</x:f>
      </x:c>
      <x:c r="T169" s="64" t="str">
        <x:f>IF(A169="","",IF(COUNTIF($A$5:$A$1204,A169)&gt;1,"重复",""))</x:f>
      </x:c>
      <x:c r="U169" s="64" t="str">
        <x:f>IF(A169="","",IF(T169="重复","检查重复",IF(OR(R169="有证据",R169="有记录",R169="持续跟踪"),"可追踪","检查")))</x:f>
      </x:c>
    </x:row>
    <x:row r="170">
      <x:c r="A170" s="62"/>
      <x:c r="B170" s="62"/>
      <x:c r="C170" s="62"/>
      <x:c r="D170" s="66"/>
      <x:c r="E170" s="68"/>
      <x:c r="F170" s="62"/>
      <x:c r="G170" s="62"/>
      <x:c r="H170" s="62"/>
      <x:c r="I170" s="62"/>
      <x:c r="J170" s="62"/>
      <x:c r="K170" s="62"/>
      <x:c r="L170" s="62"/>
      <x:c r="M170" s="68"/>
      <x:c r="N170" s="68"/>
      <x:c r="O170" s="68"/>
      <x:c r="P170" s="71" t="str">
        <x:f>IF(A170="","",IF(N170&gt;0,N170,M170))</x:f>
      </x:c>
      <x:c r="Q170" s="72" t="n">
        <x:f>IF(A170="",0,IF(COUNTIF($A$5:A170,A170)=1,1,0))</x:f>
        <x:v>0</x:v>
      </x:c>
      <x:c r="R170" s="64" t="str">
        <x:f>IF(A170="","",IF(F170="C170成功",IF(AND(J170&lt;&gt;"",K170&lt;&gt;"",N170&gt;0),"有证据","缺C170证据"),IF(F170="C170发货确认中",IF(AND(J170&lt;&gt;"",K170&lt;&gt;""),"有证据","缺C170证据"),IF(F170="手动完结",IF(OR(L170&lt;&gt;"",O170&lt;&gt;"",S170&lt;&gt;""),"有记录","缺手工证据"),IF(OR(F170="卖出待补仓",F170="提交结果待确认",F170="异常待处理"),"持续跟踪","检查状态")))))</x:f>
      </x:c>
      <x:c r="T170" s="64" t="str">
        <x:f>IF(A170="","",IF(COUNTIF($A$5:$A$1204,A170)&gt;1,"重复",""))</x:f>
      </x:c>
      <x:c r="U170" s="64" t="str">
        <x:f>IF(A170="","",IF(T170="重复","检查重复",IF(OR(R170="有证据",R170="有记录",R170="持续跟踪"),"可追踪","检查")))</x:f>
      </x:c>
    </x:row>
    <x:row r="171">
      <x:c r="A171" s="62"/>
      <x:c r="B171" s="62"/>
      <x:c r="C171" s="62"/>
      <x:c r="D171" s="66"/>
      <x:c r="E171" s="68"/>
      <x:c r="F171" s="62"/>
      <x:c r="G171" s="62"/>
      <x:c r="H171" s="62"/>
      <x:c r="I171" s="62"/>
      <x:c r="J171" s="62"/>
      <x:c r="K171" s="62"/>
      <x:c r="L171" s="62"/>
      <x:c r="M171" s="68"/>
      <x:c r="N171" s="68"/>
      <x:c r="O171" s="68"/>
      <x:c r="P171" s="71" t="str">
        <x:f>IF(A171="","",IF(N171&gt;0,N171,M171))</x:f>
      </x:c>
      <x:c r="Q171" s="72" t="n">
        <x:f>IF(A171="",0,IF(COUNTIF($A$5:A171,A171)=1,1,0))</x:f>
        <x:v>0</x:v>
      </x:c>
      <x:c r="R171" s="64" t="str">
        <x:f>IF(A171="","",IF(F171="C171成功",IF(AND(J171&lt;&gt;"",K171&lt;&gt;"",N171&gt;0),"有证据","缺C171证据"),IF(F171="C171发货确认中",IF(AND(J171&lt;&gt;"",K171&lt;&gt;""),"有证据","缺C171证据"),IF(F171="手动完结",IF(OR(L171&lt;&gt;"",O171&lt;&gt;"",S171&lt;&gt;""),"有记录","缺手工证据"),IF(OR(F171="卖出待补仓",F171="提交结果待确认",F171="异常待处理"),"持续跟踪","检查状态")))))</x:f>
      </x:c>
      <x:c r="T171" s="64" t="str">
        <x:f>IF(A171="","",IF(COUNTIF($A$5:$A$1204,A171)&gt;1,"重复",""))</x:f>
      </x:c>
      <x:c r="U171" s="64" t="str">
        <x:f>IF(A171="","",IF(T171="重复","检查重复",IF(OR(R171="有证据",R171="有记录",R171="持续跟踪"),"可追踪","检查")))</x:f>
      </x:c>
    </x:row>
    <x:row r="172">
      <x:c r="A172" s="62"/>
      <x:c r="B172" s="62"/>
      <x:c r="C172" s="62"/>
      <x:c r="D172" s="66"/>
      <x:c r="E172" s="68"/>
      <x:c r="F172" s="62"/>
      <x:c r="G172" s="62"/>
      <x:c r="H172" s="62"/>
      <x:c r="I172" s="62"/>
      <x:c r="J172" s="62"/>
      <x:c r="K172" s="62"/>
      <x:c r="L172" s="62"/>
      <x:c r="M172" s="68"/>
      <x:c r="N172" s="68"/>
      <x:c r="O172" s="68"/>
      <x:c r="P172" s="71" t="str">
        <x:f>IF(A172="","",IF(N172&gt;0,N172,M172))</x:f>
      </x:c>
      <x:c r="Q172" s="72" t="n">
        <x:f>IF(A172="",0,IF(COUNTIF($A$5:A172,A172)=1,1,0))</x:f>
        <x:v>0</x:v>
      </x:c>
      <x:c r="R172" s="64" t="str">
        <x:f>IF(A172="","",IF(F172="C172成功",IF(AND(J172&lt;&gt;"",K172&lt;&gt;"",N172&gt;0),"有证据","缺C172证据"),IF(F172="C172发货确认中",IF(AND(J172&lt;&gt;"",K172&lt;&gt;""),"有证据","缺C172证据"),IF(F172="手动完结",IF(OR(L172&lt;&gt;"",O172&lt;&gt;"",S172&lt;&gt;""),"有记录","缺手工证据"),IF(OR(F172="卖出待补仓",F172="提交结果待确认",F172="异常待处理"),"持续跟踪","检查状态")))))</x:f>
      </x:c>
      <x:c r="T172" s="64" t="str">
        <x:f>IF(A172="","",IF(COUNTIF($A$5:$A$1204,A172)&gt;1,"重复",""))</x:f>
      </x:c>
      <x:c r="U172" s="64" t="str">
        <x:f>IF(A172="","",IF(T172="重复","检查重复",IF(OR(R172="有证据",R172="有记录",R172="持续跟踪"),"可追踪","检查")))</x:f>
      </x:c>
    </x:row>
    <x:row r="173">
      <x:c r="A173" s="62"/>
      <x:c r="B173" s="62"/>
      <x:c r="C173" s="62"/>
      <x:c r="D173" s="66"/>
      <x:c r="E173" s="68"/>
      <x:c r="F173" s="62"/>
      <x:c r="G173" s="62"/>
      <x:c r="H173" s="62"/>
      <x:c r="I173" s="62"/>
      <x:c r="J173" s="62"/>
      <x:c r="K173" s="62"/>
      <x:c r="L173" s="62"/>
      <x:c r="M173" s="68"/>
      <x:c r="N173" s="68"/>
      <x:c r="O173" s="68"/>
      <x:c r="P173" s="71" t="str">
        <x:f>IF(A173="","",IF(N173&gt;0,N173,M173))</x:f>
      </x:c>
      <x:c r="Q173" s="72" t="n">
        <x:f>IF(A173="",0,IF(COUNTIF($A$5:A173,A173)=1,1,0))</x:f>
        <x:v>0</x:v>
      </x:c>
      <x:c r="R173" s="64" t="str">
        <x:f>IF(A173="","",IF(F173="C173成功",IF(AND(J173&lt;&gt;"",K173&lt;&gt;"",N173&gt;0),"有证据","缺C173证据"),IF(F173="C173发货确认中",IF(AND(J173&lt;&gt;"",K173&lt;&gt;""),"有证据","缺C173证据"),IF(F173="手动完结",IF(OR(L173&lt;&gt;"",O173&lt;&gt;"",S173&lt;&gt;""),"有记录","缺手工证据"),IF(OR(F173="卖出待补仓",F173="提交结果待确认",F173="异常待处理"),"持续跟踪","检查状态")))))</x:f>
      </x:c>
      <x:c r="T173" s="64" t="str">
        <x:f>IF(A173="","",IF(COUNTIF($A$5:$A$1204,A173)&gt;1,"重复",""))</x:f>
      </x:c>
      <x:c r="U173" s="64" t="str">
        <x:f>IF(A173="","",IF(T173="重复","检查重复",IF(OR(R173="有证据",R173="有记录",R173="持续跟踪"),"可追踪","检查")))</x:f>
      </x:c>
    </x:row>
    <x:row r="174">
      <x:c r="A174" s="62"/>
      <x:c r="B174" s="62"/>
      <x:c r="C174" s="62"/>
      <x:c r="D174" s="66"/>
      <x:c r="E174" s="68"/>
      <x:c r="F174" s="62"/>
      <x:c r="G174" s="62"/>
      <x:c r="H174" s="62"/>
      <x:c r="I174" s="62"/>
      <x:c r="J174" s="62"/>
      <x:c r="K174" s="62"/>
      <x:c r="L174" s="62"/>
      <x:c r="M174" s="68"/>
      <x:c r="N174" s="68"/>
      <x:c r="O174" s="68"/>
      <x:c r="P174" s="71" t="str">
        <x:f>IF(A174="","",IF(N174&gt;0,N174,M174))</x:f>
      </x:c>
      <x:c r="Q174" s="72" t="n">
        <x:f>IF(A174="",0,IF(COUNTIF($A$5:A174,A174)=1,1,0))</x:f>
        <x:v>0</x:v>
      </x:c>
      <x:c r="R174" s="64" t="str">
        <x:f>IF(A174="","",IF(F174="C174成功",IF(AND(J174&lt;&gt;"",K174&lt;&gt;"",N174&gt;0),"有证据","缺C174证据"),IF(F174="C174发货确认中",IF(AND(J174&lt;&gt;"",K174&lt;&gt;""),"有证据","缺C174证据"),IF(F174="手动完结",IF(OR(L174&lt;&gt;"",O174&lt;&gt;"",S174&lt;&gt;""),"有记录","缺手工证据"),IF(OR(F174="卖出待补仓",F174="提交结果待确认",F174="异常待处理"),"持续跟踪","检查状态")))))</x:f>
      </x:c>
      <x:c r="T174" s="64" t="str">
        <x:f>IF(A174="","",IF(COUNTIF($A$5:$A$1204,A174)&gt;1,"重复",""))</x:f>
      </x:c>
      <x:c r="U174" s="64" t="str">
        <x:f>IF(A174="","",IF(T174="重复","检查重复",IF(OR(R174="有证据",R174="有记录",R174="持续跟踪"),"可追踪","检查")))</x:f>
      </x:c>
    </x:row>
    <x:row r="175">
      <x:c r="A175" s="62"/>
      <x:c r="B175" s="62"/>
      <x:c r="C175" s="62"/>
      <x:c r="D175" s="66"/>
      <x:c r="E175" s="68"/>
      <x:c r="F175" s="62"/>
      <x:c r="G175" s="62"/>
      <x:c r="H175" s="62"/>
      <x:c r="I175" s="62"/>
      <x:c r="J175" s="62"/>
      <x:c r="K175" s="62"/>
      <x:c r="L175" s="62"/>
      <x:c r="M175" s="68"/>
      <x:c r="N175" s="68"/>
      <x:c r="O175" s="68"/>
      <x:c r="P175" s="71" t="str">
        <x:f>IF(A175="","",IF(N175&gt;0,N175,M175))</x:f>
      </x:c>
      <x:c r="Q175" s="72" t="n">
        <x:f>IF(A175="",0,IF(COUNTIF($A$5:A175,A175)=1,1,0))</x:f>
        <x:v>0</x:v>
      </x:c>
      <x:c r="R175" s="64" t="str">
        <x:f>IF(A175="","",IF(F175="C175成功",IF(AND(J175&lt;&gt;"",K175&lt;&gt;"",N175&gt;0),"有证据","缺C175证据"),IF(F175="C175发货确认中",IF(AND(J175&lt;&gt;"",K175&lt;&gt;""),"有证据","缺C175证据"),IF(F175="手动完结",IF(OR(L175&lt;&gt;"",O175&lt;&gt;"",S175&lt;&gt;""),"有记录","缺手工证据"),IF(OR(F175="卖出待补仓",F175="提交结果待确认",F175="异常待处理"),"持续跟踪","检查状态")))))</x:f>
      </x:c>
      <x:c r="T175" s="64" t="str">
        <x:f>IF(A175="","",IF(COUNTIF($A$5:$A$1204,A175)&gt;1,"重复",""))</x:f>
      </x:c>
      <x:c r="U175" s="64" t="str">
        <x:f>IF(A175="","",IF(T175="重复","检查重复",IF(OR(R175="有证据",R175="有记录",R175="持续跟踪"),"可追踪","检查")))</x:f>
      </x:c>
    </x:row>
    <x:row r="176">
      <x:c r="A176" s="62"/>
      <x:c r="B176" s="62"/>
      <x:c r="C176" s="62"/>
      <x:c r="D176" s="66"/>
      <x:c r="E176" s="68"/>
      <x:c r="F176" s="62"/>
      <x:c r="G176" s="62"/>
      <x:c r="H176" s="62"/>
      <x:c r="I176" s="62"/>
      <x:c r="J176" s="62"/>
      <x:c r="K176" s="62"/>
      <x:c r="L176" s="62"/>
      <x:c r="M176" s="68"/>
      <x:c r="N176" s="68"/>
      <x:c r="O176" s="68"/>
      <x:c r="P176" s="71" t="str">
        <x:f>IF(A176="","",IF(N176&gt;0,N176,M176))</x:f>
      </x:c>
      <x:c r="Q176" s="72" t="n">
        <x:f>IF(A176="",0,IF(COUNTIF($A$5:A176,A176)=1,1,0))</x:f>
        <x:v>0</x:v>
      </x:c>
      <x:c r="R176" s="64" t="str">
        <x:f>IF(A176="","",IF(F176="C176成功",IF(AND(J176&lt;&gt;"",K176&lt;&gt;"",N176&gt;0),"有证据","缺C176证据"),IF(F176="C176发货确认中",IF(AND(J176&lt;&gt;"",K176&lt;&gt;""),"有证据","缺C176证据"),IF(F176="手动完结",IF(OR(L176&lt;&gt;"",O176&lt;&gt;"",S176&lt;&gt;""),"有记录","缺手工证据"),IF(OR(F176="卖出待补仓",F176="提交结果待确认",F176="异常待处理"),"持续跟踪","检查状态")))))</x:f>
      </x:c>
      <x:c r="T176" s="64" t="str">
        <x:f>IF(A176="","",IF(COUNTIF($A$5:$A$1204,A176)&gt;1,"重复",""))</x:f>
      </x:c>
      <x:c r="U176" s="64" t="str">
        <x:f>IF(A176="","",IF(T176="重复","检查重复",IF(OR(R176="有证据",R176="有记录",R176="持续跟踪"),"可追踪","检查")))</x:f>
      </x:c>
    </x:row>
    <x:row r="177">
      <x:c r="A177" s="62"/>
      <x:c r="B177" s="62"/>
      <x:c r="C177" s="62"/>
      <x:c r="D177" s="66"/>
      <x:c r="E177" s="68"/>
      <x:c r="F177" s="62"/>
      <x:c r="G177" s="62"/>
      <x:c r="H177" s="62"/>
      <x:c r="I177" s="62"/>
      <x:c r="J177" s="62"/>
      <x:c r="K177" s="62"/>
      <x:c r="L177" s="62"/>
      <x:c r="M177" s="68"/>
      <x:c r="N177" s="68"/>
      <x:c r="O177" s="68"/>
      <x:c r="P177" s="71" t="str">
        <x:f>IF(A177="","",IF(N177&gt;0,N177,M177))</x:f>
      </x:c>
      <x:c r="Q177" s="72" t="n">
        <x:f>IF(A177="",0,IF(COUNTIF($A$5:A177,A177)=1,1,0))</x:f>
        <x:v>0</x:v>
      </x:c>
      <x:c r="R177" s="64" t="str">
        <x:f>IF(A177="","",IF(F177="C177成功",IF(AND(J177&lt;&gt;"",K177&lt;&gt;"",N177&gt;0),"有证据","缺C177证据"),IF(F177="C177发货确认中",IF(AND(J177&lt;&gt;"",K177&lt;&gt;""),"有证据","缺C177证据"),IF(F177="手动完结",IF(OR(L177&lt;&gt;"",O177&lt;&gt;"",S177&lt;&gt;""),"有记录","缺手工证据"),IF(OR(F177="卖出待补仓",F177="提交结果待确认",F177="异常待处理"),"持续跟踪","检查状态")))))</x:f>
      </x:c>
      <x:c r="T177" s="64" t="str">
        <x:f>IF(A177="","",IF(COUNTIF($A$5:$A$1204,A177)&gt;1,"重复",""))</x:f>
      </x:c>
      <x:c r="U177" s="64" t="str">
        <x:f>IF(A177="","",IF(T177="重复","检查重复",IF(OR(R177="有证据",R177="有记录",R177="持续跟踪"),"可追踪","检查")))</x:f>
      </x:c>
    </x:row>
    <x:row r="178">
      <x:c r="A178" s="62"/>
      <x:c r="B178" s="62"/>
      <x:c r="C178" s="62"/>
      <x:c r="D178" s="66"/>
      <x:c r="E178" s="68"/>
      <x:c r="F178" s="62"/>
      <x:c r="G178" s="62"/>
      <x:c r="H178" s="62"/>
      <x:c r="I178" s="62"/>
      <x:c r="J178" s="62"/>
      <x:c r="K178" s="62"/>
      <x:c r="L178" s="62"/>
      <x:c r="M178" s="68"/>
      <x:c r="N178" s="68"/>
      <x:c r="O178" s="68"/>
      <x:c r="P178" s="71" t="str">
        <x:f>IF(A178="","",IF(N178&gt;0,N178,M178))</x:f>
      </x:c>
      <x:c r="Q178" s="72" t="n">
        <x:f>IF(A178="",0,IF(COUNTIF($A$5:A178,A178)=1,1,0))</x:f>
        <x:v>0</x:v>
      </x:c>
      <x:c r="R178" s="64" t="str">
        <x:f>IF(A178="","",IF(F178="C178成功",IF(AND(J178&lt;&gt;"",K178&lt;&gt;"",N178&gt;0),"有证据","缺C178证据"),IF(F178="C178发货确认中",IF(AND(J178&lt;&gt;"",K178&lt;&gt;""),"有证据","缺C178证据"),IF(F178="手动完结",IF(OR(L178&lt;&gt;"",O178&lt;&gt;"",S178&lt;&gt;""),"有记录","缺手工证据"),IF(OR(F178="卖出待补仓",F178="提交结果待确认",F178="异常待处理"),"持续跟踪","检查状态")))))</x:f>
      </x:c>
      <x:c r="T178" s="64" t="str">
        <x:f>IF(A178="","",IF(COUNTIF($A$5:$A$1204,A178)&gt;1,"重复",""))</x:f>
      </x:c>
      <x:c r="U178" s="64" t="str">
        <x:f>IF(A178="","",IF(T178="重复","检查重复",IF(OR(R178="有证据",R178="有记录",R178="持续跟踪"),"可追踪","检查")))</x:f>
      </x:c>
    </x:row>
    <x:row r="179">
      <x:c r="A179" s="62"/>
      <x:c r="B179" s="62"/>
      <x:c r="C179" s="62"/>
      <x:c r="D179" s="66"/>
      <x:c r="E179" s="68"/>
      <x:c r="F179" s="62"/>
      <x:c r="G179" s="62"/>
      <x:c r="H179" s="62"/>
      <x:c r="I179" s="62"/>
      <x:c r="J179" s="62"/>
      <x:c r="K179" s="62"/>
      <x:c r="L179" s="62"/>
      <x:c r="M179" s="68"/>
      <x:c r="N179" s="68"/>
      <x:c r="O179" s="68"/>
      <x:c r="P179" s="71" t="str">
        <x:f>IF(A179="","",IF(N179&gt;0,N179,M179))</x:f>
      </x:c>
      <x:c r="Q179" s="72" t="n">
        <x:f>IF(A179="",0,IF(COUNTIF($A$5:A179,A179)=1,1,0))</x:f>
        <x:v>0</x:v>
      </x:c>
      <x:c r="R179" s="64" t="str">
        <x:f>IF(A179="","",IF(F179="C179成功",IF(AND(J179&lt;&gt;"",K179&lt;&gt;"",N179&gt;0),"有证据","缺C179证据"),IF(F179="C179发货确认中",IF(AND(J179&lt;&gt;"",K179&lt;&gt;""),"有证据","缺C179证据"),IF(F179="手动完结",IF(OR(L179&lt;&gt;"",O179&lt;&gt;"",S179&lt;&gt;""),"有记录","缺手工证据"),IF(OR(F179="卖出待补仓",F179="提交结果待确认",F179="异常待处理"),"持续跟踪","检查状态")))))</x:f>
      </x:c>
      <x:c r="T179" s="64" t="str">
        <x:f>IF(A179="","",IF(COUNTIF($A$5:$A$1204,A179)&gt;1,"重复",""))</x:f>
      </x:c>
      <x:c r="U179" s="64" t="str">
        <x:f>IF(A179="","",IF(T179="重复","检查重复",IF(OR(R179="有证据",R179="有记录",R179="持续跟踪"),"可追踪","检查")))</x:f>
      </x:c>
    </x:row>
    <x:row r="180">
      <x:c r="A180" s="62"/>
      <x:c r="B180" s="62"/>
      <x:c r="C180" s="62"/>
      <x:c r="D180" s="66"/>
      <x:c r="E180" s="68"/>
      <x:c r="F180" s="62"/>
      <x:c r="G180" s="62"/>
      <x:c r="H180" s="62"/>
      <x:c r="I180" s="62"/>
      <x:c r="J180" s="62"/>
      <x:c r="K180" s="62"/>
      <x:c r="L180" s="62"/>
      <x:c r="M180" s="68"/>
      <x:c r="N180" s="68"/>
      <x:c r="O180" s="68"/>
      <x:c r="P180" s="71" t="str">
        <x:f>IF(A180="","",IF(N180&gt;0,N180,M180))</x:f>
      </x:c>
      <x:c r="Q180" s="72" t="n">
        <x:f>IF(A180="",0,IF(COUNTIF($A$5:A180,A180)=1,1,0))</x:f>
        <x:v>0</x:v>
      </x:c>
      <x:c r="R180" s="64" t="str">
        <x:f>IF(A180="","",IF(F180="C180成功",IF(AND(J180&lt;&gt;"",K180&lt;&gt;"",N180&gt;0),"有证据","缺C180证据"),IF(F180="C180发货确认中",IF(AND(J180&lt;&gt;"",K180&lt;&gt;""),"有证据","缺C180证据"),IF(F180="手动完结",IF(OR(L180&lt;&gt;"",O180&lt;&gt;"",S180&lt;&gt;""),"有记录","缺手工证据"),IF(OR(F180="卖出待补仓",F180="提交结果待确认",F180="异常待处理"),"持续跟踪","检查状态")))))</x:f>
      </x:c>
      <x:c r="T180" s="64" t="str">
        <x:f>IF(A180="","",IF(COUNTIF($A$5:$A$1204,A180)&gt;1,"重复",""))</x:f>
      </x:c>
      <x:c r="U180" s="64" t="str">
        <x:f>IF(A180="","",IF(T180="重复","检查重复",IF(OR(R180="有证据",R180="有记录",R180="持续跟踪"),"可追踪","检查")))</x:f>
      </x:c>
    </x:row>
    <x:row r="181">
      <x:c r="A181" s="62"/>
      <x:c r="B181" s="62"/>
      <x:c r="C181" s="62"/>
      <x:c r="D181" s="66"/>
      <x:c r="E181" s="68"/>
      <x:c r="F181" s="62"/>
      <x:c r="G181" s="62"/>
      <x:c r="H181" s="62"/>
      <x:c r="I181" s="62"/>
      <x:c r="J181" s="62"/>
      <x:c r="K181" s="62"/>
      <x:c r="L181" s="62"/>
      <x:c r="M181" s="68"/>
      <x:c r="N181" s="68"/>
      <x:c r="O181" s="68"/>
      <x:c r="P181" s="71" t="str">
        <x:f>IF(A181="","",IF(N181&gt;0,N181,M181))</x:f>
      </x:c>
      <x:c r="Q181" s="72" t="n">
        <x:f>IF(A181="",0,IF(COUNTIF($A$5:A181,A181)=1,1,0))</x:f>
        <x:v>0</x:v>
      </x:c>
      <x:c r="R181" s="64" t="str">
        <x:f>IF(A181="","",IF(F181="C181成功",IF(AND(J181&lt;&gt;"",K181&lt;&gt;"",N181&gt;0),"有证据","缺C181证据"),IF(F181="C181发货确认中",IF(AND(J181&lt;&gt;"",K181&lt;&gt;""),"有证据","缺C181证据"),IF(F181="手动完结",IF(OR(L181&lt;&gt;"",O181&lt;&gt;"",S181&lt;&gt;""),"有记录","缺手工证据"),IF(OR(F181="卖出待补仓",F181="提交结果待确认",F181="异常待处理"),"持续跟踪","检查状态")))))</x:f>
      </x:c>
      <x:c r="T181" s="64" t="str">
        <x:f>IF(A181="","",IF(COUNTIF($A$5:$A$1204,A181)&gt;1,"重复",""))</x:f>
      </x:c>
      <x:c r="U181" s="64" t="str">
        <x:f>IF(A181="","",IF(T181="重复","检查重复",IF(OR(R181="有证据",R181="有记录",R181="持续跟踪"),"可追踪","检查")))</x:f>
      </x:c>
    </x:row>
    <x:row r="182">
      <x:c r="A182" s="62"/>
      <x:c r="B182" s="62"/>
      <x:c r="C182" s="62"/>
      <x:c r="D182" s="66"/>
      <x:c r="E182" s="68"/>
      <x:c r="F182" s="62"/>
      <x:c r="G182" s="62"/>
      <x:c r="H182" s="62"/>
      <x:c r="I182" s="62"/>
      <x:c r="J182" s="62"/>
      <x:c r="K182" s="62"/>
      <x:c r="L182" s="62"/>
      <x:c r="M182" s="68"/>
      <x:c r="N182" s="68"/>
      <x:c r="O182" s="68"/>
      <x:c r="P182" s="71" t="str">
        <x:f>IF(A182="","",IF(N182&gt;0,N182,M182))</x:f>
      </x:c>
      <x:c r="Q182" s="72" t="n">
        <x:f>IF(A182="",0,IF(COUNTIF($A$5:A182,A182)=1,1,0))</x:f>
        <x:v>0</x:v>
      </x:c>
      <x:c r="R182" s="64" t="str">
        <x:f>IF(A182="","",IF(F182="C182成功",IF(AND(J182&lt;&gt;"",K182&lt;&gt;"",N182&gt;0),"有证据","缺C182证据"),IF(F182="C182发货确认中",IF(AND(J182&lt;&gt;"",K182&lt;&gt;""),"有证据","缺C182证据"),IF(F182="手动完结",IF(OR(L182&lt;&gt;"",O182&lt;&gt;"",S182&lt;&gt;""),"有记录","缺手工证据"),IF(OR(F182="卖出待补仓",F182="提交结果待确认",F182="异常待处理"),"持续跟踪","检查状态")))))</x:f>
      </x:c>
      <x:c r="T182" s="64" t="str">
        <x:f>IF(A182="","",IF(COUNTIF($A$5:$A$1204,A182)&gt;1,"重复",""))</x:f>
      </x:c>
      <x:c r="U182" s="64" t="str">
        <x:f>IF(A182="","",IF(T182="重复","检查重复",IF(OR(R182="有证据",R182="有记录",R182="持续跟踪"),"可追踪","检查")))</x:f>
      </x:c>
    </x:row>
    <x:row r="183">
      <x:c r="A183" s="62"/>
      <x:c r="B183" s="62"/>
      <x:c r="C183" s="62"/>
      <x:c r="D183" s="66"/>
      <x:c r="E183" s="68"/>
      <x:c r="F183" s="62"/>
      <x:c r="G183" s="62"/>
      <x:c r="H183" s="62"/>
      <x:c r="I183" s="62"/>
      <x:c r="J183" s="62"/>
      <x:c r="K183" s="62"/>
      <x:c r="L183" s="62"/>
      <x:c r="M183" s="68"/>
      <x:c r="N183" s="68"/>
      <x:c r="O183" s="68"/>
      <x:c r="P183" s="71" t="str">
        <x:f>IF(A183="","",IF(N183&gt;0,N183,M183))</x:f>
      </x:c>
      <x:c r="Q183" s="72" t="n">
        <x:f>IF(A183="",0,IF(COUNTIF($A$5:A183,A183)=1,1,0))</x:f>
        <x:v>0</x:v>
      </x:c>
      <x:c r="R183" s="64" t="str">
        <x:f>IF(A183="","",IF(F183="C183成功",IF(AND(J183&lt;&gt;"",K183&lt;&gt;"",N183&gt;0),"有证据","缺C183证据"),IF(F183="C183发货确认中",IF(AND(J183&lt;&gt;"",K183&lt;&gt;""),"有证据","缺C183证据"),IF(F183="手动完结",IF(OR(L183&lt;&gt;"",O183&lt;&gt;"",S183&lt;&gt;""),"有记录","缺手工证据"),IF(OR(F183="卖出待补仓",F183="提交结果待确认",F183="异常待处理"),"持续跟踪","检查状态")))))</x:f>
      </x:c>
      <x:c r="T183" s="64" t="str">
        <x:f>IF(A183="","",IF(COUNTIF($A$5:$A$1204,A183)&gt;1,"重复",""))</x:f>
      </x:c>
      <x:c r="U183" s="64" t="str">
        <x:f>IF(A183="","",IF(T183="重复","检查重复",IF(OR(R183="有证据",R183="有记录",R183="持续跟踪"),"可追踪","检查")))</x:f>
      </x:c>
    </x:row>
    <x:row r="184">
      <x:c r="A184" s="62"/>
      <x:c r="B184" s="62"/>
      <x:c r="C184" s="62"/>
      <x:c r="D184" s="66"/>
      <x:c r="E184" s="68"/>
      <x:c r="F184" s="62"/>
      <x:c r="G184" s="62"/>
      <x:c r="H184" s="62"/>
      <x:c r="I184" s="62"/>
      <x:c r="J184" s="62"/>
      <x:c r="K184" s="62"/>
      <x:c r="L184" s="62"/>
      <x:c r="M184" s="68"/>
      <x:c r="N184" s="68"/>
      <x:c r="O184" s="68"/>
      <x:c r="P184" s="71" t="str">
        <x:f>IF(A184="","",IF(N184&gt;0,N184,M184))</x:f>
      </x:c>
      <x:c r="Q184" s="72" t="n">
        <x:f>IF(A184="",0,IF(COUNTIF($A$5:A184,A184)=1,1,0))</x:f>
        <x:v>0</x:v>
      </x:c>
      <x:c r="R184" s="64" t="str">
        <x:f>IF(A184="","",IF(F184="C184成功",IF(AND(J184&lt;&gt;"",K184&lt;&gt;"",N184&gt;0),"有证据","缺C184证据"),IF(F184="C184发货确认中",IF(AND(J184&lt;&gt;"",K184&lt;&gt;""),"有证据","缺C184证据"),IF(F184="手动完结",IF(OR(L184&lt;&gt;"",O184&lt;&gt;"",S184&lt;&gt;""),"有记录","缺手工证据"),IF(OR(F184="卖出待补仓",F184="提交结果待确认",F184="异常待处理"),"持续跟踪","检查状态")))))</x:f>
      </x:c>
      <x:c r="T184" s="64" t="str">
        <x:f>IF(A184="","",IF(COUNTIF($A$5:$A$1204,A184)&gt;1,"重复",""))</x:f>
      </x:c>
      <x:c r="U184" s="64" t="str">
        <x:f>IF(A184="","",IF(T184="重复","检查重复",IF(OR(R184="有证据",R184="有记录",R184="持续跟踪"),"可追踪","检查")))</x:f>
      </x:c>
    </x:row>
    <x:row r="185">
      <x:c r="A185" s="62"/>
      <x:c r="B185" s="62"/>
      <x:c r="C185" s="62"/>
      <x:c r="D185" s="66"/>
      <x:c r="E185" s="68"/>
      <x:c r="F185" s="62"/>
      <x:c r="G185" s="62"/>
      <x:c r="H185" s="62"/>
      <x:c r="I185" s="62"/>
      <x:c r="J185" s="62"/>
      <x:c r="K185" s="62"/>
      <x:c r="L185" s="62"/>
      <x:c r="M185" s="68"/>
      <x:c r="N185" s="68"/>
      <x:c r="O185" s="68"/>
      <x:c r="P185" s="71" t="str">
        <x:f>IF(A185="","",IF(N185&gt;0,N185,M185))</x:f>
      </x:c>
      <x:c r="Q185" s="72" t="n">
        <x:f>IF(A185="",0,IF(COUNTIF($A$5:A185,A185)=1,1,0))</x:f>
        <x:v>0</x:v>
      </x:c>
      <x:c r="R185" s="64" t="str">
        <x:f>IF(A185="","",IF(F185="C185成功",IF(AND(J185&lt;&gt;"",K185&lt;&gt;"",N185&gt;0),"有证据","缺C185证据"),IF(F185="C185发货确认中",IF(AND(J185&lt;&gt;"",K185&lt;&gt;""),"有证据","缺C185证据"),IF(F185="手动完结",IF(OR(L185&lt;&gt;"",O185&lt;&gt;"",S185&lt;&gt;""),"有记录","缺手工证据"),IF(OR(F185="卖出待补仓",F185="提交结果待确认",F185="异常待处理"),"持续跟踪","检查状态")))))</x:f>
      </x:c>
      <x:c r="T185" s="64" t="str">
        <x:f>IF(A185="","",IF(COUNTIF($A$5:$A$1204,A185)&gt;1,"重复",""))</x:f>
      </x:c>
      <x:c r="U185" s="64" t="str">
        <x:f>IF(A185="","",IF(T185="重复","检查重复",IF(OR(R185="有证据",R185="有记录",R185="持续跟踪"),"可追踪","检查")))</x:f>
      </x:c>
    </x:row>
    <x:row r="186">
      <x:c r="A186" s="62"/>
      <x:c r="B186" s="62"/>
      <x:c r="C186" s="62"/>
      <x:c r="D186" s="66"/>
      <x:c r="E186" s="68"/>
      <x:c r="F186" s="62"/>
      <x:c r="G186" s="62"/>
      <x:c r="H186" s="62"/>
      <x:c r="I186" s="62"/>
      <x:c r="J186" s="62"/>
      <x:c r="K186" s="62"/>
      <x:c r="L186" s="62"/>
      <x:c r="M186" s="68"/>
      <x:c r="N186" s="68"/>
      <x:c r="O186" s="68"/>
      <x:c r="P186" s="71" t="str">
        <x:f>IF(A186="","",IF(N186&gt;0,N186,M186))</x:f>
      </x:c>
      <x:c r="Q186" s="72" t="n">
        <x:f>IF(A186="",0,IF(COUNTIF($A$5:A186,A186)=1,1,0))</x:f>
        <x:v>0</x:v>
      </x:c>
      <x:c r="R186" s="64" t="str">
        <x:f>IF(A186="","",IF(F186="C186成功",IF(AND(J186&lt;&gt;"",K186&lt;&gt;"",N186&gt;0),"有证据","缺C186证据"),IF(F186="C186发货确认中",IF(AND(J186&lt;&gt;"",K186&lt;&gt;""),"有证据","缺C186证据"),IF(F186="手动完结",IF(OR(L186&lt;&gt;"",O186&lt;&gt;"",S186&lt;&gt;""),"有记录","缺手工证据"),IF(OR(F186="卖出待补仓",F186="提交结果待确认",F186="异常待处理"),"持续跟踪","检查状态")))))</x:f>
      </x:c>
      <x:c r="T186" s="64" t="str">
        <x:f>IF(A186="","",IF(COUNTIF($A$5:$A$1204,A186)&gt;1,"重复",""))</x:f>
      </x:c>
      <x:c r="U186" s="64" t="str">
        <x:f>IF(A186="","",IF(T186="重复","检查重复",IF(OR(R186="有证据",R186="有记录",R186="持续跟踪"),"可追踪","检查")))</x:f>
      </x:c>
    </x:row>
    <x:row r="187">
      <x:c r="A187" s="62"/>
      <x:c r="B187" s="62"/>
      <x:c r="C187" s="62"/>
      <x:c r="D187" s="66"/>
      <x:c r="E187" s="68"/>
      <x:c r="F187" s="62"/>
      <x:c r="G187" s="62"/>
      <x:c r="H187" s="62"/>
      <x:c r="I187" s="62"/>
      <x:c r="J187" s="62"/>
      <x:c r="K187" s="62"/>
      <x:c r="L187" s="62"/>
      <x:c r="M187" s="68"/>
      <x:c r="N187" s="68"/>
      <x:c r="O187" s="68"/>
      <x:c r="P187" s="71" t="str">
        <x:f>IF(A187="","",IF(N187&gt;0,N187,M187))</x:f>
      </x:c>
      <x:c r="Q187" s="72" t="n">
        <x:f>IF(A187="",0,IF(COUNTIF($A$5:A187,A187)=1,1,0))</x:f>
        <x:v>0</x:v>
      </x:c>
      <x:c r="R187" s="64" t="str">
        <x:f>IF(A187="","",IF(F187="C187成功",IF(AND(J187&lt;&gt;"",K187&lt;&gt;"",N187&gt;0),"有证据","缺C187证据"),IF(F187="C187发货确认中",IF(AND(J187&lt;&gt;"",K187&lt;&gt;""),"有证据","缺C187证据"),IF(F187="手动完结",IF(OR(L187&lt;&gt;"",O187&lt;&gt;"",S187&lt;&gt;""),"有记录","缺手工证据"),IF(OR(F187="卖出待补仓",F187="提交结果待确认",F187="异常待处理"),"持续跟踪","检查状态")))))</x:f>
      </x:c>
      <x:c r="T187" s="64" t="str">
        <x:f>IF(A187="","",IF(COUNTIF($A$5:$A$1204,A187)&gt;1,"重复",""))</x:f>
      </x:c>
      <x:c r="U187" s="64" t="str">
        <x:f>IF(A187="","",IF(T187="重复","检查重复",IF(OR(R187="有证据",R187="有记录",R187="持续跟踪"),"可追踪","检查")))</x:f>
      </x:c>
    </x:row>
    <x:row r="188">
      <x:c r="A188" s="62"/>
      <x:c r="B188" s="62"/>
      <x:c r="C188" s="62"/>
      <x:c r="D188" s="66"/>
      <x:c r="E188" s="68"/>
      <x:c r="F188" s="62"/>
      <x:c r="G188" s="62"/>
      <x:c r="H188" s="62"/>
      <x:c r="I188" s="62"/>
      <x:c r="J188" s="62"/>
      <x:c r="K188" s="62"/>
      <x:c r="L188" s="62"/>
      <x:c r="M188" s="68"/>
      <x:c r="N188" s="68"/>
      <x:c r="O188" s="68"/>
      <x:c r="P188" s="71" t="str">
        <x:f>IF(A188="","",IF(N188&gt;0,N188,M188))</x:f>
      </x:c>
      <x:c r="Q188" s="72" t="n">
        <x:f>IF(A188="",0,IF(COUNTIF($A$5:A188,A188)=1,1,0))</x:f>
        <x:v>0</x:v>
      </x:c>
      <x:c r="R188" s="64" t="str">
        <x:f>IF(A188="","",IF(F188="C188成功",IF(AND(J188&lt;&gt;"",K188&lt;&gt;"",N188&gt;0),"有证据","缺C188证据"),IF(F188="C188发货确认中",IF(AND(J188&lt;&gt;"",K188&lt;&gt;""),"有证据","缺C188证据"),IF(F188="手动完结",IF(OR(L188&lt;&gt;"",O188&lt;&gt;"",S188&lt;&gt;""),"有记录","缺手工证据"),IF(OR(F188="卖出待补仓",F188="提交结果待确认",F188="异常待处理"),"持续跟踪","检查状态")))))</x:f>
      </x:c>
      <x:c r="T188" s="64" t="str">
        <x:f>IF(A188="","",IF(COUNTIF($A$5:$A$1204,A188)&gt;1,"重复",""))</x:f>
      </x:c>
      <x:c r="U188" s="64" t="str">
        <x:f>IF(A188="","",IF(T188="重复","检查重复",IF(OR(R188="有证据",R188="有记录",R188="持续跟踪"),"可追踪","检查")))</x:f>
      </x:c>
    </x:row>
    <x:row r="189">
      <x:c r="A189" s="62"/>
      <x:c r="B189" s="62"/>
      <x:c r="C189" s="62"/>
      <x:c r="D189" s="66"/>
      <x:c r="E189" s="68"/>
      <x:c r="F189" s="62"/>
      <x:c r="G189" s="62"/>
      <x:c r="H189" s="62"/>
      <x:c r="I189" s="62"/>
      <x:c r="J189" s="62"/>
      <x:c r="K189" s="62"/>
      <x:c r="L189" s="62"/>
      <x:c r="M189" s="68"/>
      <x:c r="N189" s="68"/>
      <x:c r="O189" s="68"/>
      <x:c r="P189" s="71" t="str">
        <x:f>IF(A189="","",IF(N189&gt;0,N189,M189))</x:f>
      </x:c>
      <x:c r="Q189" s="72" t="n">
        <x:f>IF(A189="",0,IF(COUNTIF($A$5:A189,A189)=1,1,0))</x:f>
        <x:v>0</x:v>
      </x:c>
      <x:c r="R189" s="64" t="str">
        <x:f>IF(A189="","",IF(F189="C189成功",IF(AND(J189&lt;&gt;"",K189&lt;&gt;"",N189&gt;0),"有证据","缺C189证据"),IF(F189="C189发货确认中",IF(AND(J189&lt;&gt;"",K189&lt;&gt;""),"有证据","缺C189证据"),IF(F189="手动完结",IF(OR(L189&lt;&gt;"",O189&lt;&gt;"",S189&lt;&gt;""),"有记录","缺手工证据"),IF(OR(F189="卖出待补仓",F189="提交结果待确认",F189="异常待处理"),"持续跟踪","检查状态")))))</x:f>
      </x:c>
      <x:c r="T189" s="64" t="str">
        <x:f>IF(A189="","",IF(COUNTIF($A$5:$A$1204,A189)&gt;1,"重复",""))</x:f>
      </x:c>
      <x:c r="U189" s="64" t="str">
        <x:f>IF(A189="","",IF(T189="重复","检查重复",IF(OR(R189="有证据",R189="有记录",R189="持续跟踪"),"可追踪","检查")))</x:f>
      </x:c>
    </x:row>
    <x:row r="190">
      <x:c r="A190" s="62"/>
      <x:c r="B190" s="62"/>
      <x:c r="C190" s="62"/>
      <x:c r="D190" s="66"/>
      <x:c r="E190" s="68"/>
      <x:c r="F190" s="62"/>
      <x:c r="G190" s="62"/>
      <x:c r="H190" s="62"/>
      <x:c r="I190" s="62"/>
      <x:c r="J190" s="62"/>
      <x:c r="K190" s="62"/>
      <x:c r="L190" s="62"/>
      <x:c r="M190" s="68"/>
      <x:c r="N190" s="68"/>
      <x:c r="O190" s="68"/>
      <x:c r="P190" s="71" t="str">
        <x:f>IF(A190="","",IF(N190&gt;0,N190,M190))</x:f>
      </x:c>
      <x:c r="Q190" s="72" t="n">
        <x:f>IF(A190="",0,IF(COUNTIF($A$5:A190,A190)=1,1,0))</x:f>
        <x:v>0</x:v>
      </x:c>
      <x:c r="R190" s="64" t="str">
        <x:f>IF(A190="","",IF(F190="C190成功",IF(AND(J190&lt;&gt;"",K190&lt;&gt;"",N190&gt;0),"有证据","缺C190证据"),IF(F190="C190发货确认中",IF(AND(J190&lt;&gt;"",K190&lt;&gt;""),"有证据","缺C190证据"),IF(F190="手动完结",IF(OR(L190&lt;&gt;"",O190&lt;&gt;"",S190&lt;&gt;""),"有记录","缺手工证据"),IF(OR(F190="卖出待补仓",F190="提交结果待确认",F190="异常待处理"),"持续跟踪","检查状态")))))</x:f>
      </x:c>
      <x:c r="T190" s="64" t="str">
        <x:f>IF(A190="","",IF(COUNTIF($A$5:$A$1204,A190)&gt;1,"重复",""))</x:f>
      </x:c>
      <x:c r="U190" s="64" t="str">
        <x:f>IF(A190="","",IF(T190="重复","检查重复",IF(OR(R190="有证据",R190="有记录",R190="持续跟踪"),"可追踪","检查")))</x:f>
      </x:c>
    </x:row>
    <x:row r="191">
      <x:c r="A191" s="62"/>
      <x:c r="B191" s="62"/>
      <x:c r="C191" s="62"/>
      <x:c r="D191" s="66"/>
      <x:c r="E191" s="68"/>
      <x:c r="F191" s="62"/>
      <x:c r="G191" s="62"/>
      <x:c r="H191" s="62"/>
      <x:c r="I191" s="62"/>
      <x:c r="J191" s="62"/>
      <x:c r="K191" s="62"/>
      <x:c r="L191" s="62"/>
      <x:c r="M191" s="68"/>
      <x:c r="N191" s="68"/>
      <x:c r="O191" s="68"/>
      <x:c r="P191" s="71" t="str">
        <x:f>IF(A191="","",IF(N191&gt;0,N191,M191))</x:f>
      </x:c>
      <x:c r="Q191" s="72" t="n">
        <x:f>IF(A191="",0,IF(COUNTIF($A$5:A191,A191)=1,1,0))</x:f>
        <x:v>0</x:v>
      </x:c>
      <x:c r="R191" s="64" t="str">
        <x:f>IF(A191="","",IF(F191="C191成功",IF(AND(J191&lt;&gt;"",K191&lt;&gt;"",N191&gt;0),"有证据","缺C191证据"),IF(F191="C191发货确认中",IF(AND(J191&lt;&gt;"",K191&lt;&gt;""),"有证据","缺C191证据"),IF(F191="手动完结",IF(OR(L191&lt;&gt;"",O191&lt;&gt;"",S191&lt;&gt;""),"有记录","缺手工证据"),IF(OR(F191="卖出待补仓",F191="提交结果待确认",F191="异常待处理"),"持续跟踪","检查状态")))))</x:f>
      </x:c>
      <x:c r="T191" s="64" t="str">
        <x:f>IF(A191="","",IF(COUNTIF($A$5:$A$1204,A191)&gt;1,"重复",""))</x:f>
      </x:c>
      <x:c r="U191" s="64" t="str">
        <x:f>IF(A191="","",IF(T191="重复","检查重复",IF(OR(R191="有证据",R191="有记录",R191="持续跟踪"),"可追踪","检查")))</x:f>
      </x:c>
    </x:row>
    <x:row r="192">
      <x:c r="A192" s="62"/>
      <x:c r="B192" s="62"/>
      <x:c r="C192" s="62"/>
      <x:c r="D192" s="66"/>
      <x:c r="E192" s="68"/>
      <x:c r="F192" s="62"/>
      <x:c r="G192" s="62"/>
      <x:c r="H192" s="62"/>
      <x:c r="I192" s="62"/>
      <x:c r="J192" s="62"/>
      <x:c r="K192" s="62"/>
      <x:c r="L192" s="62"/>
      <x:c r="M192" s="68"/>
      <x:c r="N192" s="68"/>
      <x:c r="O192" s="68"/>
      <x:c r="P192" s="71" t="str">
        <x:f>IF(A192="","",IF(N192&gt;0,N192,M192))</x:f>
      </x:c>
      <x:c r="Q192" s="72" t="n">
        <x:f>IF(A192="",0,IF(COUNTIF($A$5:A192,A192)=1,1,0))</x:f>
        <x:v>0</x:v>
      </x:c>
      <x:c r="R192" s="64" t="str">
        <x:f>IF(A192="","",IF(F192="C192成功",IF(AND(J192&lt;&gt;"",K192&lt;&gt;"",N192&gt;0),"有证据","缺C192证据"),IF(F192="C192发货确认中",IF(AND(J192&lt;&gt;"",K192&lt;&gt;""),"有证据","缺C192证据"),IF(F192="手动完结",IF(OR(L192&lt;&gt;"",O192&lt;&gt;"",S192&lt;&gt;""),"有记录","缺手工证据"),IF(OR(F192="卖出待补仓",F192="提交结果待确认",F192="异常待处理"),"持续跟踪","检查状态")))))</x:f>
      </x:c>
      <x:c r="T192" s="64" t="str">
        <x:f>IF(A192="","",IF(COUNTIF($A$5:$A$1204,A192)&gt;1,"重复",""))</x:f>
      </x:c>
      <x:c r="U192" s="64" t="str">
        <x:f>IF(A192="","",IF(T192="重复","检查重复",IF(OR(R192="有证据",R192="有记录",R192="持续跟踪"),"可追踪","检查")))</x:f>
      </x:c>
    </x:row>
    <x:row r="193">
      <x:c r="A193" s="62"/>
      <x:c r="B193" s="62"/>
      <x:c r="C193" s="62"/>
      <x:c r="D193" s="66"/>
      <x:c r="E193" s="68"/>
      <x:c r="F193" s="62"/>
      <x:c r="G193" s="62"/>
      <x:c r="H193" s="62"/>
      <x:c r="I193" s="62"/>
      <x:c r="J193" s="62"/>
      <x:c r="K193" s="62"/>
      <x:c r="L193" s="62"/>
      <x:c r="M193" s="68"/>
      <x:c r="N193" s="68"/>
      <x:c r="O193" s="68"/>
      <x:c r="P193" s="71" t="str">
        <x:f>IF(A193="","",IF(N193&gt;0,N193,M193))</x:f>
      </x:c>
      <x:c r="Q193" s="72" t="n">
        <x:f>IF(A193="",0,IF(COUNTIF($A$5:A193,A193)=1,1,0))</x:f>
        <x:v>0</x:v>
      </x:c>
      <x:c r="R193" s="64" t="str">
        <x:f>IF(A193="","",IF(F193="C193成功",IF(AND(J193&lt;&gt;"",K193&lt;&gt;"",N193&gt;0),"有证据","缺C193证据"),IF(F193="C193发货确认中",IF(AND(J193&lt;&gt;"",K193&lt;&gt;""),"有证据","缺C193证据"),IF(F193="手动完结",IF(OR(L193&lt;&gt;"",O193&lt;&gt;"",S193&lt;&gt;""),"有记录","缺手工证据"),IF(OR(F193="卖出待补仓",F193="提交结果待确认",F193="异常待处理"),"持续跟踪","检查状态")))))</x:f>
      </x:c>
      <x:c r="T193" s="64" t="str">
        <x:f>IF(A193="","",IF(COUNTIF($A$5:$A$1204,A193)&gt;1,"重复",""))</x:f>
      </x:c>
      <x:c r="U193" s="64" t="str">
        <x:f>IF(A193="","",IF(T193="重复","检查重复",IF(OR(R193="有证据",R193="有记录",R193="持续跟踪"),"可追踪","检查")))</x:f>
      </x:c>
    </x:row>
    <x:row r="194">
      <x:c r="A194" s="62"/>
      <x:c r="B194" s="62"/>
      <x:c r="C194" s="62"/>
      <x:c r="D194" s="66"/>
      <x:c r="E194" s="68"/>
      <x:c r="F194" s="62"/>
      <x:c r="G194" s="62"/>
      <x:c r="H194" s="62"/>
      <x:c r="I194" s="62"/>
      <x:c r="J194" s="62"/>
      <x:c r="K194" s="62"/>
      <x:c r="L194" s="62"/>
      <x:c r="M194" s="68"/>
      <x:c r="N194" s="68"/>
      <x:c r="O194" s="68"/>
      <x:c r="P194" s="71" t="str">
        <x:f>IF(A194="","",IF(N194&gt;0,N194,M194))</x:f>
      </x:c>
      <x:c r="Q194" s="72" t="n">
        <x:f>IF(A194="",0,IF(COUNTIF($A$5:A194,A194)=1,1,0))</x:f>
        <x:v>0</x:v>
      </x:c>
      <x:c r="R194" s="64" t="str">
        <x:f>IF(A194="","",IF(F194="C194成功",IF(AND(J194&lt;&gt;"",K194&lt;&gt;"",N194&gt;0),"有证据","缺C194证据"),IF(F194="C194发货确认中",IF(AND(J194&lt;&gt;"",K194&lt;&gt;""),"有证据","缺C194证据"),IF(F194="手动完结",IF(OR(L194&lt;&gt;"",O194&lt;&gt;"",S194&lt;&gt;""),"有记录","缺手工证据"),IF(OR(F194="卖出待补仓",F194="提交结果待确认",F194="异常待处理"),"持续跟踪","检查状态")))))</x:f>
      </x:c>
      <x:c r="T194" s="64" t="str">
        <x:f>IF(A194="","",IF(COUNTIF($A$5:$A$1204,A194)&gt;1,"重复",""))</x:f>
      </x:c>
      <x:c r="U194" s="64" t="str">
        <x:f>IF(A194="","",IF(T194="重复","检查重复",IF(OR(R194="有证据",R194="有记录",R194="持续跟踪"),"可追踪","检查")))</x:f>
      </x:c>
    </x:row>
    <x:row r="195">
      <x:c r="A195" s="62"/>
      <x:c r="B195" s="62"/>
      <x:c r="C195" s="62"/>
      <x:c r="D195" s="66"/>
      <x:c r="E195" s="68"/>
      <x:c r="F195" s="62"/>
      <x:c r="G195" s="62"/>
      <x:c r="H195" s="62"/>
      <x:c r="I195" s="62"/>
      <x:c r="J195" s="62"/>
      <x:c r="K195" s="62"/>
      <x:c r="L195" s="62"/>
      <x:c r="M195" s="68"/>
      <x:c r="N195" s="68"/>
      <x:c r="O195" s="68"/>
      <x:c r="P195" s="71" t="str">
        <x:f>IF(A195="","",IF(N195&gt;0,N195,M195))</x:f>
      </x:c>
      <x:c r="Q195" s="72" t="n">
        <x:f>IF(A195="",0,IF(COUNTIF($A$5:A195,A195)=1,1,0))</x:f>
        <x:v>0</x:v>
      </x:c>
      <x:c r="R195" s="64" t="str">
        <x:f>IF(A195="","",IF(F195="C195成功",IF(AND(J195&lt;&gt;"",K195&lt;&gt;"",N195&gt;0),"有证据","缺C195证据"),IF(F195="C195发货确认中",IF(AND(J195&lt;&gt;"",K195&lt;&gt;""),"有证据","缺C195证据"),IF(F195="手动完结",IF(OR(L195&lt;&gt;"",O195&lt;&gt;"",S195&lt;&gt;""),"有记录","缺手工证据"),IF(OR(F195="卖出待补仓",F195="提交结果待确认",F195="异常待处理"),"持续跟踪","检查状态")))))</x:f>
      </x:c>
      <x:c r="T195" s="64" t="str">
        <x:f>IF(A195="","",IF(COUNTIF($A$5:$A$1204,A195)&gt;1,"重复",""))</x:f>
      </x:c>
      <x:c r="U195" s="64" t="str">
        <x:f>IF(A195="","",IF(T195="重复","检查重复",IF(OR(R195="有证据",R195="有记录",R195="持续跟踪"),"可追踪","检查")))</x:f>
      </x:c>
    </x:row>
    <x:row r="196">
      <x:c r="A196" s="62"/>
      <x:c r="B196" s="62"/>
      <x:c r="C196" s="62"/>
      <x:c r="D196" s="66"/>
      <x:c r="E196" s="68"/>
      <x:c r="F196" s="62"/>
      <x:c r="G196" s="62"/>
      <x:c r="H196" s="62"/>
      <x:c r="I196" s="62"/>
      <x:c r="J196" s="62"/>
      <x:c r="K196" s="62"/>
      <x:c r="L196" s="62"/>
      <x:c r="M196" s="68"/>
      <x:c r="N196" s="68"/>
      <x:c r="O196" s="68"/>
      <x:c r="P196" s="71" t="str">
        <x:f>IF(A196="","",IF(N196&gt;0,N196,M196))</x:f>
      </x:c>
      <x:c r="Q196" s="72" t="n">
        <x:f>IF(A196="",0,IF(COUNTIF($A$5:A196,A196)=1,1,0))</x:f>
        <x:v>0</x:v>
      </x:c>
      <x:c r="R196" s="64" t="str">
        <x:f>IF(A196="","",IF(F196="C196成功",IF(AND(J196&lt;&gt;"",K196&lt;&gt;"",N196&gt;0),"有证据","缺C196证据"),IF(F196="C196发货确认中",IF(AND(J196&lt;&gt;"",K196&lt;&gt;""),"有证据","缺C196证据"),IF(F196="手动完结",IF(OR(L196&lt;&gt;"",O196&lt;&gt;"",S196&lt;&gt;""),"有记录","缺手工证据"),IF(OR(F196="卖出待补仓",F196="提交结果待确认",F196="异常待处理"),"持续跟踪","检查状态")))))</x:f>
      </x:c>
      <x:c r="T196" s="64" t="str">
        <x:f>IF(A196="","",IF(COUNTIF($A$5:$A$1204,A196)&gt;1,"重复",""))</x:f>
      </x:c>
      <x:c r="U196" s="64" t="str">
        <x:f>IF(A196="","",IF(T196="重复","检查重复",IF(OR(R196="有证据",R196="有记录",R196="持续跟踪"),"可追踪","检查")))</x:f>
      </x:c>
    </x:row>
    <x:row r="197">
      <x:c r="A197" s="62"/>
      <x:c r="B197" s="62"/>
      <x:c r="C197" s="62"/>
      <x:c r="D197" s="66"/>
      <x:c r="E197" s="68"/>
      <x:c r="F197" s="62"/>
      <x:c r="G197" s="62"/>
      <x:c r="H197" s="62"/>
      <x:c r="I197" s="62"/>
      <x:c r="J197" s="62"/>
      <x:c r="K197" s="62"/>
      <x:c r="L197" s="62"/>
      <x:c r="M197" s="68"/>
      <x:c r="N197" s="68"/>
      <x:c r="O197" s="68"/>
      <x:c r="P197" s="71" t="str">
        <x:f>IF(A197="","",IF(N197&gt;0,N197,M197))</x:f>
      </x:c>
      <x:c r="Q197" s="72" t="n">
        <x:f>IF(A197="",0,IF(COUNTIF($A$5:A197,A197)=1,1,0))</x:f>
        <x:v>0</x:v>
      </x:c>
      <x:c r="R197" s="64" t="str">
        <x:f>IF(A197="","",IF(F197="C197成功",IF(AND(J197&lt;&gt;"",K197&lt;&gt;"",N197&gt;0),"有证据","缺C197证据"),IF(F197="C197发货确认中",IF(AND(J197&lt;&gt;"",K197&lt;&gt;""),"有证据","缺C197证据"),IF(F197="手动完结",IF(OR(L197&lt;&gt;"",O197&lt;&gt;"",S197&lt;&gt;""),"有记录","缺手工证据"),IF(OR(F197="卖出待补仓",F197="提交结果待确认",F197="异常待处理"),"持续跟踪","检查状态")))))</x:f>
      </x:c>
      <x:c r="T197" s="64" t="str">
        <x:f>IF(A197="","",IF(COUNTIF($A$5:$A$1204,A197)&gt;1,"重复",""))</x:f>
      </x:c>
      <x:c r="U197" s="64" t="str">
        <x:f>IF(A197="","",IF(T197="重复","检查重复",IF(OR(R197="有证据",R197="有记录",R197="持续跟踪"),"可追踪","检查")))</x:f>
      </x:c>
    </x:row>
    <x:row r="198">
      <x:c r="A198" s="62"/>
      <x:c r="B198" s="62"/>
      <x:c r="C198" s="62"/>
      <x:c r="D198" s="66"/>
      <x:c r="E198" s="68"/>
      <x:c r="F198" s="62"/>
      <x:c r="G198" s="62"/>
      <x:c r="H198" s="62"/>
      <x:c r="I198" s="62"/>
      <x:c r="J198" s="62"/>
      <x:c r="K198" s="62"/>
      <x:c r="L198" s="62"/>
      <x:c r="M198" s="68"/>
      <x:c r="N198" s="68"/>
      <x:c r="O198" s="68"/>
      <x:c r="P198" s="71" t="str">
        <x:f>IF(A198="","",IF(N198&gt;0,N198,M198))</x:f>
      </x:c>
      <x:c r="Q198" s="72" t="n">
        <x:f>IF(A198="",0,IF(COUNTIF($A$5:A198,A198)=1,1,0))</x:f>
        <x:v>0</x:v>
      </x:c>
      <x:c r="R198" s="64" t="str">
        <x:f>IF(A198="","",IF(F198="C198成功",IF(AND(J198&lt;&gt;"",K198&lt;&gt;"",N198&gt;0),"有证据","缺C198证据"),IF(F198="C198发货确认中",IF(AND(J198&lt;&gt;"",K198&lt;&gt;""),"有证据","缺C198证据"),IF(F198="手动完结",IF(OR(L198&lt;&gt;"",O198&lt;&gt;"",S198&lt;&gt;""),"有记录","缺手工证据"),IF(OR(F198="卖出待补仓",F198="提交结果待确认",F198="异常待处理"),"持续跟踪","检查状态")))))</x:f>
      </x:c>
      <x:c r="T198" s="64" t="str">
        <x:f>IF(A198="","",IF(COUNTIF($A$5:$A$1204,A198)&gt;1,"重复",""))</x:f>
      </x:c>
      <x:c r="U198" s="64" t="str">
        <x:f>IF(A198="","",IF(T198="重复","检查重复",IF(OR(R198="有证据",R198="有记录",R198="持续跟踪"),"可追踪","检查")))</x:f>
      </x:c>
    </x:row>
    <x:row r="199">
      <x:c r="A199" s="62"/>
      <x:c r="B199" s="62"/>
      <x:c r="C199" s="62"/>
      <x:c r="D199" s="66"/>
      <x:c r="E199" s="68"/>
      <x:c r="F199" s="62"/>
      <x:c r="G199" s="62"/>
      <x:c r="H199" s="62"/>
      <x:c r="I199" s="62"/>
      <x:c r="J199" s="62"/>
      <x:c r="K199" s="62"/>
      <x:c r="L199" s="62"/>
      <x:c r="M199" s="68"/>
      <x:c r="N199" s="68"/>
      <x:c r="O199" s="68"/>
      <x:c r="P199" s="71" t="str">
        <x:f>IF(A199="","",IF(N199&gt;0,N199,M199))</x:f>
      </x:c>
      <x:c r="Q199" s="72" t="n">
        <x:f>IF(A199="",0,IF(COUNTIF($A$5:A199,A199)=1,1,0))</x:f>
        <x:v>0</x:v>
      </x:c>
      <x:c r="R199" s="64" t="str">
        <x:f>IF(A199="","",IF(F199="C199成功",IF(AND(J199&lt;&gt;"",K199&lt;&gt;"",N199&gt;0),"有证据","缺C199证据"),IF(F199="C199发货确认中",IF(AND(J199&lt;&gt;"",K199&lt;&gt;""),"有证据","缺C199证据"),IF(F199="手动完结",IF(OR(L199&lt;&gt;"",O199&lt;&gt;"",S199&lt;&gt;""),"有记录","缺手工证据"),IF(OR(F199="卖出待补仓",F199="提交结果待确认",F199="异常待处理"),"持续跟踪","检查状态")))))</x:f>
      </x:c>
      <x:c r="T199" s="64" t="str">
        <x:f>IF(A199="","",IF(COUNTIF($A$5:$A$1204,A199)&gt;1,"重复",""))</x:f>
      </x:c>
      <x:c r="U199" s="64" t="str">
        <x:f>IF(A199="","",IF(T199="重复","检查重复",IF(OR(R199="有证据",R199="有记录",R199="持续跟踪"),"可追踪","检查")))</x:f>
      </x:c>
    </x:row>
    <x:row r="200">
      <x:c r="A200" s="62"/>
      <x:c r="B200" s="62"/>
      <x:c r="C200" s="62"/>
      <x:c r="D200" s="66"/>
      <x:c r="E200" s="68"/>
      <x:c r="F200" s="62"/>
      <x:c r="G200" s="62"/>
      <x:c r="H200" s="62"/>
      <x:c r="I200" s="62"/>
      <x:c r="J200" s="62"/>
      <x:c r="K200" s="62"/>
      <x:c r="L200" s="62"/>
      <x:c r="M200" s="68"/>
      <x:c r="N200" s="68"/>
      <x:c r="O200" s="68"/>
      <x:c r="P200" s="71" t="str">
        <x:f>IF(A200="","",IF(N200&gt;0,N200,M200))</x:f>
      </x:c>
      <x:c r="Q200" s="72" t="n">
        <x:f>IF(A200="",0,IF(COUNTIF($A$5:A200,A200)=1,1,0))</x:f>
        <x:v>0</x:v>
      </x:c>
      <x:c r="R200" s="64" t="str">
        <x:f>IF(A200="","",IF(F200="C200成功",IF(AND(J200&lt;&gt;"",K200&lt;&gt;"",N200&gt;0),"有证据","缺C200证据"),IF(F200="C200发货确认中",IF(AND(J200&lt;&gt;"",K200&lt;&gt;""),"有证据","缺C200证据"),IF(F200="手动完结",IF(OR(L200&lt;&gt;"",O200&lt;&gt;"",S200&lt;&gt;""),"有记录","缺手工证据"),IF(OR(F200="卖出待补仓",F200="提交结果待确认",F200="异常待处理"),"持续跟踪","检查状态")))))</x:f>
      </x:c>
      <x:c r="T200" s="64" t="str">
        <x:f>IF(A200="","",IF(COUNTIF($A$5:$A$1204,A200)&gt;1,"重复",""))</x:f>
      </x:c>
      <x:c r="U200" s="64" t="str">
        <x:f>IF(A200="","",IF(T200="重复","检查重复",IF(OR(R200="有证据",R200="有记录",R200="持续跟踪"),"可追踪","检查")))</x:f>
      </x:c>
    </x:row>
    <x:row r="201">
      <x:c r="A201" s="62"/>
      <x:c r="B201" s="62"/>
      <x:c r="C201" s="62"/>
      <x:c r="D201" s="66"/>
      <x:c r="E201" s="68"/>
      <x:c r="F201" s="62"/>
      <x:c r="G201" s="62"/>
      <x:c r="H201" s="62"/>
      <x:c r="I201" s="62"/>
      <x:c r="J201" s="62"/>
      <x:c r="K201" s="62"/>
      <x:c r="L201" s="62"/>
      <x:c r="M201" s="68"/>
      <x:c r="N201" s="68"/>
      <x:c r="O201" s="68"/>
      <x:c r="P201" s="71" t="str">
        <x:f>IF(A201="","",IF(N201&gt;0,N201,M201))</x:f>
      </x:c>
      <x:c r="Q201" s="72" t="n">
        <x:f>IF(A201="",0,IF(COUNTIF($A$5:A201,A201)=1,1,0))</x:f>
        <x:v>0</x:v>
      </x:c>
      <x:c r="R201" s="64" t="str">
        <x:f>IF(A201="","",IF(F201="C201成功",IF(AND(J201&lt;&gt;"",K201&lt;&gt;"",N201&gt;0),"有证据","缺C201证据"),IF(F201="C201发货确认中",IF(AND(J201&lt;&gt;"",K201&lt;&gt;""),"有证据","缺C201证据"),IF(F201="手动完结",IF(OR(L201&lt;&gt;"",O201&lt;&gt;"",S201&lt;&gt;""),"有记录","缺手工证据"),IF(OR(F201="卖出待补仓",F201="提交结果待确认",F201="异常待处理"),"持续跟踪","检查状态")))))</x:f>
      </x:c>
      <x:c r="T201" s="64" t="str">
        <x:f>IF(A201="","",IF(COUNTIF($A$5:$A$1204,A201)&gt;1,"重复",""))</x:f>
      </x:c>
      <x:c r="U201" s="64" t="str">
        <x:f>IF(A201="","",IF(T201="重复","检查重复",IF(OR(R201="有证据",R201="有记录",R201="持续跟踪"),"可追踪","检查")))</x:f>
      </x:c>
    </x:row>
    <x:row r="202">
      <x:c r="A202" s="62"/>
      <x:c r="B202" s="62"/>
      <x:c r="C202" s="62"/>
      <x:c r="D202" s="66"/>
      <x:c r="E202" s="68"/>
      <x:c r="F202" s="62"/>
      <x:c r="G202" s="62"/>
      <x:c r="H202" s="62"/>
      <x:c r="I202" s="62"/>
      <x:c r="J202" s="62"/>
      <x:c r="K202" s="62"/>
      <x:c r="L202" s="62"/>
      <x:c r="M202" s="68"/>
      <x:c r="N202" s="68"/>
      <x:c r="O202" s="68"/>
      <x:c r="P202" s="71" t="str">
        <x:f>IF(A202="","",IF(N202&gt;0,N202,M202))</x:f>
      </x:c>
      <x:c r="Q202" s="72" t="n">
        <x:f>IF(A202="",0,IF(COUNTIF($A$5:A202,A202)=1,1,0))</x:f>
        <x:v>0</x:v>
      </x:c>
      <x:c r="R202" s="64" t="str">
        <x:f>IF(A202="","",IF(F202="C202成功",IF(AND(J202&lt;&gt;"",K202&lt;&gt;"",N202&gt;0),"有证据","缺C202证据"),IF(F202="C202发货确认中",IF(AND(J202&lt;&gt;"",K202&lt;&gt;""),"有证据","缺C202证据"),IF(F202="手动完结",IF(OR(L202&lt;&gt;"",O202&lt;&gt;"",S202&lt;&gt;""),"有记录","缺手工证据"),IF(OR(F202="卖出待补仓",F202="提交结果待确认",F202="异常待处理"),"持续跟踪","检查状态")))))</x:f>
      </x:c>
      <x:c r="T202" s="64" t="str">
        <x:f>IF(A202="","",IF(COUNTIF($A$5:$A$1204,A202)&gt;1,"重复",""))</x:f>
      </x:c>
      <x:c r="U202" s="64" t="str">
        <x:f>IF(A202="","",IF(T202="重复","检查重复",IF(OR(R202="有证据",R202="有记录",R202="持续跟踪"),"可追踪","检查")))</x:f>
      </x:c>
    </x:row>
    <x:row r="203">
      <x:c r="A203" s="62"/>
      <x:c r="B203" s="62"/>
      <x:c r="C203" s="62"/>
      <x:c r="D203" s="66"/>
      <x:c r="E203" s="68"/>
      <x:c r="F203" s="62"/>
      <x:c r="G203" s="62"/>
      <x:c r="H203" s="62"/>
      <x:c r="I203" s="62"/>
      <x:c r="J203" s="62"/>
      <x:c r="K203" s="62"/>
      <x:c r="L203" s="62"/>
      <x:c r="M203" s="68"/>
      <x:c r="N203" s="68"/>
      <x:c r="O203" s="68"/>
      <x:c r="P203" s="71" t="str">
        <x:f>IF(A203="","",IF(N203&gt;0,N203,M203))</x:f>
      </x:c>
      <x:c r="Q203" s="72" t="n">
        <x:f>IF(A203="",0,IF(COUNTIF($A$5:A203,A203)=1,1,0))</x:f>
        <x:v>0</x:v>
      </x:c>
      <x:c r="R203" s="64" t="str">
        <x:f>IF(A203="","",IF(F203="C203成功",IF(AND(J203&lt;&gt;"",K203&lt;&gt;"",N203&gt;0),"有证据","缺C203证据"),IF(F203="C203发货确认中",IF(AND(J203&lt;&gt;"",K203&lt;&gt;""),"有证据","缺C203证据"),IF(F203="手动完结",IF(OR(L203&lt;&gt;"",O203&lt;&gt;"",S203&lt;&gt;""),"有记录","缺手工证据"),IF(OR(F203="卖出待补仓",F203="提交结果待确认",F203="异常待处理"),"持续跟踪","检查状态")))))</x:f>
      </x:c>
      <x:c r="T203" s="64" t="str">
        <x:f>IF(A203="","",IF(COUNTIF($A$5:$A$1204,A203)&gt;1,"重复",""))</x:f>
      </x:c>
      <x:c r="U203" s="64" t="str">
        <x:f>IF(A203="","",IF(T203="重复","检查重复",IF(OR(R203="有证据",R203="有记录",R203="持续跟踪"),"可追踪","检查")))</x:f>
      </x:c>
    </x:row>
    <x:row r="204">
      <x:c r="A204" s="62"/>
      <x:c r="B204" s="62"/>
      <x:c r="C204" s="62"/>
      <x:c r="D204" s="66"/>
      <x:c r="E204" s="68"/>
      <x:c r="F204" s="62"/>
      <x:c r="G204" s="62"/>
      <x:c r="H204" s="62"/>
      <x:c r="I204" s="62"/>
      <x:c r="J204" s="62"/>
      <x:c r="K204" s="62"/>
      <x:c r="L204" s="62"/>
      <x:c r="M204" s="68"/>
      <x:c r="N204" s="68"/>
      <x:c r="O204" s="68"/>
      <x:c r="P204" s="71" t="str">
        <x:f>IF(A204="","",IF(N204&gt;0,N204,M204))</x:f>
      </x:c>
      <x:c r="Q204" s="72" t="n">
        <x:f>IF(A204="",0,IF(COUNTIF($A$5:A204,A204)=1,1,0))</x:f>
        <x:v>0</x:v>
      </x:c>
      <x:c r="R204" s="64" t="str">
        <x:f>IF(A204="","",IF(F204="C204成功",IF(AND(J204&lt;&gt;"",K204&lt;&gt;"",N204&gt;0),"有证据","缺C204证据"),IF(F204="C204发货确认中",IF(AND(J204&lt;&gt;"",K204&lt;&gt;""),"有证据","缺C204证据"),IF(F204="手动完结",IF(OR(L204&lt;&gt;"",O204&lt;&gt;"",S204&lt;&gt;""),"有记录","缺手工证据"),IF(OR(F204="卖出待补仓",F204="提交结果待确认",F204="异常待处理"),"持续跟踪","检查状态")))))</x:f>
      </x:c>
      <x:c r="T204" s="64" t="str">
        <x:f>IF(A204="","",IF(COUNTIF($A$5:$A$1204,A204)&gt;1,"重复",""))</x:f>
      </x:c>
      <x:c r="U204" s="64" t="str">
        <x:f>IF(A204="","",IF(T204="重复","检查重复",IF(OR(R204="有证据",R204="有记录",R204="持续跟踪"),"可追踪","检查")))</x:f>
      </x:c>
    </x:row>
    <x:row r="205">
      <x:c r="A205" s="62"/>
      <x:c r="B205" s="62"/>
      <x:c r="C205" s="62"/>
      <x:c r="D205" s="66"/>
      <x:c r="E205" s="68"/>
      <x:c r="F205" s="62"/>
      <x:c r="G205" s="62"/>
      <x:c r="H205" s="62"/>
      <x:c r="I205" s="62"/>
      <x:c r="J205" s="62"/>
      <x:c r="K205" s="62"/>
      <x:c r="L205" s="62"/>
      <x:c r="M205" s="68"/>
      <x:c r="N205" s="68"/>
      <x:c r="O205" s="68"/>
      <x:c r="P205" s="71" t="str">
        <x:f>IF(A205="","",IF(N205&gt;0,N205,M205))</x:f>
      </x:c>
      <x:c r="Q205" s="72" t="n">
        <x:f>IF(A205="",0,IF(COUNTIF($A$5:A205,A205)=1,1,0))</x:f>
        <x:v>0</x:v>
      </x:c>
      <x:c r="R205" s="64" t="str">
        <x:f>IF(A205="","",IF(F205="C205成功",IF(AND(J205&lt;&gt;"",K205&lt;&gt;"",N205&gt;0),"有证据","缺C205证据"),IF(F205="C205发货确认中",IF(AND(J205&lt;&gt;"",K205&lt;&gt;""),"有证据","缺C205证据"),IF(F205="手动完结",IF(OR(L205&lt;&gt;"",O205&lt;&gt;"",S205&lt;&gt;""),"有记录","缺手工证据"),IF(OR(F205="卖出待补仓",F205="提交结果待确认",F205="异常待处理"),"持续跟踪","检查状态")))))</x:f>
      </x:c>
      <x:c r="T205" s="64" t="str">
        <x:f>IF(A205="","",IF(COUNTIF($A$5:$A$1204,A205)&gt;1,"重复",""))</x:f>
      </x:c>
      <x:c r="U205" s="64" t="str">
        <x:f>IF(A205="","",IF(T205="重复","检查重复",IF(OR(R205="有证据",R205="有记录",R205="持续跟踪"),"可追踪","检查")))</x:f>
      </x:c>
    </x:row>
    <x:row r="206">
      <x:c r="A206" s="62"/>
      <x:c r="B206" s="62"/>
      <x:c r="C206" s="62"/>
      <x:c r="D206" s="66"/>
      <x:c r="E206" s="68"/>
      <x:c r="F206" s="62"/>
      <x:c r="G206" s="62"/>
      <x:c r="H206" s="62"/>
      <x:c r="I206" s="62"/>
      <x:c r="J206" s="62"/>
      <x:c r="K206" s="62"/>
      <x:c r="L206" s="62"/>
      <x:c r="M206" s="68"/>
      <x:c r="N206" s="68"/>
      <x:c r="O206" s="68"/>
      <x:c r="P206" s="71" t="str">
        <x:f>IF(A206="","",IF(N206&gt;0,N206,M206))</x:f>
      </x:c>
      <x:c r="Q206" s="72" t="n">
        <x:f>IF(A206="",0,IF(COUNTIF($A$5:A206,A206)=1,1,0))</x:f>
        <x:v>0</x:v>
      </x:c>
      <x:c r="R206" s="64" t="str">
        <x:f>IF(A206="","",IF(F206="C206成功",IF(AND(J206&lt;&gt;"",K206&lt;&gt;"",N206&gt;0),"有证据","缺C206证据"),IF(F206="C206发货确认中",IF(AND(J206&lt;&gt;"",K206&lt;&gt;""),"有证据","缺C206证据"),IF(F206="手动完结",IF(OR(L206&lt;&gt;"",O206&lt;&gt;"",S206&lt;&gt;""),"有记录","缺手工证据"),IF(OR(F206="卖出待补仓",F206="提交结果待确认",F206="异常待处理"),"持续跟踪","检查状态")))))</x:f>
      </x:c>
      <x:c r="T206" s="64" t="str">
        <x:f>IF(A206="","",IF(COUNTIF($A$5:$A$1204,A206)&gt;1,"重复",""))</x:f>
      </x:c>
      <x:c r="U206" s="64" t="str">
        <x:f>IF(A206="","",IF(T206="重复","检查重复",IF(OR(R206="有证据",R206="有记录",R206="持续跟踪"),"可追踪","检查")))</x:f>
      </x:c>
    </x:row>
    <x:row r="207">
      <x:c r="A207" s="62"/>
      <x:c r="B207" s="62"/>
      <x:c r="C207" s="62"/>
      <x:c r="D207" s="66"/>
      <x:c r="E207" s="68"/>
      <x:c r="F207" s="62"/>
      <x:c r="G207" s="62"/>
      <x:c r="H207" s="62"/>
      <x:c r="I207" s="62"/>
      <x:c r="J207" s="62"/>
      <x:c r="K207" s="62"/>
      <x:c r="L207" s="62"/>
      <x:c r="M207" s="68"/>
      <x:c r="N207" s="68"/>
      <x:c r="O207" s="68"/>
      <x:c r="P207" s="71" t="str">
        <x:f>IF(A207="","",IF(N207&gt;0,N207,M207))</x:f>
      </x:c>
      <x:c r="Q207" s="72" t="n">
        <x:f>IF(A207="",0,IF(COUNTIF($A$5:A207,A207)=1,1,0))</x:f>
        <x:v>0</x:v>
      </x:c>
      <x:c r="R207" s="64" t="str">
        <x:f>IF(A207="","",IF(F207="C207成功",IF(AND(J207&lt;&gt;"",K207&lt;&gt;"",N207&gt;0),"有证据","缺C207证据"),IF(F207="C207发货确认中",IF(AND(J207&lt;&gt;"",K207&lt;&gt;""),"有证据","缺C207证据"),IF(F207="手动完结",IF(OR(L207&lt;&gt;"",O207&lt;&gt;"",S207&lt;&gt;""),"有记录","缺手工证据"),IF(OR(F207="卖出待补仓",F207="提交结果待确认",F207="异常待处理"),"持续跟踪","检查状态")))))</x:f>
      </x:c>
      <x:c r="T207" s="64" t="str">
        <x:f>IF(A207="","",IF(COUNTIF($A$5:$A$1204,A207)&gt;1,"重复",""))</x:f>
      </x:c>
      <x:c r="U207" s="64" t="str">
        <x:f>IF(A207="","",IF(T207="重复","检查重复",IF(OR(R207="有证据",R207="有记录",R207="持续跟踪"),"可追踪","检查")))</x:f>
      </x:c>
    </x:row>
    <x:row r="208">
      <x:c r="A208" s="62"/>
      <x:c r="B208" s="62"/>
      <x:c r="C208" s="62"/>
      <x:c r="D208" s="66"/>
      <x:c r="E208" s="68"/>
      <x:c r="F208" s="62"/>
      <x:c r="G208" s="62"/>
      <x:c r="H208" s="62"/>
      <x:c r="I208" s="62"/>
      <x:c r="J208" s="62"/>
      <x:c r="K208" s="62"/>
      <x:c r="L208" s="62"/>
      <x:c r="M208" s="68"/>
      <x:c r="N208" s="68"/>
      <x:c r="O208" s="68"/>
      <x:c r="P208" s="71" t="str">
        <x:f>IF(A208="","",IF(N208&gt;0,N208,M208))</x:f>
      </x:c>
      <x:c r="Q208" s="72" t="n">
        <x:f>IF(A208="",0,IF(COUNTIF($A$5:A208,A208)=1,1,0))</x:f>
        <x:v>0</x:v>
      </x:c>
      <x:c r="R208" s="64" t="str">
        <x:f>IF(A208="","",IF(F208="C208成功",IF(AND(J208&lt;&gt;"",K208&lt;&gt;"",N208&gt;0),"有证据","缺C208证据"),IF(F208="C208发货确认中",IF(AND(J208&lt;&gt;"",K208&lt;&gt;""),"有证据","缺C208证据"),IF(F208="手动完结",IF(OR(L208&lt;&gt;"",O208&lt;&gt;"",S208&lt;&gt;""),"有记录","缺手工证据"),IF(OR(F208="卖出待补仓",F208="提交结果待确认",F208="异常待处理"),"持续跟踪","检查状态")))))</x:f>
      </x:c>
      <x:c r="T208" s="64" t="str">
        <x:f>IF(A208="","",IF(COUNTIF($A$5:$A$1204,A208)&gt;1,"重复",""))</x:f>
      </x:c>
      <x:c r="U208" s="64" t="str">
        <x:f>IF(A208="","",IF(T208="重复","检查重复",IF(OR(R208="有证据",R208="有记录",R208="持续跟踪"),"可追踪","检查")))</x:f>
      </x:c>
    </x:row>
    <x:row r="209">
      <x:c r="A209" s="62"/>
      <x:c r="B209" s="62"/>
      <x:c r="C209" s="62"/>
      <x:c r="D209" s="66"/>
      <x:c r="E209" s="68"/>
      <x:c r="F209" s="62"/>
      <x:c r="G209" s="62"/>
      <x:c r="H209" s="62"/>
      <x:c r="I209" s="62"/>
      <x:c r="J209" s="62"/>
      <x:c r="K209" s="62"/>
      <x:c r="L209" s="62"/>
      <x:c r="M209" s="68"/>
      <x:c r="N209" s="68"/>
      <x:c r="O209" s="68"/>
      <x:c r="P209" s="71" t="str">
        <x:f>IF(A209="","",IF(N209&gt;0,N209,M209))</x:f>
      </x:c>
      <x:c r="Q209" s="72" t="n">
        <x:f>IF(A209="",0,IF(COUNTIF($A$5:A209,A209)=1,1,0))</x:f>
        <x:v>0</x:v>
      </x:c>
      <x:c r="R209" s="64" t="str">
        <x:f>IF(A209="","",IF(F209="C209成功",IF(AND(J209&lt;&gt;"",K209&lt;&gt;"",N209&gt;0),"有证据","缺C209证据"),IF(F209="C209发货确认中",IF(AND(J209&lt;&gt;"",K209&lt;&gt;""),"有证据","缺C209证据"),IF(F209="手动完结",IF(OR(L209&lt;&gt;"",O209&lt;&gt;"",S209&lt;&gt;""),"有记录","缺手工证据"),IF(OR(F209="卖出待补仓",F209="提交结果待确认",F209="异常待处理"),"持续跟踪","检查状态")))))</x:f>
      </x:c>
      <x:c r="T209" s="64" t="str">
        <x:f>IF(A209="","",IF(COUNTIF($A$5:$A$1204,A209)&gt;1,"重复",""))</x:f>
      </x:c>
      <x:c r="U209" s="64" t="str">
        <x:f>IF(A209="","",IF(T209="重复","检查重复",IF(OR(R209="有证据",R209="有记录",R209="持续跟踪"),"可追踪","检查")))</x:f>
      </x:c>
    </x:row>
    <x:row r="210">
      <x:c r="A210" s="62"/>
      <x:c r="B210" s="62"/>
      <x:c r="C210" s="62"/>
      <x:c r="D210" s="66"/>
      <x:c r="E210" s="68"/>
      <x:c r="F210" s="62"/>
      <x:c r="G210" s="62"/>
      <x:c r="H210" s="62"/>
      <x:c r="I210" s="62"/>
      <x:c r="J210" s="62"/>
      <x:c r="K210" s="62"/>
      <x:c r="L210" s="62"/>
      <x:c r="M210" s="68"/>
      <x:c r="N210" s="68"/>
      <x:c r="O210" s="68"/>
      <x:c r="P210" s="71" t="str">
        <x:f>IF(A210="","",IF(N210&gt;0,N210,M210))</x:f>
      </x:c>
      <x:c r="Q210" s="72" t="n">
        <x:f>IF(A210="",0,IF(COUNTIF($A$5:A210,A210)=1,1,0))</x:f>
        <x:v>0</x:v>
      </x:c>
      <x:c r="R210" s="64" t="str">
        <x:f>IF(A210="","",IF(F210="C210成功",IF(AND(J210&lt;&gt;"",K210&lt;&gt;"",N210&gt;0),"有证据","缺C210证据"),IF(F210="C210发货确认中",IF(AND(J210&lt;&gt;"",K210&lt;&gt;""),"有证据","缺C210证据"),IF(F210="手动完结",IF(OR(L210&lt;&gt;"",O210&lt;&gt;"",S210&lt;&gt;""),"有记录","缺手工证据"),IF(OR(F210="卖出待补仓",F210="提交结果待确认",F210="异常待处理"),"持续跟踪","检查状态")))))</x:f>
      </x:c>
      <x:c r="T210" s="64" t="str">
        <x:f>IF(A210="","",IF(COUNTIF($A$5:$A$1204,A210)&gt;1,"重复",""))</x:f>
      </x:c>
      <x:c r="U210" s="64" t="str">
        <x:f>IF(A210="","",IF(T210="重复","检查重复",IF(OR(R210="有证据",R210="有记录",R210="持续跟踪"),"可追踪","检查")))</x:f>
      </x:c>
    </x:row>
    <x:row r="211">
      <x:c r="A211" s="62"/>
      <x:c r="B211" s="62"/>
      <x:c r="C211" s="62"/>
      <x:c r="D211" s="66"/>
      <x:c r="E211" s="68"/>
      <x:c r="F211" s="62"/>
      <x:c r="G211" s="62"/>
      <x:c r="H211" s="62"/>
      <x:c r="I211" s="62"/>
      <x:c r="J211" s="62"/>
      <x:c r="K211" s="62"/>
      <x:c r="L211" s="62"/>
      <x:c r="M211" s="68"/>
      <x:c r="N211" s="68"/>
      <x:c r="O211" s="68"/>
      <x:c r="P211" s="71" t="str">
        <x:f>IF(A211="","",IF(N211&gt;0,N211,M211))</x:f>
      </x:c>
      <x:c r="Q211" s="72" t="n">
        <x:f>IF(A211="",0,IF(COUNTIF($A$5:A211,A211)=1,1,0))</x:f>
        <x:v>0</x:v>
      </x:c>
      <x:c r="R211" s="64" t="str">
        <x:f>IF(A211="","",IF(F211="C211成功",IF(AND(J211&lt;&gt;"",K211&lt;&gt;"",N211&gt;0),"有证据","缺C211证据"),IF(F211="C211发货确认中",IF(AND(J211&lt;&gt;"",K211&lt;&gt;""),"有证据","缺C211证据"),IF(F211="手动完结",IF(OR(L211&lt;&gt;"",O211&lt;&gt;"",S211&lt;&gt;""),"有记录","缺手工证据"),IF(OR(F211="卖出待补仓",F211="提交结果待确认",F211="异常待处理"),"持续跟踪","检查状态")))))</x:f>
      </x:c>
      <x:c r="T211" s="64" t="str">
        <x:f>IF(A211="","",IF(COUNTIF($A$5:$A$1204,A211)&gt;1,"重复",""))</x:f>
      </x:c>
      <x:c r="U211" s="64" t="str">
        <x:f>IF(A211="","",IF(T211="重复","检查重复",IF(OR(R211="有证据",R211="有记录",R211="持续跟踪"),"可追踪","检查")))</x:f>
      </x:c>
    </x:row>
    <x:row r="212">
      <x:c r="A212" s="62"/>
      <x:c r="B212" s="62"/>
      <x:c r="C212" s="62"/>
      <x:c r="D212" s="66"/>
      <x:c r="E212" s="68"/>
      <x:c r="F212" s="62"/>
      <x:c r="G212" s="62"/>
      <x:c r="H212" s="62"/>
      <x:c r="I212" s="62"/>
      <x:c r="J212" s="62"/>
      <x:c r="K212" s="62"/>
      <x:c r="L212" s="62"/>
      <x:c r="M212" s="68"/>
      <x:c r="N212" s="68"/>
      <x:c r="O212" s="68"/>
      <x:c r="P212" s="71" t="str">
        <x:f>IF(A212="","",IF(N212&gt;0,N212,M212))</x:f>
      </x:c>
      <x:c r="Q212" s="72" t="n">
        <x:f>IF(A212="",0,IF(COUNTIF($A$5:A212,A212)=1,1,0))</x:f>
        <x:v>0</x:v>
      </x:c>
      <x:c r="R212" s="64" t="str">
        <x:f>IF(A212="","",IF(F212="C212成功",IF(AND(J212&lt;&gt;"",K212&lt;&gt;"",N212&gt;0),"有证据","缺C212证据"),IF(F212="C212发货确认中",IF(AND(J212&lt;&gt;"",K212&lt;&gt;""),"有证据","缺C212证据"),IF(F212="手动完结",IF(OR(L212&lt;&gt;"",O212&lt;&gt;"",S212&lt;&gt;""),"有记录","缺手工证据"),IF(OR(F212="卖出待补仓",F212="提交结果待确认",F212="异常待处理"),"持续跟踪","检查状态")))))</x:f>
      </x:c>
      <x:c r="T212" s="64" t="str">
        <x:f>IF(A212="","",IF(COUNTIF($A$5:$A$1204,A212)&gt;1,"重复",""))</x:f>
      </x:c>
      <x:c r="U212" s="64" t="str">
        <x:f>IF(A212="","",IF(T212="重复","检查重复",IF(OR(R212="有证据",R212="有记录",R212="持续跟踪"),"可追踪","检查")))</x:f>
      </x:c>
    </x:row>
    <x:row r="213">
      <x:c r="A213" s="62"/>
      <x:c r="B213" s="62"/>
      <x:c r="C213" s="62"/>
      <x:c r="D213" s="66"/>
      <x:c r="E213" s="68"/>
      <x:c r="F213" s="62"/>
      <x:c r="G213" s="62"/>
      <x:c r="H213" s="62"/>
      <x:c r="I213" s="62"/>
      <x:c r="J213" s="62"/>
      <x:c r="K213" s="62"/>
      <x:c r="L213" s="62"/>
      <x:c r="M213" s="68"/>
      <x:c r="N213" s="68"/>
      <x:c r="O213" s="68"/>
      <x:c r="P213" s="71" t="str">
        <x:f>IF(A213="","",IF(N213&gt;0,N213,M213))</x:f>
      </x:c>
      <x:c r="Q213" s="72" t="n">
        <x:f>IF(A213="",0,IF(COUNTIF($A$5:A213,A213)=1,1,0))</x:f>
        <x:v>0</x:v>
      </x:c>
      <x:c r="R213" s="64" t="str">
        <x:f>IF(A213="","",IF(F213="C213成功",IF(AND(J213&lt;&gt;"",K213&lt;&gt;"",N213&gt;0),"有证据","缺C213证据"),IF(F213="C213发货确认中",IF(AND(J213&lt;&gt;"",K213&lt;&gt;""),"有证据","缺C213证据"),IF(F213="手动完结",IF(OR(L213&lt;&gt;"",O213&lt;&gt;"",S213&lt;&gt;""),"有记录","缺手工证据"),IF(OR(F213="卖出待补仓",F213="提交结果待确认",F213="异常待处理"),"持续跟踪","检查状态")))))</x:f>
      </x:c>
      <x:c r="T213" s="64" t="str">
        <x:f>IF(A213="","",IF(COUNTIF($A$5:$A$1204,A213)&gt;1,"重复",""))</x:f>
      </x:c>
      <x:c r="U213" s="64" t="str">
        <x:f>IF(A213="","",IF(T213="重复","检查重复",IF(OR(R213="有证据",R213="有记录",R213="持续跟踪"),"可追踪","检查")))</x:f>
      </x:c>
    </x:row>
    <x:row r="214">
      <x:c r="A214" s="62"/>
      <x:c r="B214" s="62"/>
      <x:c r="C214" s="62"/>
      <x:c r="D214" s="66"/>
      <x:c r="E214" s="68"/>
      <x:c r="F214" s="62"/>
      <x:c r="G214" s="62"/>
      <x:c r="H214" s="62"/>
      <x:c r="I214" s="62"/>
      <x:c r="J214" s="62"/>
      <x:c r="K214" s="62"/>
      <x:c r="L214" s="62"/>
      <x:c r="M214" s="68"/>
      <x:c r="N214" s="68"/>
      <x:c r="O214" s="68"/>
      <x:c r="P214" s="71" t="str">
        <x:f>IF(A214="","",IF(N214&gt;0,N214,M214))</x:f>
      </x:c>
      <x:c r="Q214" s="72" t="n">
        <x:f>IF(A214="",0,IF(COUNTIF($A$5:A214,A214)=1,1,0))</x:f>
        <x:v>0</x:v>
      </x:c>
      <x:c r="R214" s="64" t="str">
        <x:f>IF(A214="","",IF(F214="C214成功",IF(AND(J214&lt;&gt;"",K214&lt;&gt;"",N214&gt;0),"有证据","缺C214证据"),IF(F214="C214发货确认中",IF(AND(J214&lt;&gt;"",K214&lt;&gt;""),"有证据","缺C214证据"),IF(F214="手动完结",IF(OR(L214&lt;&gt;"",O214&lt;&gt;"",S214&lt;&gt;""),"有记录","缺手工证据"),IF(OR(F214="卖出待补仓",F214="提交结果待确认",F214="异常待处理"),"持续跟踪","检查状态")))))</x:f>
      </x:c>
      <x:c r="T214" s="64" t="str">
        <x:f>IF(A214="","",IF(COUNTIF($A$5:$A$1204,A214)&gt;1,"重复",""))</x:f>
      </x:c>
      <x:c r="U214" s="64" t="str">
        <x:f>IF(A214="","",IF(T214="重复","检查重复",IF(OR(R214="有证据",R214="有记录",R214="持续跟踪"),"可追踪","检查")))</x:f>
      </x:c>
    </x:row>
    <x:row r="215">
      <x:c r="A215" s="62"/>
      <x:c r="B215" s="62"/>
      <x:c r="C215" s="62"/>
      <x:c r="D215" s="66"/>
      <x:c r="E215" s="68"/>
      <x:c r="F215" s="62"/>
      <x:c r="G215" s="62"/>
      <x:c r="H215" s="62"/>
      <x:c r="I215" s="62"/>
      <x:c r="J215" s="62"/>
      <x:c r="K215" s="62"/>
      <x:c r="L215" s="62"/>
      <x:c r="M215" s="68"/>
      <x:c r="N215" s="68"/>
      <x:c r="O215" s="68"/>
      <x:c r="P215" s="71" t="str">
        <x:f>IF(A215="","",IF(N215&gt;0,N215,M215))</x:f>
      </x:c>
      <x:c r="Q215" s="72" t="n">
        <x:f>IF(A215="",0,IF(COUNTIF($A$5:A215,A215)=1,1,0))</x:f>
        <x:v>0</x:v>
      </x:c>
      <x:c r="R215" s="64" t="str">
        <x:f>IF(A215="","",IF(F215="C215成功",IF(AND(J215&lt;&gt;"",K215&lt;&gt;"",N215&gt;0),"有证据","缺C215证据"),IF(F215="C215发货确认中",IF(AND(J215&lt;&gt;"",K215&lt;&gt;""),"有证据","缺C215证据"),IF(F215="手动完结",IF(OR(L215&lt;&gt;"",O215&lt;&gt;"",S215&lt;&gt;""),"有记录","缺手工证据"),IF(OR(F215="卖出待补仓",F215="提交结果待确认",F215="异常待处理"),"持续跟踪","检查状态")))))</x:f>
      </x:c>
      <x:c r="T215" s="64" t="str">
        <x:f>IF(A215="","",IF(COUNTIF($A$5:$A$1204,A215)&gt;1,"重复",""))</x:f>
      </x:c>
      <x:c r="U215" s="64" t="str">
        <x:f>IF(A215="","",IF(T215="重复","检查重复",IF(OR(R215="有证据",R215="有记录",R215="持续跟踪"),"可追踪","检查")))</x:f>
      </x:c>
    </x:row>
    <x:row r="216">
      <x:c r="A216" s="62"/>
      <x:c r="B216" s="62"/>
      <x:c r="C216" s="62"/>
      <x:c r="D216" s="66"/>
      <x:c r="E216" s="68"/>
      <x:c r="F216" s="62"/>
      <x:c r="G216" s="62"/>
      <x:c r="H216" s="62"/>
      <x:c r="I216" s="62"/>
      <x:c r="J216" s="62"/>
      <x:c r="K216" s="62"/>
      <x:c r="L216" s="62"/>
      <x:c r="M216" s="68"/>
      <x:c r="N216" s="68"/>
      <x:c r="O216" s="68"/>
      <x:c r="P216" s="71" t="str">
        <x:f>IF(A216="","",IF(N216&gt;0,N216,M216))</x:f>
      </x:c>
      <x:c r="Q216" s="72" t="n">
        <x:f>IF(A216="",0,IF(COUNTIF($A$5:A216,A216)=1,1,0))</x:f>
        <x:v>0</x:v>
      </x:c>
      <x:c r="R216" s="64" t="str">
        <x:f>IF(A216="","",IF(F216="C216成功",IF(AND(J216&lt;&gt;"",K216&lt;&gt;"",N216&gt;0),"有证据","缺C216证据"),IF(F216="C216发货确认中",IF(AND(J216&lt;&gt;"",K216&lt;&gt;""),"有证据","缺C216证据"),IF(F216="手动完结",IF(OR(L216&lt;&gt;"",O216&lt;&gt;"",S216&lt;&gt;""),"有记录","缺手工证据"),IF(OR(F216="卖出待补仓",F216="提交结果待确认",F216="异常待处理"),"持续跟踪","检查状态")))))</x:f>
      </x:c>
      <x:c r="T216" s="64" t="str">
        <x:f>IF(A216="","",IF(COUNTIF($A$5:$A$1204,A216)&gt;1,"重复",""))</x:f>
      </x:c>
      <x:c r="U216" s="64" t="str">
        <x:f>IF(A216="","",IF(T216="重复","检查重复",IF(OR(R216="有证据",R216="有记录",R216="持续跟踪"),"可追踪","检查")))</x:f>
      </x:c>
    </x:row>
    <x:row r="217">
      <x:c r="A217" s="62"/>
      <x:c r="B217" s="62"/>
      <x:c r="C217" s="62"/>
      <x:c r="D217" s="66"/>
      <x:c r="E217" s="68"/>
      <x:c r="F217" s="62"/>
      <x:c r="G217" s="62"/>
      <x:c r="H217" s="62"/>
      <x:c r="I217" s="62"/>
      <x:c r="J217" s="62"/>
      <x:c r="K217" s="62"/>
      <x:c r="L217" s="62"/>
      <x:c r="M217" s="68"/>
      <x:c r="N217" s="68"/>
      <x:c r="O217" s="68"/>
      <x:c r="P217" s="71" t="str">
        <x:f>IF(A217="","",IF(N217&gt;0,N217,M217))</x:f>
      </x:c>
      <x:c r="Q217" s="72" t="n">
        <x:f>IF(A217="",0,IF(COUNTIF($A$5:A217,A217)=1,1,0))</x:f>
        <x:v>0</x:v>
      </x:c>
      <x:c r="R217" s="64" t="str">
        <x:f>IF(A217="","",IF(F217="C217成功",IF(AND(J217&lt;&gt;"",K217&lt;&gt;"",N217&gt;0),"有证据","缺C217证据"),IF(F217="C217发货确认中",IF(AND(J217&lt;&gt;"",K217&lt;&gt;""),"有证据","缺C217证据"),IF(F217="手动完结",IF(OR(L217&lt;&gt;"",O217&lt;&gt;"",S217&lt;&gt;""),"有记录","缺手工证据"),IF(OR(F217="卖出待补仓",F217="提交结果待确认",F217="异常待处理"),"持续跟踪","检查状态")))))</x:f>
      </x:c>
      <x:c r="T217" s="64" t="str">
        <x:f>IF(A217="","",IF(COUNTIF($A$5:$A$1204,A217)&gt;1,"重复",""))</x:f>
      </x:c>
      <x:c r="U217" s="64" t="str">
        <x:f>IF(A217="","",IF(T217="重复","检查重复",IF(OR(R217="有证据",R217="有记录",R217="持续跟踪"),"可追踪","检查")))</x:f>
      </x:c>
    </x:row>
    <x:row r="218">
      <x:c r="A218" s="62"/>
      <x:c r="B218" s="62"/>
      <x:c r="C218" s="62"/>
      <x:c r="D218" s="66"/>
      <x:c r="E218" s="68"/>
      <x:c r="F218" s="62"/>
      <x:c r="G218" s="62"/>
      <x:c r="H218" s="62"/>
      <x:c r="I218" s="62"/>
      <x:c r="J218" s="62"/>
      <x:c r="K218" s="62"/>
      <x:c r="L218" s="62"/>
      <x:c r="M218" s="68"/>
      <x:c r="N218" s="68"/>
      <x:c r="O218" s="68"/>
      <x:c r="P218" s="71" t="str">
        <x:f>IF(A218="","",IF(N218&gt;0,N218,M218))</x:f>
      </x:c>
      <x:c r="Q218" s="72" t="n">
        <x:f>IF(A218="",0,IF(COUNTIF($A$5:A218,A218)=1,1,0))</x:f>
        <x:v>0</x:v>
      </x:c>
      <x:c r="R218" s="64" t="str">
        <x:f>IF(A218="","",IF(F218="C218成功",IF(AND(J218&lt;&gt;"",K218&lt;&gt;"",N218&gt;0),"有证据","缺C218证据"),IF(F218="C218发货确认中",IF(AND(J218&lt;&gt;"",K218&lt;&gt;""),"有证据","缺C218证据"),IF(F218="手动完结",IF(OR(L218&lt;&gt;"",O218&lt;&gt;"",S218&lt;&gt;""),"有记录","缺手工证据"),IF(OR(F218="卖出待补仓",F218="提交结果待确认",F218="异常待处理"),"持续跟踪","检查状态")))))</x:f>
      </x:c>
      <x:c r="T218" s="64" t="str">
        <x:f>IF(A218="","",IF(COUNTIF($A$5:$A$1204,A218)&gt;1,"重复",""))</x:f>
      </x:c>
      <x:c r="U218" s="64" t="str">
        <x:f>IF(A218="","",IF(T218="重复","检查重复",IF(OR(R218="有证据",R218="有记录",R218="持续跟踪"),"可追踪","检查")))</x:f>
      </x:c>
    </x:row>
    <x:row r="219">
      <x:c r="A219" s="62"/>
      <x:c r="B219" s="62"/>
      <x:c r="C219" s="62"/>
      <x:c r="D219" s="66"/>
      <x:c r="E219" s="68"/>
      <x:c r="F219" s="62"/>
      <x:c r="G219" s="62"/>
      <x:c r="H219" s="62"/>
      <x:c r="I219" s="62"/>
      <x:c r="J219" s="62"/>
      <x:c r="K219" s="62"/>
      <x:c r="L219" s="62"/>
      <x:c r="M219" s="68"/>
      <x:c r="N219" s="68"/>
      <x:c r="O219" s="68"/>
      <x:c r="P219" s="71" t="str">
        <x:f>IF(A219="","",IF(N219&gt;0,N219,M219))</x:f>
      </x:c>
      <x:c r="Q219" s="72" t="n">
        <x:f>IF(A219="",0,IF(COUNTIF($A$5:A219,A219)=1,1,0))</x:f>
        <x:v>0</x:v>
      </x:c>
      <x:c r="R219" s="64" t="str">
        <x:f>IF(A219="","",IF(F219="C219成功",IF(AND(J219&lt;&gt;"",K219&lt;&gt;"",N219&gt;0),"有证据","缺C219证据"),IF(F219="C219发货确认中",IF(AND(J219&lt;&gt;"",K219&lt;&gt;""),"有证据","缺C219证据"),IF(F219="手动完结",IF(OR(L219&lt;&gt;"",O219&lt;&gt;"",S219&lt;&gt;""),"有记录","缺手工证据"),IF(OR(F219="卖出待补仓",F219="提交结果待确认",F219="异常待处理"),"持续跟踪","检查状态")))))</x:f>
      </x:c>
      <x:c r="T219" s="64" t="str">
        <x:f>IF(A219="","",IF(COUNTIF($A$5:$A$1204,A219)&gt;1,"重复",""))</x:f>
      </x:c>
      <x:c r="U219" s="64" t="str">
        <x:f>IF(A219="","",IF(T219="重复","检查重复",IF(OR(R219="有证据",R219="有记录",R219="持续跟踪"),"可追踪","检查")))</x:f>
      </x:c>
    </x:row>
    <x:row r="220">
      <x:c r="A220" s="62"/>
      <x:c r="B220" s="62"/>
      <x:c r="C220" s="62"/>
      <x:c r="D220" s="66"/>
      <x:c r="E220" s="68"/>
      <x:c r="F220" s="62"/>
      <x:c r="G220" s="62"/>
      <x:c r="H220" s="62"/>
      <x:c r="I220" s="62"/>
      <x:c r="J220" s="62"/>
      <x:c r="K220" s="62"/>
      <x:c r="L220" s="62"/>
      <x:c r="M220" s="68"/>
      <x:c r="N220" s="68"/>
      <x:c r="O220" s="68"/>
      <x:c r="P220" s="71" t="str">
        <x:f>IF(A220="","",IF(N220&gt;0,N220,M220))</x:f>
      </x:c>
      <x:c r="Q220" s="72" t="n">
        <x:f>IF(A220="",0,IF(COUNTIF($A$5:A220,A220)=1,1,0))</x:f>
        <x:v>0</x:v>
      </x:c>
      <x:c r="R220" s="64" t="str">
        <x:f>IF(A220="","",IF(F220="C220成功",IF(AND(J220&lt;&gt;"",K220&lt;&gt;"",N220&gt;0),"有证据","缺C220证据"),IF(F220="C220发货确认中",IF(AND(J220&lt;&gt;"",K220&lt;&gt;""),"有证据","缺C220证据"),IF(F220="手动完结",IF(OR(L220&lt;&gt;"",O220&lt;&gt;"",S220&lt;&gt;""),"有记录","缺手工证据"),IF(OR(F220="卖出待补仓",F220="提交结果待确认",F220="异常待处理"),"持续跟踪","检查状态")))))</x:f>
      </x:c>
      <x:c r="T220" s="64" t="str">
        <x:f>IF(A220="","",IF(COUNTIF($A$5:$A$1204,A220)&gt;1,"重复",""))</x:f>
      </x:c>
      <x:c r="U220" s="64" t="str">
        <x:f>IF(A220="","",IF(T220="重复","检查重复",IF(OR(R220="有证据",R220="有记录",R220="持续跟踪"),"可追踪","检查")))</x:f>
      </x:c>
    </x:row>
    <x:row r="221">
      <x:c r="A221" s="62"/>
      <x:c r="B221" s="62"/>
      <x:c r="C221" s="62"/>
      <x:c r="D221" s="66"/>
      <x:c r="E221" s="68"/>
      <x:c r="F221" s="62"/>
      <x:c r="G221" s="62"/>
      <x:c r="H221" s="62"/>
      <x:c r="I221" s="62"/>
      <x:c r="J221" s="62"/>
      <x:c r="K221" s="62"/>
      <x:c r="L221" s="62"/>
      <x:c r="M221" s="68"/>
      <x:c r="N221" s="68"/>
      <x:c r="O221" s="68"/>
      <x:c r="P221" s="71" t="str">
        <x:f>IF(A221="","",IF(N221&gt;0,N221,M221))</x:f>
      </x:c>
      <x:c r="Q221" s="72" t="n">
        <x:f>IF(A221="",0,IF(COUNTIF($A$5:A221,A221)=1,1,0))</x:f>
        <x:v>0</x:v>
      </x:c>
      <x:c r="R221" s="64" t="str">
        <x:f>IF(A221="","",IF(F221="C221成功",IF(AND(J221&lt;&gt;"",K221&lt;&gt;"",N221&gt;0),"有证据","缺C221证据"),IF(F221="C221发货确认中",IF(AND(J221&lt;&gt;"",K221&lt;&gt;""),"有证据","缺C221证据"),IF(F221="手动完结",IF(OR(L221&lt;&gt;"",O221&lt;&gt;"",S221&lt;&gt;""),"有记录","缺手工证据"),IF(OR(F221="卖出待补仓",F221="提交结果待确认",F221="异常待处理"),"持续跟踪","检查状态")))))</x:f>
      </x:c>
      <x:c r="T221" s="64" t="str">
        <x:f>IF(A221="","",IF(COUNTIF($A$5:$A$1204,A221)&gt;1,"重复",""))</x:f>
      </x:c>
      <x:c r="U221" s="64" t="str">
        <x:f>IF(A221="","",IF(T221="重复","检查重复",IF(OR(R221="有证据",R221="有记录",R221="持续跟踪"),"可追踪","检查")))</x:f>
      </x:c>
    </x:row>
    <x:row r="222">
      <x:c r="A222" s="62"/>
      <x:c r="B222" s="62"/>
      <x:c r="C222" s="62"/>
      <x:c r="D222" s="66"/>
      <x:c r="E222" s="68"/>
      <x:c r="F222" s="62"/>
      <x:c r="G222" s="62"/>
      <x:c r="H222" s="62"/>
      <x:c r="I222" s="62"/>
      <x:c r="J222" s="62"/>
      <x:c r="K222" s="62"/>
      <x:c r="L222" s="62"/>
      <x:c r="M222" s="68"/>
      <x:c r="N222" s="68"/>
      <x:c r="O222" s="68"/>
      <x:c r="P222" s="71" t="str">
        <x:f>IF(A222="","",IF(N222&gt;0,N222,M222))</x:f>
      </x:c>
      <x:c r="Q222" s="72" t="n">
        <x:f>IF(A222="",0,IF(COUNTIF($A$5:A222,A222)=1,1,0))</x:f>
        <x:v>0</x:v>
      </x:c>
      <x:c r="R222" s="64" t="str">
        <x:f>IF(A222="","",IF(F222="C222成功",IF(AND(J222&lt;&gt;"",K222&lt;&gt;"",N222&gt;0),"有证据","缺C222证据"),IF(F222="C222发货确认中",IF(AND(J222&lt;&gt;"",K222&lt;&gt;""),"有证据","缺C222证据"),IF(F222="手动完结",IF(OR(L222&lt;&gt;"",O222&lt;&gt;"",S222&lt;&gt;""),"有记录","缺手工证据"),IF(OR(F222="卖出待补仓",F222="提交结果待确认",F222="异常待处理"),"持续跟踪","检查状态")))))</x:f>
      </x:c>
      <x:c r="T222" s="64" t="str">
        <x:f>IF(A222="","",IF(COUNTIF($A$5:$A$1204,A222)&gt;1,"重复",""))</x:f>
      </x:c>
      <x:c r="U222" s="64" t="str">
        <x:f>IF(A222="","",IF(T222="重复","检查重复",IF(OR(R222="有证据",R222="有记录",R222="持续跟踪"),"可追踪","检查")))</x:f>
      </x:c>
    </x:row>
    <x:row r="223">
      <x:c r="A223" s="62"/>
      <x:c r="B223" s="62"/>
      <x:c r="C223" s="62"/>
      <x:c r="D223" s="66"/>
      <x:c r="E223" s="68"/>
      <x:c r="F223" s="62"/>
      <x:c r="G223" s="62"/>
      <x:c r="H223" s="62"/>
      <x:c r="I223" s="62"/>
      <x:c r="J223" s="62"/>
      <x:c r="K223" s="62"/>
      <x:c r="L223" s="62"/>
      <x:c r="M223" s="68"/>
      <x:c r="N223" s="68"/>
      <x:c r="O223" s="68"/>
      <x:c r="P223" s="71" t="str">
        <x:f>IF(A223="","",IF(N223&gt;0,N223,M223))</x:f>
      </x:c>
      <x:c r="Q223" s="72" t="n">
        <x:f>IF(A223="",0,IF(COUNTIF($A$5:A223,A223)=1,1,0))</x:f>
        <x:v>0</x:v>
      </x:c>
      <x:c r="R223" s="64" t="str">
        <x:f>IF(A223="","",IF(F223="C223成功",IF(AND(J223&lt;&gt;"",K223&lt;&gt;"",N223&gt;0),"有证据","缺C223证据"),IF(F223="C223发货确认中",IF(AND(J223&lt;&gt;"",K223&lt;&gt;""),"有证据","缺C223证据"),IF(F223="手动完结",IF(OR(L223&lt;&gt;"",O223&lt;&gt;"",S223&lt;&gt;""),"有记录","缺手工证据"),IF(OR(F223="卖出待补仓",F223="提交结果待确认",F223="异常待处理"),"持续跟踪","检查状态")))))</x:f>
      </x:c>
      <x:c r="T223" s="64" t="str">
        <x:f>IF(A223="","",IF(COUNTIF($A$5:$A$1204,A223)&gt;1,"重复",""))</x:f>
      </x:c>
      <x:c r="U223" s="64" t="str">
        <x:f>IF(A223="","",IF(T223="重复","检查重复",IF(OR(R223="有证据",R223="有记录",R223="持续跟踪"),"可追踪","检查")))</x:f>
      </x:c>
    </x:row>
    <x:row r="224">
      <x:c r="A224" s="62"/>
      <x:c r="B224" s="62"/>
      <x:c r="C224" s="62"/>
      <x:c r="D224" s="66"/>
      <x:c r="E224" s="68"/>
      <x:c r="F224" s="62"/>
      <x:c r="G224" s="62"/>
      <x:c r="H224" s="62"/>
      <x:c r="I224" s="62"/>
      <x:c r="J224" s="62"/>
      <x:c r="K224" s="62"/>
      <x:c r="L224" s="62"/>
      <x:c r="M224" s="68"/>
      <x:c r="N224" s="68"/>
      <x:c r="O224" s="68"/>
      <x:c r="P224" s="71" t="str">
        <x:f>IF(A224="","",IF(N224&gt;0,N224,M224))</x:f>
      </x:c>
      <x:c r="Q224" s="72" t="n">
        <x:f>IF(A224="",0,IF(COUNTIF($A$5:A224,A224)=1,1,0))</x:f>
        <x:v>0</x:v>
      </x:c>
      <x:c r="R224" s="64" t="str">
        <x:f>IF(A224="","",IF(F224="C224成功",IF(AND(J224&lt;&gt;"",K224&lt;&gt;"",N224&gt;0),"有证据","缺C224证据"),IF(F224="C224发货确认中",IF(AND(J224&lt;&gt;"",K224&lt;&gt;""),"有证据","缺C224证据"),IF(F224="手动完结",IF(OR(L224&lt;&gt;"",O224&lt;&gt;"",S224&lt;&gt;""),"有记录","缺手工证据"),IF(OR(F224="卖出待补仓",F224="提交结果待确认",F224="异常待处理"),"持续跟踪","检查状态")))))</x:f>
      </x:c>
      <x:c r="T224" s="64" t="str">
        <x:f>IF(A224="","",IF(COUNTIF($A$5:$A$1204,A224)&gt;1,"重复",""))</x:f>
      </x:c>
      <x:c r="U224" s="64" t="str">
        <x:f>IF(A224="","",IF(T224="重复","检查重复",IF(OR(R224="有证据",R224="有记录",R224="持续跟踪"),"可追踪","检查")))</x:f>
      </x:c>
    </x:row>
    <x:row r="225">
      <x:c r="A225" s="62"/>
      <x:c r="B225" s="62"/>
      <x:c r="C225" s="62"/>
      <x:c r="D225" s="66"/>
      <x:c r="E225" s="68"/>
      <x:c r="F225" s="62"/>
      <x:c r="G225" s="62"/>
      <x:c r="H225" s="62"/>
      <x:c r="I225" s="62"/>
      <x:c r="J225" s="62"/>
      <x:c r="K225" s="62"/>
      <x:c r="L225" s="62"/>
      <x:c r="M225" s="68"/>
      <x:c r="N225" s="68"/>
      <x:c r="O225" s="68"/>
      <x:c r="P225" s="71" t="str">
        <x:f>IF(A225="","",IF(N225&gt;0,N225,M225))</x:f>
      </x:c>
      <x:c r="Q225" s="72" t="n">
        <x:f>IF(A225="",0,IF(COUNTIF($A$5:A225,A225)=1,1,0))</x:f>
        <x:v>0</x:v>
      </x:c>
      <x:c r="R225" s="64" t="str">
        <x:f>IF(A225="","",IF(F225="C225成功",IF(AND(J225&lt;&gt;"",K225&lt;&gt;"",N225&gt;0),"有证据","缺C225证据"),IF(F225="C225发货确认中",IF(AND(J225&lt;&gt;"",K225&lt;&gt;""),"有证据","缺C225证据"),IF(F225="手动完结",IF(OR(L225&lt;&gt;"",O225&lt;&gt;"",S225&lt;&gt;""),"有记录","缺手工证据"),IF(OR(F225="卖出待补仓",F225="提交结果待确认",F225="异常待处理"),"持续跟踪","检查状态")))))</x:f>
      </x:c>
      <x:c r="T225" s="64" t="str">
        <x:f>IF(A225="","",IF(COUNTIF($A$5:$A$1204,A225)&gt;1,"重复",""))</x:f>
      </x:c>
      <x:c r="U225" s="64" t="str">
        <x:f>IF(A225="","",IF(T225="重复","检查重复",IF(OR(R225="有证据",R225="有记录",R225="持续跟踪"),"可追踪","检查")))</x:f>
      </x:c>
    </x:row>
    <x:row r="226">
      <x:c r="A226" s="62"/>
      <x:c r="B226" s="62"/>
      <x:c r="C226" s="62"/>
      <x:c r="D226" s="66"/>
      <x:c r="E226" s="68"/>
      <x:c r="F226" s="62"/>
      <x:c r="G226" s="62"/>
      <x:c r="H226" s="62"/>
      <x:c r="I226" s="62"/>
      <x:c r="J226" s="62"/>
      <x:c r="K226" s="62"/>
      <x:c r="L226" s="62"/>
      <x:c r="M226" s="68"/>
      <x:c r="N226" s="68"/>
      <x:c r="O226" s="68"/>
      <x:c r="P226" s="71" t="str">
        <x:f>IF(A226="","",IF(N226&gt;0,N226,M226))</x:f>
      </x:c>
      <x:c r="Q226" s="72" t="n">
        <x:f>IF(A226="",0,IF(COUNTIF($A$5:A226,A226)=1,1,0))</x:f>
        <x:v>0</x:v>
      </x:c>
      <x:c r="R226" s="64" t="str">
        <x:f>IF(A226="","",IF(F226="C226成功",IF(AND(J226&lt;&gt;"",K226&lt;&gt;"",N226&gt;0),"有证据","缺C226证据"),IF(F226="C226发货确认中",IF(AND(J226&lt;&gt;"",K226&lt;&gt;""),"有证据","缺C226证据"),IF(F226="手动完结",IF(OR(L226&lt;&gt;"",O226&lt;&gt;"",S226&lt;&gt;""),"有记录","缺手工证据"),IF(OR(F226="卖出待补仓",F226="提交结果待确认",F226="异常待处理"),"持续跟踪","检查状态")))))</x:f>
      </x:c>
      <x:c r="T226" s="64" t="str">
        <x:f>IF(A226="","",IF(COUNTIF($A$5:$A$1204,A226)&gt;1,"重复",""))</x:f>
      </x:c>
      <x:c r="U226" s="64" t="str">
        <x:f>IF(A226="","",IF(T226="重复","检查重复",IF(OR(R226="有证据",R226="有记录",R226="持续跟踪"),"可追踪","检查")))</x:f>
      </x:c>
    </x:row>
    <x:row r="227">
      <x:c r="A227" s="62"/>
      <x:c r="B227" s="62"/>
      <x:c r="C227" s="62"/>
      <x:c r="D227" s="66"/>
      <x:c r="E227" s="68"/>
      <x:c r="F227" s="62"/>
      <x:c r="G227" s="62"/>
      <x:c r="H227" s="62"/>
      <x:c r="I227" s="62"/>
      <x:c r="J227" s="62"/>
      <x:c r="K227" s="62"/>
      <x:c r="L227" s="62"/>
      <x:c r="M227" s="68"/>
      <x:c r="N227" s="68"/>
      <x:c r="O227" s="68"/>
      <x:c r="P227" s="71" t="str">
        <x:f>IF(A227="","",IF(N227&gt;0,N227,M227))</x:f>
      </x:c>
      <x:c r="Q227" s="72" t="n">
        <x:f>IF(A227="",0,IF(COUNTIF($A$5:A227,A227)=1,1,0))</x:f>
        <x:v>0</x:v>
      </x:c>
      <x:c r="R227" s="64" t="str">
        <x:f>IF(A227="","",IF(F227="C227成功",IF(AND(J227&lt;&gt;"",K227&lt;&gt;"",N227&gt;0),"有证据","缺C227证据"),IF(F227="C227发货确认中",IF(AND(J227&lt;&gt;"",K227&lt;&gt;""),"有证据","缺C227证据"),IF(F227="手动完结",IF(OR(L227&lt;&gt;"",O227&lt;&gt;"",S227&lt;&gt;""),"有记录","缺手工证据"),IF(OR(F227="卖出待补仓",F227="提交结果待确认",F227="异常待处理"),"持续跟踪","检查状态")))))</x:f>
      </x:c>
      <x:c r="T227" s="64" t="str">
        <x:f>IF(A227="","",IF(COUNTIF($A$5:$A$1204,A227)&gt;1,"重复",""))</x:f>
      </x:c>
      <x:c r="U227" s="64" t="str">
        <x:f>IF(A227="","",IF(T227="重复","检查重复",IF(OR(R227="有证据",R227="有记录",R227="持续跟踪"),"可追踪","检查")))</x:f>
      </x:c>
    </x:row>
    <x:row r="228">
      <x:c r="A228" s="62"/>
      <x:c r="B228" s="62"/>
      <x:c r="C228" s="62"/>
      <x:c r="D228" s="66"/>
      <x:c r="E228" s="68"/>
      <x:c r="F228" s="62"/>
      <x:c r="G228" s="62"/>
      <x:c r="H228" s="62"/>
      <x:c r="I228" s="62"/>
      <x:c r="J228" s="62"/>
      <x:c r="K228" s="62"/>
      <x:c r="L228" s="62"/>
      <x:c r="M228" s="68"/>
      <x:c r="N228" s="68"/>
      <x:c r="O228" s="68"/>
      <x:c r="P228" s="71" t="str">
        <x:f>IF(A228="","",IF(N228&gt;0,N228,M228))</x:f>
      </x:c>
      <x:c r="Q228" s="72" t="n">
        <x:f>IF(A228="",0,IF(COUNTIF($A$5:A228,A228)=1,1,0))</x:f>
        <x:v>0</x:v>
      </x:c>
      <x:c r="R228" s="64" t="str">
        <x:f>IF(A228="","",IF(F228="C228成功",IF(AND(J228&lt;&gt;"",K228&lt;&gt;"",N228&gt;0),"有证据","缺C228证据"),IF(F228="C228发货确认中",IF(AND(J228&lt;&gt;"",K228&lt;&gt;""),"有证据","缺C228证据"),IF(F228="手动完结",IF(OR(L228&lt;&gt;"",O228&lt;&gt;"",S228&lt;&gt;""),"有记录","缺手工证据"),IF(OR(F228="卖出待补仓",F228="提交结果待确认",F228="异常待处理"),"持续跟踪","检查状态")))))</x:f>
      </x:c>
      <x:c r="T228" s="64" t="str">
        <x:f>IF(A228="","",IF(COUNTIF($A$5:$A$1204,A228)&gt;1,"重复",""))</x:f>
      </x:c>
      <x:c r="U228" s="64" t="str">
        <x:f>IF(A228="","",IF(T228="重复","检查重复",IF(OR(R228="有证据",R228="有记录",R228="持续跟踪"),"可追踪","检查")))</x:f>
      </x:c>
    </x:row>
    <x:row r="229">
      <x:c r="A229" s="62"/>
      <x:c r="B229" s="62"/>
      <x:c r="C229" s="62"/>
      <x:c r="D229" s="66"/>
      <x:c r="E229" s="68"/>
      <x:c r="F229" s="62"/>
      <x:c r="G229" s="62"/>
      <x:c r="H229" s="62"/>
      <x:c r="I229" s="62"/>
      <x:c r="J229" s="62"/>
      <x:c r="K229" s="62"/>
      <x:c r="L229" s="62"/>
      <x:c r="M229" s="68"/>
      <x:c r="N229" s="68"/>
      <x:c r="O229" s="68"/>
      <x:c r="P229" s="71" t="str">
        <x:f>IF(A229="","",IF(N229&gt;0,N229,M229))</x:f>
      </x:c>
      <x:c r="Q229" s="72" t="n">
        <x:f>IF(A229="",0,IF(COUNTIF($A$5:A229,A229)=1,1,0))</x:f>
        <x:v>0</x:v>
      </x:c>
      <x:c r="R229" s="64" t="str">
        <x:f>IF(A229="","",IF(F229="C229成功",IF(AND(J229&lt;&gt;"",K229&lt;&gt;"",N229&gt;0),"有证据","缺C229证据"),IF(F229="C229发货确认中",IF(AND(J229&lt;&gt;"",K229&lt;&gt;""),"有证据","缺C229证据"),IF(F229="手动完结",IF(OR(L229&lt;&gt;"",O229&lt;&gt;"",S229&lt;&gt;""),"有记录","缺手工证据"),IF(OR(F229="卖出待补仓",F229="提交结果待确认",F229="异常待处理"),"持续跟踪","检查状态")))))</x:f>
      </x:c>
      <x:c r="T229" s="64" t="str">
        <x:f>IF(A229="","",IF(COUNTIF($A$5:$A$1204,A229)&gt;1,"重复",""))</x:f>
      </x:c>
      <x:c r="U229" s="64" t="str">
        <x:f>IF(A229="","",IF(T229="重复","检查重复",IF(OR(R229="有证据",R229="有记录",R229="持续跟踪"),"可追踪","检查")))</x:f>
      </x:c>
    </x:row>
    <x:row r="230">
      <x:c r="A230" s="62"/>
      <x:c r="B230" s="62"/>
      <x:c r="C230" s="62"/>
      <x:c r="D230" s="66"/>
      <x:c r="E230" s="68"/>
      <x:c r="F230" s="62"/>
      <x:c r="G230" s="62"/>
      <x:c r="H230" s="62"/>
      <x:c r="I230" s="62"/>
      <x:c r="J230" s="62"/>
      <x:c r="K230" s="62"/>
      <x:c r="L230" s="62"/>
      <x:c r="M230" s="68"/>
      <x:c r="N230" s="68"/>
      <x:c r="O230" s="68"/>
      <x:c r="P230" s="71" t="str">
        <x:f>IF(A230="","",IF(N230&gt;0,N230,M230))</x:f>
      </x:c>
      <x:c r="Q230" s="72" t="n">
        <x:f>IF(A230="",0,IF(COUNTIF($A$5:A230,A230)=1,1,0))</x:f>
        <x:v>0</x:v>
      </x:c>
      <x:c r="R230" s="64" t="str">
        <x:f>IF(A230="","",IF(F230="C230成功",IF(AND(J230&lt;&gt;"",K230&lt;&gt;"",N230&gt;0),"有证据","缺C230证据"),IF(F230="C230发货确认中",IF(AND(J230&lt;&gt;"",K230&lt;&gt;""),"有证据","缺C230证据"),IF(F230="手动完结",IF(OR(L230&lt;&gt;"",O230&lt;&gt;"",S230&lt;&gt;""),"有记录","缺手工证据"),IF(OR(F230="卖出待补仓",F230="提交结果待确认",F230="异常待处理"),"持续跟踪","检查状态")))))</x:f>
      </x:c>
      <x:c r="T230" s="64" t="str">
        <x:f>IF(A230="","",IF(COUNTIF($A$5:$A$1204,A230)&gt;1,"重复",""))</x:f>
      </x:c>
      <x:c r="U230" s="64" t="str">
        <x:f>IF(A230="","",IF(T230="重复","检查重复",IF(OR(R230="有证据",R230="有记录",R230="持续跟踪"),"可追踪","检查")))</x:f>
      </x:c>
    </x:row>
    <x:row r="231">
      <x:c r="A231" s="62"/>
      <x:c r="B231" s="62"/>
      <x:c r="C231" s="62"/>
      <x:c r="D231" s="66"/>
      <x:c r="E231" s="68"/>
      <x:c r="F231" s="62"/>
      <x:c r="G231" s="62"/>
      <x:c r="H231" s="62"/>
      <x:c r="I231" s="62"/>
      <x:c r="J231" s="62"/>
      <x:c r="K231" s="62"/>
      <x:c r="L231" s="62"/>
      <x:c r="M231" s="68"/>
      <x:c r="N231" s="68"/>
      <x:c r="O231" s="68"/>
      <x:c r="P231" s="71" t="str">
        <x:f>IF(A231="","",IF(N231&gt;0,N231,M231))</x:f>
      </x:c>
      <x:c r="Q231" s="72" t="n">
        <x:f>IF(A231="",0,IF(COUNTIF($A$5:A231,A231)=1,1,0))</x:f>
        <x:v>0</x:v>
      </x:c>
      <x:c r="R231" s="64" t="str">
        <x:f>IF(A231="","",IF(F231="C231成功",IF(AND(J231&lt;&gt;"",K231&lt;&gt;"",N231&gt;0),"有证据","缺C231证据"),IF(F231="C231发货确认中",IF(AND(J231&lt;&gt;"",K231&lt;&gt;""),"有证据","缺C231证据"),IF(F231="手动完结",IF(OR(L231&lt;&gt;"",O231&lt;&gt;"",S231&lt;&gt;""),"有记录","缺手工证据"),IF(OR(F231="卖出待补仓",F231="提交结果待确认",F231="异常待处理"),"持续跟踪","检查状态")))))</x:f>
      </x:c>
      <x:c r="T231" s="64" t="str">
        <x:f>IF(A231="","",IF(COUNTIF($A$5:$A$1204,A231)&gt;1,"重复",""))</x:f>
      </x:c>
      <x:c r="U231" s="64" t="str">
        <x:f>IF(A231="","",IF(T231="重复","检查重复",IF(OR(R231="有证据",R231="有记录",R231="持续跟踪"),"可追踪","检查")))</x:f>
      </x:c>
    </x:row>
    <x:row r="232">
      <x:c r="A232" s="62"/>
      <x:c r="B232" s="62"/>
      <x:c r="C232" s="62"/>
      <x:c r="D232" s="66"/>
      <x:c r="E232" s="68"/>
      <x:c r="F232" s="62"/>
      <x:c r="G232" s="62"/>
      <x:c r="H232" s="62"/>
      <x:c r="I232" s="62"/>
      <x:c r="J232" s="62"/>
      <x:c r="K232" s="62"/>
      <x:c r="L232" s="62"/>
      <x:c r="M232" s="68"/>
      <x:c r="N232" s="68"/>
      <x:c r="O232" s="68"/>
      <x:c r="P232" s="71" t="str">
        <x:f>IF(A232="","",IF(N232&gt;0,N232,M232))</x:f>
      </x:c>
      <x:c r="Q232" s="72" t="n">
        <x:f>IF(A232="",0,IF(COUNTIF($A$5:A232,A232)=1,1,0))</x:f>
        <x:v>0</x:v>
      </x:c>
      <x:c r="R232" s="64" t="str">
        <x:f>IF(A232="","",IF(F232="C232成功",IF(AND(J232&lt;&gt;"",K232&lt;&gt;"",N232&gt;0),"有证据","缺C232证据"),IF(F232="C232发货确认中",IF(AND(J232&lt;&gt;"",K232&lt;&gt;""),"有证据","缺C232证据"),IF(F232="手动完结",IF(OR(L232&lt;&gt;"",O232&lt;&gt;"",S232&lt;&gt;""),"有记录","缺手工证据"),IF(OR(F232="卖出待补仓",F232="提交结果待确认",F232="异常待处理"),"持续跟踪","检查状态")))))</x:f>
      </x:c>
      <x:c r="T232" s="64" t="str">
        <x:f>IF(A232="","",IF(COUNTIF($A$5:$A$1204,A232)&gt;1,"重复",""))</x:f>
      </x:c>
      <x:c r="U232" s="64" t="str">
        <x:f>IF(A232="","",IF(T232="重复","检查重复",IF(OR(R232="有证据",R232="有记录",R232="持续跟踪"),"可追踪","检查")))</x:f>
      </x:c>
    </x:row>
    <x:row r="233">
      <x:c r="A233" s="62"/>
      <x:c r="B233" s="62"/>
      <x:c r="C233" s="62"/>
      <x:c r="D233" s="66"/>
      <x:c r="E233" s="68"/>
      <x:c r="F233" s="62"/>
      <x:c r="G233" s="62"/>
      <x:c r="H233" s="62"/>
      <x:c r="I233" s="62"/>
      <x:c r="J233" s="62"/>
      <x:c r="K233" s="62"/>
      <x:c r="L233" s="62"/>
      <x:c r="M233" s="68"/>
      <x:c r="N233" s="68"/>
      <x:c r="O233" s="68"/>
      <x:c r="P233" s="71" t="str">
        <x:f>IF(A233="","",IF(N233&gt;0,N233,M233))</x:f>
      </x:c>
      <x:c r="Q233" s="72" t="n">
        <x:f>IF(A233="",0,IF(COUNTIF($A$5:A233,A233)=1,1,0))</x:f>
        <x:v>0</x:v>
      </x:c>
      <x:c r="R233" s="64" t="str">
        <x:f>IF(A233="","",IF(F233="C233成功",IF(AND(J233&lt;&gt;"",K233&lt;&gt;"",N233&gt;0),"有证据","缺C233证据"),IF(F233="C233发货确认中",IF(AND(J233&lt;&gt;"",K233&lt;&gt;""),"有证据","缺C233证据"),IF(F233="手动完结",IF(OR(L233&lt;&gt;"",O233&lt;&gt;"",S233&lt;&gt;""),"有记录","缺手工证据"),IF(OR(F233="卖出待补仓",F233="提交结果待确认",F233="异常待处理"),"持续跟踪","检查状态")))))</x:f>
      </x:c>
      <x:c r="T233" s="64" t="str">
        <x:f>IF(A233="","",IF(COUNTIF($A$5:$A$1204,A233)&gt;1,"重复",""))</x:f>
      </x:c>
      <x:c r="U233" s="64" t="str">
        <x:f>IF(A233="","",IF(T233="重复","检查重复",IF(OR(R233="有证据",R233="有记录",R233="持续跟踪"),"可追踪","检查")))</x:f>
      </x:c>
    </x:row>
    <x:row r="234">
      <x:c r="A234" s="62"/>
      <x:c r="B234" s="62"/>
      <x:c r="C234" s="62"/>
      <x:c r="D234" s="66"/>
      <x:c r="E234" s="68"/>
      <x:c r="F234" s="62"/>
      <x:c r="G234" s="62"/>
      <x:c r="H234" s="62"/>
      <x:c r="I234" s="62"/>
      <x:c r="J234" s="62"/>
      <x:c r="K234" s="62"/>
      <x:c r="L234" s="62"/>
      <x:c r="M234" s="68"/>
      <x:c r="N234" s="68"/>
      <x:c r="O234" s="68"/>
      <x:c r="P234" s="71" t="str">
        <x:f>IF(A234="","",IF(N234&gt;0,N234,M234))</x:f>
      </x:c>
      <x:c r="Q234" s="72" t="n">
        <x:f>IF(A234="",0,IF(COUNTIF($A$5:A234,A234)=1,1,0))</x:f>
        <x:v>0</x:v>
      </x:c>
      <x:c r="R234" s="64" t="str">
        <x:f>IF(A234="","",IF(F234="C234成功",IF(AND(J234&lt;&gt;"",K234&lt;&gt;"",N234&gt;0),"有证据","缺C234证据"),IF(F234="C234发货确认中",IF(AND(J234&lt;&gt;"",K234&lt;&gt;""),"有证据","缺C234证据"),IF(F234="手动完结",IF(OR(L234&lt;&gt;"",O234&lt;&gt;"",S234&lt;&gt;""),"有记录","缺手工证据"),IF(OR(F234="卖出待补仓",F234="提交结果待确认",F234="异常待处理"),"持续跟踪","检查状态")))))</x:f>
      </x:c>
      <x:c r="T234" s="64" t="str">
        <x:f>IF(A234="","",IF(COUNTIF($A$5:$A$1204,A234)&gt;1,"重复",""))</x:f>
      </x:c>
      <x:c r="U234" s="64" t="str">
        <x:f>IF(A234="","",IF(T234="重复","检查重复",IF(OR(R234="有证据",R234="有记录",R234="持续跟踪"),"可追踪","检查")))</x:f>
      </x:c>
    </x:row>
    <x:row r="235">
      <x:c r="A235" s="62"/>
      <x:c r="B235" s="62"/>
      <x:c r="C235" s="62"/>
      <x:c r="D235" s="66"/>
      <x:c r="E235" s="68"/>
      <x:c r="F235" s="62"/>
      <x:c r="G235" s="62"/>
      <x:c r="H235" s="62"/>
      <x:c r="I235" s="62"/>
      <x:c r="J235" s="62"/>
      <x:c r="K235" s="62"/>
      <x:c r="L235" s="62"/>
      <x:c r="M235" s="68"/>
      <x:c r="N235" s="68"/>
      <x:c r="O235" s="68"/>
      <x:c r="P235" s="71" t="str">
        <x:f>IF(A235="","",IF(N235&gt;0,N235,M235))</x:f>
      </x:c>
      <x:c r="Q235" s="72" t="n">
        <x:f>IF(A235="",0,IF(COUNTIF($A$5:A235,A235)=1,1,0))</x:f>
        <x:v>0</x:v>
      </x:c>
      <x:c r="R235" s="64" t="str">
        <x:f>IF(A235="","",IF(F235="C235成功",IF(AND(J235&lt;&gt;"",K235&lt;&gt;"",N235&gt;0),"有证据","缺C235证据"),IF(F235="C235发货确认中",IF(AND(J235&lt;&gt;"",K235&lt;&gt;""),"有证据","缺C235证据"),IF(F235="手动完结",IF(OR(L235&lt;&gt;"",O235&lt;&gt;"",S235&lt;&gt;""),"有记录","缺手工证据"),IF(OR(F235="卖出待补仓",F235="提交结果待确认",F235="异常待处理"),"持续跟踪","检查状态")))))</x:f>
      </x:c>
      <x:c r="T235" s="64" t="str">
        <x:f>IF(A235="","",IF(COUNTIF($A$5:$A$1204,A235)&gt;1,"重复",""))</x:f>
      </x:c>
      <x:c r="U235" s="64" t="str">
        <x:f>IF(A235="","",IF(T235="重复","检查重复",IF(OR(R235="有证据",R235="有记录",R235="持续跟踪"),"可追踪","检查")))</x:f>
      </x:c>
    </x:row>
    <x:row r="236">
      <x:c r="A236" s="62"/>
      <x:c r="B236" s="62"/>
      <x:c r="C236" s="62"/>
      <x:c r="D236" s="66"/>
      <x:c r="E236" s="68"/>
      <x:c r="F236" s="62"/>
      <x:c r="G236" s="62"/>
      <x:c r="H236" s="62"/>
      <x:c r="I236" s="62"/>
      <x:c r="J236" s="62"/>
      <x:c r="K236" s="62"/>
      <x:c r="L236" s="62"/>
      <x:c r="M236" s="68"/>
      <x:c r="N236" s="68"/>
      <x:c r="O236" s="68"/>
      <x:c r="P236" s="71" t="str">
        <x:f>IF(A236="","",IF(N236&gt;0,N236,M236))</x:f>
      </x:c>
      <x:c r="Q236" s="72" t="n">
        <x:f>IF(A236="",0,IF(COUNTIF($A$5:A236,A236)=1,1,0))</x:f>
        <x:v>0</x:v>
      </x:c>
      <x:c r="R236" s="64" t="str">
        <x:f>IF(A236="","",IF(F236="C236成功",IF(AND(J236&lt;&gt;"",K236&lt;&gt;"",N236&gt;0),"有证据","缺C236证据"),IF(F236="C236发货确认中",IF(AND(J236&lt;&gt;"",K236&lt;&gt;""),"有证据","缺C236证据"),IF(F236="手动完结",IF(OR(L236&lt;&gt;"",O236&lt;&gt;"",S236&lt;&gt;""),"有记录","缺手工证据"),IF(OR(F236="卖出待补仓",F236="提交结果待确认",F236="异常待处理"),"持续跟踪","检查状态")))))</x:f>
      </x:c>
      <x:c r="T236" s="64" t="str">
        <x:f>IF(A236="","",IF(COUNTIF($A$5:$A$1204,A236)&gt;1,"重复",""))</x:f>
      </x:c>
      <x:c r="U236" s="64" t="str">
        <x:f>IF(A236="","",IF(T236="重复","检查重复",IF(OR(R236="有证据",R236="有记录",R236="持续跟踪"),"可追踪","检查")))</x:f>
      </x:c>
    </x:row>
    <x:row r="237">
      <x:c r="A237" s="62"/>
      <x:c r="B237" s="62"/>
      <x:c r="C237" s="62"/>
      <x:c r="D237" s="66"/>
      <x:c r="E237" s="68"/>
      <x:c r="F237" s="62"/>
      <x:c r="G237" s="62"/>
      <x:c r="H237" s="62"/>
      <x:c r="I237" s="62"/>
      <x:c r="J237" s="62"/>
      <x:c r="K237" s="62"/>
      <x:c r="L237" s="62"/>
      <x:c r="M237" s="68"/>
      <x:c r="N237" s="68"/>
      <x:c r="O237" s="68"/>
      <x:c r="P237" s="71" t="str">
        <x:f>IF(A237="","",IF(N237&gt;0,N237,M237))</x:f>
      </x:c>
      <x:c r="Q237" s="72" t="n">
        <x:f>IF(A237="",0,IF(COUNTIF($A$5:A237,A237)=1,1,0))</x:f>
        <x:v>0</x:v>
      </x:c>
      <x:c r="R237" s="64" t="str">
        <x:f>IF(A237="","",IF(F237="C237成功",IF(AND(J237&lt;&gt;"",K237&lt;&gt;"",N237&gt;0),"有证据","缺C237证据"),IF(F237="C237发货确认中",IF(AND(J237&lt;&gt;"",K237&lt;&gt;""),"有证据","缺C237证据"),IF(F237="手动完结",IF(OR(L237&lt;&gt;"",O237&lt;&gt;"",S237&lt;&gt;""),"有记录","缺手工证据"),IF(OR(F237="卖出待补仓",F237="提交结果待确认",F237="异常待处理"),"持续跟踪","检查状态")))))</x:f>
      </x:c>
      <x:c r="T237" s="64" t="str">
        <x:f>IF(A237="","",IF(COUNTIF($A$5:$A$1204,A237)&gt;1,"重复",""))</x:f>
      </x:c>
      <x:c r="U237" s="64" t="str">
        <x:f>IF(A237="","",IF(T237="重复","检查重复",IF(OR(R237="有证据",R237="有记录",R237="持续跟踪"),"可追踪","检查")))</x:f>
      </x:c>
    </x:row>
    <x:row r="238">
      <x:c r="A238" s="62"/>
      <x:c r="B238" s="62"/>
      <x:c r="C238" s="62"/>
      <x:c r="D238" s="66"/>
      <x:c r="E238" s="68"/>
      <x:c r="F238" s="62"/>
      <x:c r="G238" s="62"/>
      <x:c r="H238" s="62"/>
      <x:c r="I238" s="62"/>
      <x:c r="J238" s="62"/>
      <x:c r="K238" s="62"/>
      <x:c r="L238" s="62"/>
      <x:c r="M238" s="68"/>
      <x:c r="N238" s="68"/>
      <x:c r="O238" s="68"/>
      <x:c r="P238" s="71" t="str">
        <x:f>IF(A238="","",IF(N238&gt;0,N238,M238))</x:f>
      </x:c>
      <x:c r="Q238" s="72" t="n">
        <x:f>IF(A238="",0,IF(COUNTIF($A$5:A238,A238)=1,1,0))</x:f>
        <x:v>0</x:v>
      </x:c>
      <x:c r="R238" s="64" t="str">
        <x:f>IF(A238="","",IF(F238="C238成功",IF(AND(J238&lt;&gt;"",K238&lt;&gt;"",N238&gt;0),"有证据","缺C238证据"),IF(F238="C238发货确认中",IF(AND(J238&lt;&gt;"",K238&lt;&gt;""),"有证据","缺C238证据"),IF(F238="手动完结",IF(OR(L238&lt;&gt;"",O238&lt;&gt;"",S238&lt;&gt;""),"有记录","缺手工证据"),IF(OR(F238="卖出待补仓",F238="提交结果待确认",F238="异常待处理"),"持续跟踪","检查状态")))))</x:f>
      </x:c>
      <x:c r="T238" s="64" t="str">
        <x:f>IF(A238="","",IF(COUNTIF($A$5:$A$1204,A238)&gt;1,"重复",""))</x:f>
      </x:c>
      <x:c r="U238" s="64" t="str">
        <x:f>IF(A238="","",IF(T238="重复","检查重复",IF(OR(R238="有证据",R238="有记录",R238="持续跟踪"),"可追踪","检查")))</x:f>
      </x:c>
    </x:row>
    <x:row r="239">
      <x:c r="A239" s="62"/>
      <x:c r="B239" s="62"/>
      <x:c r="C239" s="62"/>
      <x:c r="D239" s="66"/>
      <x:c r="E239" s="68"/>
      <x:c r="F239" s="62"/>
      <x:c r="G239" s="62"/>
      <x:c r="H239" s="62"/>
      <x:c r="I239" s="62"/>
      <x:c r="J239" s="62"/>
      <x:c r="K239" s="62"/>
      <x:c r="L239" s="62"/>
      <x:c r="M239" s="68"/>
      <x:c r="N239" s="68"/>
      <x:c r="O239" s="68"/>
      <x:c r="P239" s="71" t="str">
        <x:f>IF(A239="","",IF(N239&gt;0,N239,M239))</x:f>
      </x:c>
      <x:c r="Q239" s="72" t="n">
        <x:f>IF(A239="",0,IF(COUNTIF($A$5:A239,A239)=1,1,0))</x:f>
        <x:v>0</x:v>
      </x:c>
      <x:c r="R239" s="64" t="str">
        <x:f>IF(A239="","",IF(F239="C239成功",IF(AND(J239&lt;&gt;"",K239&lt;&gt;"",N239&gt;0),"有证据","缺C239证据"),IF(F239="C239发货确认中",IF(AND(J239&lt;&gt;"",K239&lt;&gt;""),"有证据","缺C239证据"),IF(F239="手动完结",IF(OR(L239&lt;&gt;"",O239&lt;&gt;"",S239&lt;&gt;""),"有记录","缺手工证据"),IF(OR(F239="卖出待补仓",F239="提交结果待确认",F239="异常待处理"),"持续跟踪","检查状态")))))</x:f>
      </x:c>
      <x:c r="T239" s="64" t="str">
        <x:f>IF(A239="","",IF(COUNTIF($A$5:$A$1204,A239)&gt;1,"重复",""))</x:f>
      </x:c>
      <x:c r="U239" s="64" t="str">
        <x:f>IF(A239="","",IF(T239="重复","检查重复",IF(OR(R239="有证据",R239="有记录",R239="持续跟踪"),"可追踪","检查")))</x:f>
      </x:c>
    </x:row>
    <x:row r="240">
      <x:c r="A240" s="62"/>
      <x:c r="B240" s="62"/>
      <x:c r="C240" s="62"/>
      <x:c r="D240" s="66"/>
      <x:c r="E240" s="68"/>
      <x:c r="F240" s="62"/>
      <x:c r="G240" s="62"/>
      <x:c r="H240" s="62"/>
      <x:c r="I240" s="62"/>
      <x:c r="J240" s="62"/>
      <x:c r="K240" s="62"/>
      <x:c r="L240" s="62"/>
      <x:c r="M240" s="68"/>
      <x:c r="N240" s="68"/>
      <x:c r="O240" s="68"/>
      <x:c r="P240" s="71" t="str">
        <x:f>IF(A240="","",IF(N240&gt;0,N240,M240))</x:f>
      </x:c>
      <x:c r="Q240" s="72" t="n">
        <x:f>IF(A240="",0,IF(COUNTIF($A$5:A240,A240)=1,1,0))</x:f>
        <x:v>0</x:v>
      </x:c>
      <x:c r="R240" s="64" t="str">
        <x:f>IF(A240="","",IF(F240="C240成功",IF(AND(J240&lt;&gt;"",K240&lt;&gt;"",N240&gt;0),"有证据","缺C240证据"),IF(F240="C240发货确认中",IF(AND(J240&lt;&gt;"",K240&lt;&gt;""),"有证据","缺C240证据"),IF(F240="手动完结",IF(OR(L240&lt;&gt;"",O240&lt;&gt;"",S240&lt;&gt;""),"有记录","缺手工证据"),IF(OR(F240="卖出待补仓",F240="提交结果待确认",F240="异常待处理"),"持续跟踪","检查状态")))))</x:f>
      </x:c>
      <x:c r="T240" s="64" t="str">
        <x:f>IF(A240="","",IF(COUNTIF($A$5:$A$1204,A240)&gt;1,"重复",""))</x:f>
      </x:c>
      <x:c r="U240" s="64" t="str">
        <x:f>IF(A240="","",IF(T240="重复","检查重复",IF(OR(R240="有证据",R240="有记录",R240="持续跟踪"),"可追踪","检查")))</x:f>
      </x:c>
    </x:row>
    <x:row r="241">
      <x:c r="A241" s="62"/>
      <x:c r="B241" s="62"/>
      <x:c r="C241" s="62"/>
      <x:c r="D241" s="66"/>
      <x:c r="E241" s="68"/>
      <x:c r="F241" s="62"/>
      <x:c r="G241" s="62"/>
      <x:c r="H241" s="62"/>
      <x:c r="I241" s="62"/>
      <x:c r="J241" s="62"/>
      <x:c r="K241" s="62"/>
      <x:c r="L241" s="62"/>
      <x:c r="M241" s="68"/>
      <x:c r="N241" s="68"/>
      <x:c r="O241" s="68"/>
      <x:c r="P241" s="71" t="str">
        <x:f>IF(A241="","",IF(N241&gt;0,N241,M241))</x:f>
      </x:c>
      <x:c r="Q241" s="72" t="n">
        <x:f>IF(A241="",0,IF(COUNTIF($A$5:A241,A241)=1,1,0))</x:f>
        <x:v>0</x:v>
      </x:c>
      <x:c r="R241" s="64" t="str">
        <x:f>IF(A241="","",IF(F241="C241成功",IF(AND(J241&lt;&gt;"",K241&lt;&gt;"",N241&gt;0),"有证据","缺C241证据"),IF(F241="C241发货确认中",IF(AND(J241&lt;&gt;"",K241&lt;&gt;""),"有证据","缺C241证据"),IF(F241="手动完结",IF(OR(L241&lt;&gt;"",O241&lt;&gt;"",S241&lt;&gt;""),"有记录","缺手工证据"),IF(OR(F241="卖出待补仓",F241="提交结果待确认",F241="异常待处理"),"持续跟踪","检查状态")))))</x:f>
      </x:c>
      <x:c r="T241" s="64" t="str">
        <x:f>IF(A241="","",IF(COUNTIF($A$5:$A$1204,A241)&gt;1,"重复",""))</x:f>
      </x:c>
      <x:c r="U241" s="64" t="str">
        <x:f>IF(A241="","",IF(T241="重复","检查重复",IF(OR(R241="有证据",R241="有记录",R241="持续跟踪"),"可追踪","检查")))</x:f>
      </x:c>
    </x:row>
    <x:row r="242">
      <x:c r="A242" s="62"/>
      <x:c r="B242" s="62"/>
      <x:c r="C242" s="62"/>
      <x:c r="D242" s="66"/>
      <x:c r="E242" s="68"/>
      <x:c r="F242" s="62"/>
      <x:c r="G242" s="62"/>
      <x:c r="H242" s="62"/>
      <x:c r="I242" s="62"/>
      <x:c r="J242" s="62"/>
      <x:c r="K242" s="62"/>
      <x:c r="L242" s="62"/>
      <x:c r="M242" s="68"/>
      <x:c r="N242" s="68"/>
      <x:c r="O242" s="68"/>
      <x:c r="P242" s="71" t="str">
        <x:f>IF(A242="","",IF(N242&gt;0,N242,M242))</x:f>
      </x:c>
      <x:c r="Q242" s="72" t="n">
        <x:f>IF(A242="",0,IF(COUNTIF($A$5:A242,A242)=1,1,0))</x:f>
        <x:v>0</x:v>
      </x:c>
      <x:c r="R242" s="64" t="str">
        <x:f>IF(A242="","",IF(F242="C242成功",IF(AND(J242&lt;&gt;"",K242&lt;&gt;"",N242&gt;0),"有证据","缺C242证据"),IF(F242="C242发货确认中",IF(AND(J242&lt;&gt;"",K242&lt;&gt;""),"有证据","缺C242证据"),IF(F242="手动完结",IF(OR(L242&lt;&gt;"",O242&lt;&gt;"",S242&lt;&gt;""),"有记录","缺手工证据"),IF(OR(F242="卖出待补仓",F242="提交结果待确认",F242="异常待处理"),"持续跟踪","检查状态")))))</x:f>
      </x:c>
      <x:c r="T242" s="64" t="str">
        <x:f>IF(A242="","",IF(COUNTIF($A$5:$A$1204,A242)&gt;1,"重复",""))</x:f>
      </x:c>
      <x:c r="U242" s="64" t="str">
        <x:f>IF(A242="","",IF(T242="重复","检查重复",IF(OR(R242="有证据",R242="有记录",R242="持续跟踪"),"可追踪","检查")))</x:f>
      </x:c>
    </x:row>
    <x:row r="243">
      <x:c r="A243" s="62"/>
      <x:c r="B243" s="62"/>
      <x:c r="C243" s="62"/>
      <x:c r="D243" s="66"/>
      <x:c r="E243" s="68"/>
      <x:c r="F243" s="62"/>
      <x:c r="G243" s="62"/>
      <x:c r="H243" s="62"/>
      <x:c r="I243" s="62"/>
      <x:c r="J243" s="62"/>
      <x:c r="K243" s="62"/>
      <x:c r="L243" s="62"/>
      <x:c r="M243" s="68"/>
      <x:c r="N243" s="68"/>
      <x:c r="O243" s="68"/>
      <x:c r="P243" s="71" t="str">
        <x:f>IF(A243="","",IF(N243&gt;0,N243,M243))</x:f>
      </x:c>
      <x:c r="Q243" s="72" t="n">
        <x:f>IF(A243="",0,IF(COUNTIF($A$5:A243,A243)=1,1,0))</x:f>
        <x:v>0</x:v>
      </x:c>
      <x:c r="R243" s="64" t="str">
        <x:f>IF(A243="","",IF(F243="C243成功",IF(AND(J243&lt;&gt;"",K243&lt;&gt;"",N243&gt;0),"有证据","缺C243证据"),IF(F243="C243发货确认中",IF(AND(J243&lt;&gt;"",K243&lt;&gt;""),"有证据","缺C243证据"),IF(F243="手动完结",IF(OR(L243&lt;&gt;"",O243&lt;&gt;"",S243&lt;&gt;""),"有记录","缺手工证据"),IF(OR(F243="卖出待补仓",F243="提交结果待确认",F243="异常待处理"),"持续跟踪","检查状态")))))</x:f>
      </x:c>
      <x:c r="T243" s="64" t="str">
        <x:f>IF(A243="","",IF(COUNTIF($A$5:$A$1204,A243)&gt;1,"重复",""))</x:f>
      </x:c>
      <x:c r="U243" s="64" t="str">
        <x:f>IF(A243="","",IF(T243="重复","检查重复",IF(OR(R243="有证据",R243="有记录",R243="持续跟踪"),"可追踪","检查")))</x:f>
      </x:c>
    </x:row>
    <x:row r="244">
      <x:c r="A244" s="62"/>
      <x:c r="B244" s="62"/>
      <x:c r="C244" s="62"/>
      <x:c r="D244" s="66"/>
      <x:c r="E244" s="68"/>
      <x:c r="F244" s="62"/>
      <x:c r="G244" s="62"/>
      <x:c r="H244" s="62"/>
      <x:c r="I244" s="62"/>
      <x:c r="J244" s="62"/>
      <x:c r="K244" s="62"/>
      <x:c r="L244" s="62"/>
      <x:c r="M244" s="68"/>
      <x:c r="N244" s="68"/>
      <x:c r="O244" s="68"/>
      <x:c r="P244" s="71" t="str">
        <x:f>IF(A244="","",IF(N244&gt;0,N244,M244))</x:f>
      </x:c>
      <x:c r="Q244" s="72" t="n">
        <x:f>IF(A244="",0,IF(COUNTIF($A$5:A244,A244)=1,1,0))</x:f>
        <x:v>0</x:v>
      </x:c>
      <x:c r="R244" s="64" t="str">
        <x:f>IF(A244="","",IF(F244="C244成功",IF(AND(J244&lt;&gt;"",K244&lt;&gt;"",N244&gt;0),"有证据","缺C244证据"),IF(F244="C244发货确认中",IF(AND(J244&lt;&gt;"",K244&lt;&gt;""),"有证据","缺C244证据"),IF(F244="手动完结",IF(OR(L244&lt;&gt;"",O244&lt;&gt;"",S244&lt;&gt;""),"有记录","缺手工证据"),IF(OR(F244="卖出待补仓",F244="提交结果待确认",F244="异常待处理"),"持续跟踪","检查状态")))))</x:f>
      </x:c>
      <x:c r="T244" s="64" t="str">
        <x:f>IF(A244="","",IF(COUNTIF($A$5:$A$1204,A244)&gt;1,"重复",""))</x:f>
      </x:c>
      <x:c r="U244" s="64" t="str">
        <x:f>IF(A244="","",IF(T244="重复","检查重复",IF(OR(R244="有证据",R244="有记录",R244="持续跟踪"),"可追踪","检查")))</x:f>
      </x:c>
    </x:row>
    <x:row r="245">
      <x:c r="A245" s="62"/>
      <x:c r="B245" s="62"/>
      <x:c r="C245" s="62"/>
      <x:c r="D245" s="66"/>
      <x:c r="E245" s="68"/>
      <x:c r="F245" s="62"/>
      <x:c r="G245" s="62"/>
      <x:c r="H245" s="62"/>
      <x:c r="I245" s="62"/>
      <x:c r="J245" s="62"/>
      <x:c r="K245" s="62"/>
      <x:c r="L245" s="62"/>
      <x:c r="M245" s="68"/>
      <x:c r="N245" s="68"/>
      <x:c r="O245" s="68"/>
      <x:c r="P245" s="71" t="str">
        <x:f>IF(A245="","",IF(N245&gt;0,N245,M245))</x:f>
      </x:c>
      <x:c r="Q245" s="72" t="n">
        <x:f>IF(A245="",0,IF(COUNTIF($A$5:A245,A245)=1,1,0))</x:f>
        <x:v>0</x:v>
      </x:c>
      <x:c r="R245" s="64" t="str">
        <x:f>IF(A245="","",IF(F245="C245成功",IF(AND(J245&lt;&gt;"",K245&lt;&gt;"",N245&gt;0),"有证据","缺C245证据"),IF(F245="C245发货确认中",IF(AND(J245&lt;&gt;"",K245&lt;&gt;""),"有证据","缺C245证据"),IF(F245="手动完结",IF(OR(L245&lt;&gt;"",O245&lt;&gt;"",S245&lt;&gt;""),"有记录","缺手工证据"),IF(OR(F245="卖出待补仓",F245="提交结果待确认",F245="异常待处理"),"持续跟踪","检查状态")))))</x:f>
      </x:c>
      <x:c r="T245" s="64" t="str">
        <x:f>IF(A245="","",IF(COUNTIF($A$5:$A$1204,A245)&gt;1,"重复",""))</x:f>
      </x:c>
      <x:c r="U245" s="64" t="str">
        <x:f>IF(A245="","",IF(T245="重复","检查重复",IF(OR(R245="有证据",R245="有记录",R245="持续跟踪"),"可追踪","检查")))</x:f>
      </x:c>
    </x:row>
    <x:row r="246">
      <x:c r="A246" s="62"/>
      <x:c r="B246" s="62"/>
      <x:c r="C246" s="62"/>
      <x:c r="D246" s="66"/>
      <x:c r="E246" s="68"/>
      <x:c r="F246" s="62"/>
      <x:c r="G246" s="62"/>
      <x:c r="H246" s="62"/>
      <x:c r="I246" s="62"/>
      <x:c r="J246" s="62"/>
      <x:c r="K246" s="62"/>
      <x:c r="L246" s="62"/>
      <x:c r="M246" s="68"/>
      <x:c r="N246" s="68"/>
      <x:c r="O246" s="68"/>
      <x:c r="P246" s="71" t="str">
        <x:f>IF(A246="","",IF(N246&gt;0,N246,M246))</x:f>
      </x:c>
      <x:c r="Q246" s="72" t="n">
        <x:f>IF(A246="",0,IF(COUNTIF($A$5:A246,A246)=1,1,0))</x:f>
        <x:v>0</x:v>
      </x:c>
      <x:c r="R246" s="64" t="str">
        <x:f>IF(A246="","",IF(F246="C246成功",IF(AND(J246&lt;&gt;"",K246&lt;&gt;"",N246&gt;0),"有证据","缺C246证据"),IF(F246="C246发货确认中",IF(AND(J246&lt;&gt;"",K246&lt;&gt;""),"有证据","缺C246证据"),IF(F246="手动完结",IF(OR(L246&lt;&gt;"",O246&lt;&gt;"",S246&lt;&gt;""),"有记录","缺手工证据"),IF(OR(F246="卖出待补仓",F246="提交结果待确认",F246="异常待处理"),"持续跟踪","检查状态")))))</x:f>
      </x:c>
      <x:c r="T246" s="64" t="str">
        <x:f>IF(A246="","",IF(COUNTIF($A$5:$A$1204,A246)&gt;1,"重复",""))</x:f>
      </x:c>
      <x:c r="U246" s="64" t="str">
        <x:f>IF(A246="","",IF(T246="重复","检查重复",IF(OR(R246="有证据",R246="有记录",R246="持续跟踪"),"可追踪","检查")))</x:f>
      </x:c>
    </x:row>
    <x:row r="247">
      <x:c r="A247" s="62"/>
      <x:c r="B247" s="62"/>
      <x:c r="C247" s="62"/>
      <x:c r="D247" s="66"/>
      <x:c r="E247" s="68"/>
      <x:c r="F247" s="62"/>
      <x:c r="G247" s="62"/>
      <x:c r="H247" s="62"/>
      <x:c r="I247" s="62"/>
      <x:c r="J247" s="62"/>
      <x:c r="K247" s="62"/>
      <x:c r="L247" s="62"/>
      <x:c r="M247" s="68"/>
      <x:c r="N247" s="68"/>
      <x:c r="O247" s="68"/>
      <x:c r="P247" s="71" t="str">
        <x:f>IF(A247="","",IF(N247&gt;0,N247,M247))</x:f>
      </x:c>
      <x:c r="Q247" s="72" t="n">
        <x:f>IF(A247="",0,IF(COUNTIF($A$5:A247,A247)=1,1,0))</x:f>
        <x:v>0</x:v>
      </x:c>
      <x:c r="R247" s="64" t="str">
        <x:f>IF(A247="","",IF(F247="C247成功",IF(AND(J247&lt;&gt;"",K247&lt;&gt;"",N247&gt;0),"有证据","缺C247证据"),IF(F247="C247发货确认中",IF(AND(J247&lt;&gt;"",K247&lt;&gt;""),"有证据","缺C247证据"),IF(F247="手动完结",IF(OR(L247&lt;&gt;"",O247&lt;&gt;"",S247&lt;&gt;""),"有记录","缺手工证据"),IF(OR(F247="卖出待补仓",F247="提交结果待确认",F247="异常待处理"),"持续跟踪","检查状态")))))</x:f>
      </x:c>
      <x:c r="T247" s="64" t="str">
        <x:f>IF(A247="","",IF(COUNTIF($A$5:$A$1204,A247)&gt;1,"重复",""))</x:f>
      </x:c>
      <x:c r="U247" s="64" t="str">
        <x:f>IF(A247="","",IF(T247="重复","检查重复",IF(OR(R247="有证据",R247="有记录",R247="持续跟踪"),"可追踪","检查")))</x:f>
      </x:c>
    </x:row>
    <x:row r="248">
      <x:c r="A248" s="62"/>
      <x:c r="B248" s="62"/>
      <x:c r="C248" s="62"/>
      <x:c r="D248" s="66"/>
      <x:c r="E248" s="68"/>
      <x:c r="F248" s="62"/>
      <x:c r="G248" s="62"/>
      <x:c r="H248" s="62"/>
      <x:c r="I248" s="62"/>
      <x:c r="J248" s="62"/>
      <x:c r="K248" s="62"/>
      <x:c r="L248" s="62"/>
      <x:c r="M248" s="68"/>
      <x:c r="N248" s="68"/>
      <x:c r="O248" s="68"/>
      <x:c r="P248" s="71" t="str">
        <x:f>IF(A248="","",IF(N248&gt;0,N248,M248))</x:f>
      </x:c>
      <x:c r="Q248" s="72" t="n">
        <x:f>IF(A248="",0,IF(COUNTIF($A$5:A248,A248)=1,1,0))</x:f>
        <x:v>0</x:v>
      </x:c>
      <x:c r="R248" s="64" t="str">
        <x:f>IF(A248="","",IF(F248="C248成功",IF(AND(J248&lt;&gt;"",K248&lt;&gt;"",N248&gt;0),"有证据","缺C248证据"),IF(F248="C248发货确认中",IF(AND(J248&lt;&gt;"",K248&lt;&gt;""),"有证据","缺C248证据"),IF(F248="手动完结",IF(OR(L248&lt;&gt;"",O248&lt;&gt;"",S248&lt;&gt;""),"有记录","缺手工证据"),IF(OR(F248="卖出待补仓",F248="提交结果待确认",F248="异常待处理"),"持续跟踪","检查状态")))))</x:f>
      </x:c>
      <x:c r="T248" s="64" t="str">
        <x:f>IF(A248="","",IF(COUNTIF($A$5:$A$1204,A248)&gt;1,"重复",""))</x:f>
      </x:c>
      <x:c r="U248" s="64" t="str">
        <x:f>IF(A248="","",IF(T248="重复","检查重复",IF(OR(R248="有证据",R248="有记录",R248="持续跟踪"),"可追踪","检查")))</x:f>
      </x:c>
    </x:row>
    <x:row r="249">
      <x:c r="A249" s="62"/>
      <x:c r="B249" s="62"/>
      <x:c r="C249" s="62"/>
      <x:c r="D249" s="66"/>
      <x:c r="E249" s="68"/>
      <x:c r="F249" s="62"/>
      <x:c r="G249" s="62"/>
      <x:c r="H249" s="62"/>
      <x:c r="I249" s="62"/>
      <x:c r="J249" s="62"/>
      <x:c r="K249" s="62"/>
      <x:c r="L249" s="62"/>
      <x:c r="M249" s="68"/>
      <x:c r="N249" s="68"/>
      <x:c r="O249" s="68"/>
      <x:c r="P249" s="71" t="str">
        <x:f>IF(A249="","",IF(N249&gt;0,N249,M249))</x:f>
      </x:c>
      <x:c r="Q249" s="72" t="n">
        <x:f>IF(A249="",0,IF(COUNTIF($A$5:A249,A249)=1,1,0))</x:f>
        <x:v>0</x:v>
      </x:c>
      <x:c r="R249" s="64" t="str">
        <x:f>IF(A249="","",IF(F249="C249成功",IF(AND(J249&lt;&gt;"",K249&lt;&gt;"",N249&gt;0),"有证据","缺C249证据"),IF(F249="C249发货确认中",IF(AND(J249&lt;&gt;"",K249&lt;&gt;""),"有证据","缺C249证据"),IF(F249="手动完结",IF(OR(L249&lt;&gt;"",O249&lt;&gt;"",S249&lt;&gt;""),"有记录","缺手工证据"),IF(OR(F249="卖出待补仓",F249="提交结果待确认",F249="异常待处理"),"持续跟踪","检查状态")))))</x:f>
      </x:c>
      <x:c r="T249" s="64" t="str">
        <x:f>IF(A249="","",IF(COUNTIF($A$5:$A$1204,A249)&gt;1,"重复",""))</x:f>
      </x:c>
      <x:c r="U249" s="64" t="str">
        <x:f>IF(A249="","",IF(T249="重复","检查重复",IF(OR(R249="有证据",R249="有记录",R249="持续跟踪"),"可追踪","检查")))</x:f>
      </x:c>
    </x:row>
    <x:row r="250">
      <x:c r="A250" s="62"/>
      <x:c r="B250" s="62"/>
      <x:c r="C250" s="62"/>
      <x:c r="D250" s="66"/>
      <x:c r="E250" s="68"/>
      <x:c r="F250" s="62"/>
      <x:c r="G250" s="62"/>
      <x:c r="H250" s="62"/>
      <x:c r="I250" s="62"/>
      <x:c r="J250" s="62"/>
      <x:c r="K250" s="62"/>
      <x:c r="L250" s="62"/>
      <x:c r="M250" s="68"/>
      <x:c r="N250" s="68"/>
      <x:c r="O250" s="68"/>
      <x:c r="P250" s="71" t="str">
        <x:f>IF(A250="","",IF(N250&gt;0,N250,M250))</x:f>
      </x:c>
      <x:c r="Q250" s="72" t="n">
        <x:f>IF(A250="",0,IF(COUNTIF($A$5:A250,A250)=1,1,0))</x:f>
        <x:v>0</x:v>
      </x:c>
      <x:c r="R250" s="64" t="str">
        <x:f>IF(A250="","",IF(F250="C250成功",IF(AND(J250&lt;&gt;"",K250&lt;&gt;"",N250&gt;0),"有证据","缺C250证据"),IF(F250="C250发货确认中",IF(AND(J250&lt;&gt;"",K250&lt;&gt;""),"有证据","缺C250证据"),IF(F250="手动完结",IF(OR(L250&lt;&gt;"",O250&lt;&gt;"",S250&lt;&gt;""),"有记录","缺手工证据"),IF(OR(F250="卖出待补仓",F250="提交结果待确认",F250="异常待处理"),"持续跟踪","检查状态")))))</x:f>
      </x:c>
      <x:c r="T250" s="64" t="str">
        <x:f>IF(A250="","",IF(COUNTIF($A$5:$A$1204,A250)&gt;1,"重复",""))</x:f>
      </x:c>
      <x:c r="U250" s="64" t="str">
        <x:f>IF(A250="","",IF(T250="重复","检查重复",IF(OR(R250="有证据",R250="有记录",R250="持续跟踪"),"可追踪","检查")))</x:f>
      </x:c>
    </x:row>
    <x:row r="251">
      <x:c r="A251" s="62"/>
      <x:c r="B251" s="62"/>
      <x:c r="C251" s="62"/>
      <x:c r="D251" s="66"/>
      <x:c r="E251" s="68"/>
      <x:c r="F251" s="62"/>
      <x:c r="G251" s="62"/>
      <x:c r="H251" s="62"/>
      <x:c r="I251" s="62"/>
      <x:c r="J251" s="62"/>
      <x:c r="K251" s="62"/>
      <x:c r="L251" s="62"/>
      <x:c r="M251" s="68"/>
      <x:c r="N251" s="68"/>
      <x:c r="O251" s="68"/>
      <x:c r="P251" s="71" t="str">
        <x:f>IF(A251="","",IF(N251&gt;0,N251,M251))</x:f>
      </x:c>
      <x:c r="Q251" s="72" t="n">
        <x:f>IF(A251="",0,IF(COUNTIF($A$5:A251,A251)=1,1,0))</x:f>
        <x:v>0</x:v>
      </x:c>
      <x:c r="R251" s="64" t="str">
        <x:f>IF(A251="","",IF(F251="C251成功",IF(AND(J251&lt;&gt;"",K251&lt;&gt;"",N251&gt;0),"有证据","缺C251证据"),IF(F251="C251发货确认中",IF(AND(J251&lt;&gt;"",K251&lt;&gt;""),"有证据","缺C251证据"),IF(F251="手动完结",IF(OR(L251&lt;&gt;"",O251&lt;&gt;"",S251&lt;&gt;""),"有记录","缺手工证据"),IF(OR(F251="卖出待补仓",F251="提交结果待确认",F251="异常待处理"),"持续跟踪","检查状态")))))</x:f>
      </x:c>
      <x:c r="T251" s="64" t="str">
        <x:f>IF(A251="","",IF(COUNTIF($A$5:$A$1204,A251)&gt;1,"重复",""))</x:f>
      </x:c>
      <x:c r="U251" s="64" t="str">
        <x:f>IF(A251="","",IF(T251="重复","检查重复",IF(OR(R251="有证据",R251="有记录",R251="持续跟踪"),"可追踪","检查")))</x:f>
      </x:c>
    </x:row>
    <x:row r="252">
      <x:c r="A252" s="62"/>
      <x:c r="B252" s="62"/>
      <x:c r="C252" s="62"/>
      <x:c r="D252" s="66"/>
      <x:c r="E252" s="68"/>
      <x:c r="F252" s="62"/>
      <x:c r="G252" s="62"/>
      <x:c r="H252" s="62"/>
      <x:c r="I252" s="62"/>
      <x:c r="J252" s="62"/>
      <x:c r="K252" s="62"/>
      <x:c r="L252" s="62"/>
      <x:c r="M252" s="68"/>
      <x:c r="N252" s="68"/>
      <x:c r="O252" s="68"/>
      <x:c r="P252" s="71" t="str">
        <x:f>IF(A252="","",IF(N252&gt;0,N252,M252))</x:f>
      </x:c>
      <x:c r="Q252" s="72" t="n">
        <x:f>IF(A252="",0,IF(COUNTIF($A$5:A252,A252)=1,1,0))</x:f>
        <x:v>0</x:v>
      </x:c>
      <x:c r="R252" s="64" t="str">
        <x:f>IF(A252="","",IF(F252="C252成功",IF(AND(J252&lt;&gt;"",K252&lt;&gt;"",N252&gt;0),"有证据","缺C252证据"),IF(F252="C252发货确认中",IF(AND(J252&lt;&gt;"",K252&lt;&gt;""),"有证据","缺C252证据"),IF(F252="手动完结",IF(OR(L252&lt;&gt;"",O252&lt;&gt;"",S252&lt;&gt;""),"有记录","缺手工证据"),IF(OR(F252="卖出待补仓",F252="提交结果待确认",F252="异常待处理"),"持续跟踪","检查状态")))))</x:f>
      </x:c>
      <x:c r="T252" s="64" t="str">
        <x:f>IF(A252="","",IF(COUNTIF($A$5:$A$1204,A252)&gt;1,"重复",""))</x:f>
      </x:c>
      <x:c r="U252" s="64" t="str">
        <x:f>IF(A252="","",IF(T252="重复","检查重复",IF(OR(R252="有证据",R252="有记录",R252="持续跟踪"),"可追踪","检查")))</x:f>
      </x:c>
    </x:row>
    <x:row r="253">
      <x:c r="A253" s="62"/>
      <x:c r="B253" s="62"/>
      <x:c r="C253" s="62"/>
      <x:c r="D253" s="66"/>
      <x:c r="E253" s="68"/>
      <x:c r="F253" s="62"/>
      <x:c r="G253" s="62"/>
      <x:c r="H253" s="62"/>
      <x:c r="I253" s="62"/>
      <x:c r="J253" s="62"/>
      <x:c r="K253" s="62"/>
      <x:c r="L253" s="62"/>
      <x:c r="M253" s="68"/>
      <x:c r="N253" s="68"/>
      <x:c r="O253" s="68"/>
      <x:c r="P253" s="71" t="str">
        <x:f>IF(A253="","",IF(N253&gt;0,N253,M253))</x:f>
      </x:c>
      <x:c r="Q253" s="72" t="n">
        <x:f>IF(A253="",0,IF(COUNTIF($A$5:A253,A253)=1,1,0))</x:f>
        <x:v>0</x:v>
      </x:c>
      <x:c r="R253" s="64" t="str">
        <x:f>IF(A253="","",IF(F253="C253成功",IF(AND(J253&lt;&gt;"",K253&lt;&gt;"",N253&gt;0),"有证据","缺C253证据"),IF(F253="C253发货确认中",IF(AND(J253&lt;&gt;"",K253&lt;&gt;""),"有证据","缺C253证据"),IF(F253="手动完结",IF(OR(L253&lt;&gt;"",O253&lt;&gt;"",S253&lt;&gt;""),"有记录","缺手工证据"),IF(OR(F253="卖出待补仓",F253="提交结果待确认",F253="异常待处理"),"持续跟踪","检查状态")))))</x:f>
      </x:c>
      <x:c r="T253" s="64" t="str">
        <x:f>IF(A253="","",IF(COUNTIF($A$5:$A$1204,A253)&gt;1,"重复",""))</x:f>
      </x:c>
      <x:c r="U253" s="64" t="str">
        <x:f>IF(A253="","",IF(T253="重复","检查重复",IF(OR(R253="有证据",R253="有记录",R253="持续跟踪"),"可追踪","检查")))</x:f>
      </x:c>
    </x:row>
    <x:row r="254">
      <x:c r="A254" s="62"/>
      <x:c r="B254" s="62"/>
      <x:c r="C254" s="62"/>
      <x:c r="D254" s="66"/>
      <x:c r="E254" s="68"/>
      <x:c r="F254" s="62"/>
      <x:c r="G254" s="62"/>
      <x:c r="H254" s="62"/>
      <x:c r="I254" s="62"/>
      <x:c r="J254" s="62"/>
      <x:c r="K254" s="62"/>
      <x:c r="L254" s="62"/>
      <x:c r="M254" s="68"/>
      <x:c r="N254" s="68"/>
      <x:c r="O254" s="68"/>
      <x:c r="P254" s="71" t="str">
        <x:f>IF(A254="","",IF(N254&gt;0,N254,M254))</x:f>
      </x:c>
      <x:c r="Q254" s="72" t="n">
        <x:f>IF(A254="",0,IF(COUNTIF($A$5:A254,A254)=1,1,0))</x:f>
        <x:v>0</x:v>
      </x:c>
      <x:c r="R254" s="64" t="str">
        <x:f>IF(A254="","",IF(F254="C254成功",IF(AND(J254&lt;&gt;"",K254&lt;&gt;"",N254&gt;0),"有证据","缺C254证据"),IF(F254="C254发货确认中",IF(AND(J254&lt;&gt;"",K254&lt;&gt;""),"有证据","缺C254证据"),IF(F254="手动完结",IF(OR(L254&lt;&gt;"",O254&lt;&gt;"",S254&lt;&gt;""),"有记录","缺手工证据"),IF(OR(F254="卖出待补仓",F254="提交结果待确认",F254="异常待处理"),"持续跟踪","检查状态")))))</x:f>
      </x:c>
      <x:c r="T254" s="64" t="str">
        <x:f>IF(A254="","",IF(COUNTIF($A$5:$A$1204,A254)&gt;1,"重复",""))</x:f>
      </x:c>
      <x:c r="U254" s="64" t="str">
        <x:f>IF(A254="","",IF(T254="重复","检查重复",IF(OR(R254="有证据",R254="有记录",R254="持续跟踪"),"可追踪","检查")))</x:f>
      </x:c>
    </x:row>
    <x:row r="255">
      <x:c r="A255" s="62"/>
      <x:c r="B255" s="62"/>
      <x:c r="C255" s="62"/>
      <x:c r="D255" s="66"/>
      <x:c r="E255" s="68"/>
      <x:c r="F255" s="62"/>
      <x:c r="G255" s="62"/>
      <x:c r="H255" s="62"/>
      <x:c r="I255" s="62"/>
      <x:c r="J255" s="62"/>
      <x:c r="K255" s="62"/>
      <x:c r="L255" s="62"/>
      <x:c r="M255" s="68"/>
      <x:c r="N255" s="68"/>
      <x:c r="O255" s="68"/>
      <x:c r="P255" s="71" t="str">
        <x:f>IF(A255="","",IF(N255&gt;0,N255,M255))</x:f>
      </x:c>
      <x:c r="Q255" s="72" t="n">
        <x:f>IF(A255="",0,IF(COUNTIF($A$5:A255,A255)=1,1,0))</x:f>
        <x:v>0</x:v>
      </x:c>
      <x:c r="R255" s="64" t="str">
        <x:f>IF(A255="","",IF(F255="C255成功",IF(AND(J255&lt;&gt;"",K255&lt;&gt;"",N255&gt;0),"有证据","缺C255证据"),IF(F255="C255发货确认中",IF(AND(J255&lt;&gt;"",K255&lt;&gt;""),"有证据","缺C255证据"),IF(F255="手动完结",IF(OR(L255&lt;&gt;"",O255&lt;&gt;"",S255&lt;&gt;""),"有记录","缺手工证据"),IF(OR(F255="卖出待补仓",F255="提交结果待确认",F255="异常待处理"),"持续跟踪","检查状态")))))</x:f>
      </x:c>
      <x:c r="T255" s="64" t="str">
        <x:f>IF(A255="","",IF(COUNTIF($A$5:$A$1204,A255)&gt;1,"重复",""))</x:f>
      </x:c>
      <x:c r="U255" s="64" t="str">
        <x:f>IF(A255="","",IF(T255="重复","检查重复",IF(OR(R255="有证据",R255="有记录",R255="持续跟踪"),"可追踪","检查")))</x:f>
      </x:c>
    </x:row>
    <x:row r="256">
      <x:c r="A256" s="62"/>
      <x:c r="B256" s="62"/>
      <x:c r="C256" s="62"/>
      <x:c r="D256" s="66"/>
      <x:c r="E256" s="68"/>
      <x:c r="F256" s="62"/>
      <x:c r="G256" s="62"/>
      <x:c r="H256" s="62"/>
      <x:c r="I256" s="62"/>
      <x:c r="J256" s="62"/>
      <x:c r="K256" s="62"/>
      <x:c r="L256" s="62"/>
      <x:c r="M256" s="68"/>
      <x:c r="N256" s="68"/>
      <x:c r="O256" s="68"/>
      <x:c r="P256" s="71" t="str">
        <x:f>IF(A256="","",IF(N256&gt;0,N256,M256))</x:f>
      </x:c>
      <x:c r="Q256" s="72" t="n">
        <x:f>IF(A256="",0,IF(COUNTIF($A$5:A256,A256)=1,1,0))</x:f>
        <x:v>0</x:v>
      </x:c>
      <x:c r="R256" s="64" t="str">
        <x:f>IF(A256="","",IF(F256="C256成功",IF(AND(J256&lt;&gt;"",K256&lt;&gt;"",N256&gt;0),"有证据","缺C256证据"),IF(F256="C256发货确认中",IF(AND(J256&lt;&gt;"",K256&lt;&gt;""),"有证据","缺C256证据"),IF(F256="手动完结",IF(OR(L256&lt;&gt;"",O256&lt;&gt;"",S256&lt;&gt;""),"有记录","缺手工证据"),IF(OR(F256="卖出待补仓",F256="提交结果待确认",F256="异常待处理"),"持续跟踪","检查状态")))))</x:f>
      </x:c>
      <x:c r="T256" s="64" t="str">
        <x:f>IF(A256="","",IF(COUNTIF($A$5:$A$1204,A256)&gt;1,"重复",""))</x:f>
      </x:c>
      <x:c r="U256" s="64" t="str">
        <x:f>IF(A256="","",IF(T256="重复","检查重复",IF(OR(R256="有证据",R256="有记录",R256="持续跟踪"),"可追踪","检查")))</x:f>
      </x:c>
    </x:row>
    <x:row r="257">
      <x:c r="A257" s="62"/>
      <x:c r="B257" s="62"/>
      <x:c r="C257" s="62"/>
      <x:c r="D257" s="66"/>
      <x:c r="E257" s="68"/>
      <x:c r="F257" s="62"/>
      <x:c r="G257" s="62"/>
      <x:c r="H257" s="62"/>
      <x:c r="I257" s="62"/>
      <x:c r="J257" s="62"/>
      <x:c r="K257" s="62"/>
      <x:c r="L257" s="62"/>
      <x:c r="M257" s="68"/>
      <x:c r="N257" s="68"/>
      <x:c r="O257" s="68"/>
      <x:c r="P257" s="71" t="str">
        <x:f>IF(A257="","",IF(N257&gt;0,N257,M257))</x:f>
      </x:c>
      <x:c r="Q257" s="72" t="n">
        <x:f>IF(A257="",0,IF(COUNTIF($A$5:A257,A257)=1,1,0))</x:f>
        <x:v>0</x:v>
      </x:c>
      <x:c r="R257" s="64" t="str">
        <x:f>IF(A257="","",IF(F257="C257成功",IF(AND(J257&lt;&gt;"",K257&lt;&gt;"",N257&gt;0),"有证据","缺C257证据"),IF(F257="C257发货确认中",IF(AND(J257&lt;&gt;"",K257&lt;&gt;""),"有证据","缺C257证据"),IF(F257="手动完结",IF(OR(L257&lt;&gt;"",O257&lt;&gt;"",S257&lt;&gt;""),"有记录","缺手工证据"),IF(OR(F257="卖出待补仓",F257="提交结果待确认",F257="异常待处理"),"持续跟踪","检查状态")))))</x:f>
      </x:c>
      <x:c r="T257" s="64" t="str">
        <x:f>IF(A257="","",IF(COUNTIF($A$5:$A$1204,A257)&gt;1,"重复",""))</x:f>
      </x:c>
      <x:c r="U257" s="64" t="str">
        <x:f>IF(A257="","",IF(T257="重复","检查重复",IF(OR(R257="有证据",R257="有记录",R257="持续跟踪"),"可追踪","检查")))</x:f>
      </x:c>
    </x:row>
    <x:row r="258">
      <x:c r="A258" s="62"/>
      <x:c r="B258" s="62"/>
      <x:c r="C258" s="62"/>
      <x:c r="D258" s="66"/>
      <x:c r="E258" s="68"/>
      <x:c r="F258" s="62"/>
      <x:c r="G258" s="62"/>
      <x:c r="H258" s="62"/>
      <x:c r="I258" s="62"/>
      <x:c r="J258" s="62"/>
      <x:c r="K258" s="62"/>
      <x:c r="L258" s="62"/>
      <x:c r="M258" s="68"/>
      <x:c r="N258" s="68"/>
      <x:c r="O258" s="68"/>
      <x:c r="P258" s="71" t="str">
        <x:f>IF(A258="","",IF(N258&gt;0,N258,M258))</x:f>
      </x:c>
      <x:c r="Q258" s="72" t="n">
        <x:f>IF(A258="",0,IF(COUNTIF($A$5:A258,A258)=1,1,0))</x:f>
        <x:v>0</x:v>
      </x:c>
      <x:c r="R258" s="64" t="str">
        <x:f>IF(A258="","",IF(F258="C258成功",IF(AND(J258&lt;&gt;"",K258&lt;&gt;"",N258&gt;0),"有证据","缺C258证据"),IF(F258="C258发货确认中",IF(AND(J258&lt;&gt;"",K258&lt;&gt;""),"有证据","缺C258证据"),IF(F258="手动完结",IF(OR(L258&lt;&gt;"",O258&lt;&gt;"",S258&lt;&gt;""),"有记录","缺手工证据"),IF(OR(F258="卖出待补仓",F258="提交结果待确认",F258="异常待处理"),"持续跟踪","检查状态")))))</x:f>
      </x:c>
      <x:c r="T258" s="64" t="str">
        <x:f>IF(A258="","",IF(COUNTIF($A$5:$A$1204,A258)&gt;1,"重复",""))</x:f>
      </x:c>
      <x:c r="U258" s="64" t="str">
        <x:f>IF(A258="","",IF(T258="重复","检查重复",IF(OR(R258="有证据",R258="有记录",R258="持续跟踪"),"可追踪","检查")))</x:f>
      </x:c>
    </x:row>
    <x:row r="259">
      <x:c r="A259" s="62"/>
      <x:c r="B259" s="62"/>
      <x:c r="C259" s="62"/>
      <x:c r="D259" s="66"/>
      <x:c r="E259" s="68"/>
      <x:c r="F259" s="62"/>
      <x:c r="G259" s="62"/>
      <x:c r="H259" s="62"/>
      <x:c r="I259" s="62"/>
      <x:c r="J259" s="62"/>
      <x:c r="K259" s="62"/>
      <x:c r="L259" s="62"/>
      <x:c r="M259" s="68"/>
      <x:c r="N259" s="68"/>
      <x:c r="O259" s="68"/>
      <x:c r="P259" s="71" t="str">
        <x:f>IF(A259="","",IF(N259&gt;0,N259,M259))</x:f>
      </x:c>
      <x:c r="Q259" s="72" t="n">
        <x:f>IF(A259="",0,IF(COUNTIF($A$5:A259,A259)=1,1,0))</x:f>
        <x:v>0</x:v>
      </x:c>
      <x:c r="R259" s="64" t="str">
        <x:f>IF(A259="","",IF(F259="C259成功",IF(AND(J259&lt;&gt;"",K259&lt;&gt;"",N259&gt;0),"有证据","缺C259证据"),IF(F259="C259发货确认中",IF(AND(J259&lt;&gt;"",K259&lt;&gt;""),"有证据","缺C259证据"),IF(F259="手动完结",IF(OR(L259&lt;&gt;"",O259&lt;&gt;"",S259&lt;&gt;""),"有记录","缺手工证据"),IF(OR(F259="卖出待补仓",F259="提交结果待确认",F259="异常待处理"),"持续跟踪","检查状态")))))</x:f>
      </x:c>
      <x:c r="T259" s="64" t="str">
        <x:f>IF(A259="","",IF(COUNTIF($A$5:$A$1204,A259)&gt;1,"重复",""))</x:f>
      </x:c>
      <x:c r="U259" s="64" t="str">
        <x:f>IF(A259="","",IF(T259="重复","检查重复",IF(OR(R259="有证据",R259="有记录",R259="持续跟踪"),"可追踪","检查")))</x:f>
      </x:c>
    </x:row>
    <x:row r="260">
      <x:c r="A260" s="62"/>
      <x:c r="B260" s="62"/>
      <x:c r="C260" s="62"/>
      <x:c r="D260" s="66"/>
      <x:c r="E260" s="68"/>
      <x:c r="F260" s="62"/>
      <x:c r="G260" s="62"/>
      <x:c r="H260" s="62"/>
      <x:c r="I260" s="62"/>
      <x:c r="J260" s="62"/>
      <x:c r="K260" s="62"/>
      <x:c r="L260" s="62"/>
      <x:c r="M260" s="68"/>
      <x:c r="N260" s="68"/>
      <x:c r="O260" s="68"/>
      <x:c r="P260" s="71" t="str">
        <x:f>IF(A260="","",IF(N260&gt;0,N260,M260))</x:f>
      </x:c>
      <x:c r="Q260" s="72" t="n">
        <x:f>IF(A260="",0,IF(COUNTIF($A$5:A260,A260)=1,1,0))</x:f>
        <x:v>0</x:v>
      </x:c>
      <x:c r="R260" s="64" t="str">
        <x:f>IF(A260="","",IF(F260="C260成功",IF(AND(J260&lt;&gt;"",K260&lt;&gt;"",N260&gt;0),"有证据","缺C260证据"),IF(F260="C260发货确认中",IF(AND(J260&lt;&gt;"",K260&lt;&gt;""),"有证据","缺C260证据"),IF(F260="手动完结",IF(OR(L260&lt;&gt;"",O260&lt;&gt;"",S260&lt;&gt;""),"有记录","缺手工证据"),IF(OR(F260="卖出待补仓",F260="提交结果待确认",F260="异常待处理"),"持续跟踪","检查状态")))))</x:f>
      </x:c>
      <x:c r="T260" s="64" t="str">
        <x:f>IF(A260="","",IF(COUNTIF($A$5:$A$1204,A260)&gt;1,"重复",""))</x:f>
      </x:c>
      <x:c r="U260" s="64" t="str">
        <x:f>IF(A260="","",IF(T260="重复","检查重复",IF(OR(R260="有证据",R260="有记录",R260="持续跟踪"),"可追踪","检查")))</x:f>
      </x:c>
    </x:row>
    <x:row r="261">
      <x:c r="A261" s="62"/>
      <x:c r="B261" s="62"/>
      <x:c r="C261" s="62"/>
      <x:c r="D261" s="66"/>
      <x:c r="E261" s="68"/>
      <x:c r="F261" s="62"/>
      <x:c r="G261" s="62"/>
      <x:c r="H261" s="62"/>
      <x:c r="I261" s="62"/>
      <x:c r="J261" s="62"/>
      <x:c r="K261" s="62"/>
      <x:c r="L261" s="62"/>
      <x:c r="M261" s="68"/>
      <x:c r="N261" s="68"/>
      <x:c r="O261" s="68"/>
      <x:c r="P261" s="71" t="str">
        <x:f>IF(A261="","",IF(N261&gt;0,N261,M261))</x:f>
      </x:c>
      <x:c r="Q261" s="72" t="n">
        <x:f>IF(A261="",0,IF(COUNTIF($A$5:A261,A261)=1,1,0))</x:f>
        <x:v>0</x:v>
      </x:c>
      <x:c r="R261" s="64" t="str">
        <x:f>IF(A261="","",IF(F261="C261成功",IF(AND(J261&lt;&gt;"",K261&lt;&gt;"",N261&gt;0),"有证据","缺C261证据"),IF(F261="C261发货确认中",IF(AND(J261&lt;&gt;"",K261&lt;&gt;""),"有证据","缺C261证据"),IF(F261="手动完结",IF(OR(L261&lt;&gt;"",O261&lt;&gt;"",S261&lt;&gt;""),"有记录","缺手工证据"),IF(OR(F261="卖出待补仓",F261="提交结果待确认",F261="异常待处理"),"持续跟踪","检查状态")))))</x:f>
      </x:c>
      <x:c r="T261" s="64" t="str">
        <x:f>IF(A261="","",IF(COUNTIF($A$5:$A$1204,A261)&gt;1,"重复",""))</x:f>
      </x:c>
      <x:c r="U261" s="64" t="str">
        <x:f>IF(A261="","",IF(T261="重复","检查重复",IF(OR(R261="有证据",R261="有记录",R261="持续跟踪"),"可追踪","检查")))</x:f>
      </x:c>
    </x:row>
    <x:row r="262">
      <x:c r="A262" s="62"/>
      <x:c r="B262" s="62"/>
      <x:c r="C262" s="62"/>
      <x:c r="D262" s="66"/>
      <x:c r="E262" s="68"/>
      <x:c r="F262" s="62"/>
      <x:c r="G262" s="62"/>
      <x:c r="H262" s="62"/>
      <x:c r="I262" s="62"/>
      <x:c r="J262" s="62"/>
      <x:c r="K262" s="62"/>
      <x:c r="L262" s="62"/>
      <x:c r="M262" s="68"/>
      <x:c r="N262" s="68"/>
      <x:c r="O262" s="68"/>
      <x:c r="P262" s="71" t="str">
        <x:f>IF(A262="","",IF(N262&gt;0,N262,M262))</x:f>
      </x:c>
      <x:c r="Q262" s="72" t="n">
        <x:f>IF(A262="",0,IF(COUNTIF($A$5:A262,A262)=1,1,0))</x:f>
        <x:v>0</x:v>
      </x:c>
      <x:c r="R262" s="64" t="str">
        <x:f>IF(A262="","",IF(F262="C262成功",IF(AND(J262&lt;&gt;"",K262&lt;&gt;"",N262&gt;0),"有证据","缺C262证据"),IF(F262="C262发货确认中",IF(AND(J262&lt;&gt;"",K262&lt;&gt;""),"有证据","缺C262证据"),IF(F262="手动完结",IF(OR(L262&lt;&gt;"",O262&lt;&gt;"",S262&lt;&gt;""),"有记录","缺手工证据"),IF(OR(F262="卖出待补仓",F262="提交结果待确认",F262="异常待处理"),"持续跟踪","检查状态")))))</x:f>
      </x:c>
      <x:c r="T262" s="64" t="str">
        <x:f>IF(A262="","",IF(COUNTIF($A$5:$A$1204,A262)&gt;1,"重复",""))</x:f>
      </x:c>
      <x:c r="U262" s="64" t="str">
        <x:f>IF(A262="","",IF(T262="重复","检查重复",IF(OR(R262="有证据",R262="有记录",R262="持续跟踪"),"可追踪","检查")))</x:f>
      </x:c>
    </x:row>
    <x:row r="263">
      <x:c r="A263" s="62"/>
      <x:c r="B263" s="62"/>
      <x:c r="C263" s="62"/>
      <x:c r="D263" s="66"/>
      <x:c r="E263" s="68"/>
      <x:c r="F263" s="62"/>
      <x:c r="G263" s="62"/>
      <x:c r="H263" s="62"/>
      <x:c r="I263" s="62"/>
      <x:c r="J263" s="62"/>
      <x:c r="K263" s="62"/>
      <x:c r="L263" s="62"/>
      <x:c r="M263" s="68"/>
      <x:c r="N263" s="68"/>
      <x:c r="O263" s="68"/>
      <x:c r="P263" s="71" t="str">
        <x:f>IF(A263="","",IF(N263&gt;0,N263,M263))</x:f>
      </x:c>
      <x:c r="Q263" s="72" t="n">
        <x:f>IF(A263="",0,IF(COUNTIF($A$5:A263,A263)=1,1,0))</x:f>
        <x:v>0</x:v>
      </x:c>
      <x:c r="R263" s="64" t="str">
        <x:f>IF(A263="","",IF(F263="C263成功",IF(AND(J263&lt;&gt;"",K263&lt;&gt;"",N263&gt;0),"有证据","缺C263证据"),IF(F263="C263发货确认中",IF(AND(J263&lt;&gt;"",K263&lt;&gt;""),"有证据","缺C263证据"),IF(F263="手动完结",IF(OR(L263&lt;&gt;"",O263&lt;&gt;"",S263&lt;&gt;""),"有记录","缺手工证据"),IF(OR(F263="卖出待补仓",F263="提交结果待确认",F263="异常待处理"),"持续跟踪","检查状态")))))</x:f>
      </x:c>
      <x:c r="T263" s="64" t="str">
        <x:f>IF(A263="","",IF(COUNTIF($A$5:$A$1204,A263)&gt;1,"重复",""))</x:f>
      </x:c>
      <x:c r="U263" s="64" t="str">
        <x:f>IF(A263="","",IF(T263="重复","检查重复",IF(OR(R263="有证据",R263="有记录",R263="持续跟踪"),"可追踪","检查")))</x:f>
      </x:c>
    </x:row>
    <x:row r="264">
      <x:c r="A264" s="62"/>
      <x:c r="B264" s="62"/>
      <x:c r="C264" s="62"/>
      <x:c r="D264" s="66"/>
      <x:c r="E264" s="68"/>
      <x:c r="F264" s="62"/>
      <x:c r="G264" s="62"/>
      <x:c r="H264" s="62"/>
      <x:c r="I264" s="62"/>
      <x:c r="J264" s="62"/>
      <x:c r="K264" s="62"/>
      <x:c r="L264" s="62"/>
      <x:c r="M264" s="68"/>
      <x:c r="N264" s="68"/>
      <x:c r="O264" s="68"/>
      <x:c r="P264" s="71" t="str">
        <x:f>IF(A264="","",IF(N264&gt;0,N264,M264))</x:f>
      </x:c>
      <x:c r="Q264" s="72" t="n">
        <x:f>IF(A264="",0,IF(COUNTIF($A$5:A264,A264)=1,1,0))</x:f>
        <x:v>0</x:v>
      </x:c>
      <x:c r="R264" s="64" t="str">
        <x:f>IF(A264="","",IF(F264="C264成功",IF(AND(J264&lt;&gt;"",K264&lt;&gt;"",N264&gt;0),"有证据","缺C264证据"),IF(F264="C264发货确认中",IF(AND(J264&lt;&gt;"",K264&lt;&gt;""),"有证据","缺C264证据"),IF(F264="手动完结",IF(OR(L264&lt;&gt;"",O264&lt;&gt;"",S264&lt;&gt;""),"有记录","缺手工证据"),IF(OR(F264="卖出待补仓",F264="提交结果待确认",F264="异常待处理"),"持续跟踪","检查状态")))))</x:f>
      </x:c>
      <x:c r="T264" s="64" t="str">
        <x:f>IF(A264="","",IF(COUNTIF($A$5:$A$1204,A264)&gt;1,"重复",""))</x:f>
      </x:c>
      <x:c r="U264" s="64" t="str">
        <x:f>IF(A264="","",IF(T264="重复","检查重复",IF(OR(R264="有证据",R264="有记录",R264="持续跟踪"),"可追踪","检查")))</x:f>
      </x:c>
    </x:row>
    <x:row r="265">
      <x:c r="A265" s="62"/>
      <x:c r="B265" s="62"/>
      <x:c r="C265" s="62"/>
      <x:c r="D265" s="66"/>
      <x:c r="E265" s="68"/>
      <x:c r="F265" s="62"/>
      <x:c r="G265" s="62"/>
      <x:c r="H265" s="62"/>
      <x:c r="I265" s="62"/>
      <x:c r="J265" s="62"/>
      <x:c r="K265" s="62"/>
      <x:c r="L265" s="62"/>
      <x:c r="M265" s="68"/>
      <x:c r="N265" s="68"/>
      <x:c r="O265" s="68"/>
      <x:c r="P265" s="71" t="str">
        <x:f>IF(A265="","",IF(N265&gt;0,N265,M265))</x:f>
      </x:c>
      <x:c r="Q265" s="72" t="n">
        <x:f>IF(A265="",0,IF(COUNTIF($A$5:A265,A265)=1,1,0))</x:f>
        <x:v>0</x:v>
      </x:c>
      <x:c r="R265" s="64" t="str">
        <x:f>IF(A265="","",IF(F265="C265成功",IF(AND(J265&lt;&gt;"",K265&lt;&gt;"",N265&gt;0),"有证据","缺C265证据"),IF(F265="C265发货确认中",IF(AND(J265&lt;&gt;"",K265&lt;&gt;""),"有证据","缺C265证据"),IF(F265="手动完结",IF(OR(L265&lt;&gt;"",O265&lt;&gt;"",S265&lt;&gt;""),"有记录","缺手工证据"),IF(OR(F265="卖出待补仓",F265="提交结果待确认",F265="异常待处理"),"持续跟踪","检查状态")))))</x:f>
      </x:c>
      <x:c r="T265" s="64" t="str">
        <x:f>IF(A265="","",IF(COUNTIF($A$5:$A$1204,A265)&gt;1,"重复",""))</x:f>
      </x:c>
      <x:c r="U265" s="64" t="str">
        <x:f>IF(A265="","",IF(T265="重复","检查重复",IF(OR(R265="有证据",R265="有记录",R265="持续跟踪"),"可追踪","检查")))</x:f>
      </x:c>
    </x:row>
    <x:row r="266">
      <x:c r="A266" s="62"/>
      <x:c r="B266" s="62"/>
      <x:c r="C266" s="62"/>
      <x:c r="D266" s="66"/>
      <x:c r="E266" s="68"/>
      <x:c r="F266" s="62"/>
      <x:c r="G266" s="62"/>
      <x:c r="H266" s="62"/>
      <x:c r="I266" s="62"/>
      <x:c r="J266" s="62"/>
      <x:c r="K266" s="62"/>
      <x:c r="L266" s="62"/>
      <x:c r="M266" s="68"/>
      <x:c r="N266" s="68"/>
      <x:c r="O266" s="68"/>
      <x:c r="P266" s="71" t="str">
        <x:f>IF(A266="","",IF(N266&gt;0,N266,M266))</x:f>
      </x:c>
      <x:c r="Q266" s="72" t="n">
        <x:f>IF(A266="",0,IF(COUNTIF($A$5:A266,A266)=1,1,0))</x:f>
        <x:v>0</x:v>
      </x:c>
      <x:c r="R266" s="64" t="str">
        <x:f>IF(A266="","",IF(F266="C266成功",IF(AND(J266&lt;&gt;"",K266&lt;&gt;"",N266&gt;0),"有证据","缺C266证据"),IF(F266="C266发货确认中",IF(AND(J266&lt;&gt;"",K266&lt;&gt;""),"有证据","缺C266证据"),IF(F266="手动完结",IF(OR(L266&lt;&gt;"",O266&lt;&gt;"",S266&lt;&gt;""),"有记录","缺手工证据"),IF(OR(F266="卖出待补仓",F266="提交结果待确认",F266="异常待处理"),"持续跟踪","检查状态")))))</x:f>
      </x:c>
      <x:c r="T266" s="64" t="str">
        <x:f>IF(A266="","",IF(COUNTIF($A$5:$A$1204,A266)&gt;1,"重复",""))</x:f>
      </x:c>
      <x:c r="U266" s="64" t="str">
        <x:f>IF(A266="","",IF(T266="重复","检查重复",IF(OR(R266="有证据",R266="有记录",R266="持续跟踪"),"可追踪","检查")))</x:f>
      </x:c>
    </x:row>
    <x:row r="267">
      <x:c r="A267" s="62"/>
      <x:c r="B267" s="62"/>
      <x:c r="C267" s="62"/>
      <x:c r="D267" s="66"/>
      <x:c r="E267" s="68"/>
      <x:c r="F267" s="62"/>
      <x:c r="G267" s="62"/>
      <x:c r="H267" s="62"/>
      <x:c r="I267" s="62"/>
      <x:c r="J267" s="62"/>
      <x:c r="K267" s="62"/>
      <x:c r="L267" s="62"/>
      <x:c r="M267" s="68"/>
      <x:c r="N267" s="68"/>
      <x:c r="O267" s="68"/>
      <x:c r="P267" s="71" t="str">
        <x:f>IF(A267="","",IF(N267&gt;0,N267,M267))</x:f>
      </x:c>
      <x:c r="Q267" s="72" t="n">
        <x:f>IF(A267="",0,IF(COUNTIF($A$5:A267,A267)=1,1,0))</x:f>
        <x:v>0</x:v>
      </x:c>
      <x:c r="R267" s="64" t="str">
        <x:f>IF(A267="","",IF(F267="C267成功",IF(AND(J267&lt;&gt;"",K267&lt;&gt;"",N267&gt;0),"有证据","缺C267证据"),IF(F267="C267发货确认中",IF(AND(J267&lt;&gt;"",K267&lt;&gt;""),"有证据","缺C267证据"),IF(F267="手动完结",IF(OR(L267&lt;&gt;"",O267&lt;&gt;"",S267&lt;&gt;""),"有记录","缺手工证据"),IF(OR(F267="卖出待补仓",F267="提交结果待确认",F267="异常待处理"),"持续跟踪","检查状态")))))</x:f>
      </x:c>
      <x:c r="T267" s="64" t="str">
        <x:f>IF(A267="","",IF(COUNTIF($A$5:$A$1204,A267)&gt;1,"重复",""))</x:f>
      </x:c>
      <x:c r="U267" s="64" t="str">
        <x:f>IF(A267="","",IF(T267="重复","检查重复",IF(OR(R267="有证据",R267="有记录",R267="持续跟踪"),"可追踪","检查")))</x:f>
      </x:c>
    </x:row>
    <x:row r="268">
      <x:c r="A268" s="62"/>
      <x:c r="B268" s="62"/>
      <x:c r="C268" s="62"/>
      <x:c r="D268" s="66"/>
      <x:c r="E268" s="68"/>
      <x:c r="F268" s="62"/>
      <x:c r="G268" s="62"/>
      <x:c r="H268" s="62"/>
      <x:c r="I268" s="62"/>
      <x:c r="J268" s="62"/>
      <x:c r="K268" s="62"/>
      <x:c r="L268" s="62"/>
      <x:c r="M268" s="68"/>
      <x:c r="N268" s="68"/>
      <x:c r="O268" s="68"/>
      <x:c r="P268" s="71" t="str">
        <x:f>IF(A268="","",IF(N268&gt;0,N268,M268))</x:f>
      </x:c>
      <x:c r="Q268" s="72" t="n">
        <x:f>IF(A268="",0,IF(COUNTIF($A$5:A268,A268)=1,1,0))</x:f>
        <x:v>0</x:v>
      </x:c>
      <x:c r="R268" s="64" t="str">
        <x:f>IF(A268="","",IF(F268="C268成功",IF(AND(J268&lt;&gt;"",K268&lt;&gt;"",N268&gt;0),"有证据","缺C268证据"),IF(F268="C268发货确认中",IF(AND(J268&lt;&gt;"",K268&lt;&gt;""),"有证据","缺C268证据"),IF(F268="手动完结",IF(OR(L268&lt;&gt;"",O268&lt;&gt;"",S268&lt;&gt;""),"有记录","缺手工证据"),IF(OR(F268="卖出待补仓",F268="提交结果待确认",F268="异常待处理"),"持续跟踪","检查状态")))))</x:f>
      </x:c>
      <x:c r="T268" s="64" t="str">
        <x:f>IF(A268="","",IF(COUNTIF($A$5:$A$1204,A268)&gt;1,"重复",""))</x:f>
      </x:c>
      <x:c r="U268" s="64" t="str">
        <x:f>IF(A268="","",IF(T268="重复","检查重复",IF(OR(R268="有证据",R268="有记录",R268="持续跟踪"),"可追踪","检查")))</x:f>
      </x:c>
    </x:row>
    <x:row r="269">
      <x:c r="A269" s="62"/>
      <x:c r="B269" s="62"/>
      <x:c r="C269" s="62"/>
      <x:c r="D269" s="66"/>
      <x:c r="E269" s="68"/>
      <x:c r="F269" s="62"/>
      <x:c r="G269" s="62"/>
      <x:c r="H269" s="62"/>
      <x:c r="I269" s="62"/>
      <x:c r="J269" s="62"/>
      <x:c r="K269" s="62"/>
      <x:c r="L269" s="62"/>
      <x:c r="M269" s="68"/>
      <x:c r="N269" s="68"/>
      <x:c r="O269" s="68"/>
      <x:c r="P269" s="71" t="str">
        <x:f>IF(A269="","",IF(N269&gt;0,N269,M269))</x:f>
      </x:c>
      <x:c r="Q269" s="72" t="n">
        <x:f>IF(A269="",0,IF(COUNTIF($A$5:A269,A269)=1,1,0))</x:f>
        <x:v>0</x:v>
      </x:c>
      <x:c r="R269" s="64" t="str">
        <x:f>IF(A269="","",IF(F269="C269成功",IF(AND(J269&lt;&gt;"",K269&lt;&gt;"",N269&gt;0),"有证据","缺C269证据"),IF(F269="C269发货确认中",IF(AND(J269&lt;&gt;"",K269&lt;&gt;""),"有证据","缺C269证据"),IF(F269="手动完结",IF(OR(L269&lt;&gt;"",O269&lt;&gt;"",S269&lt;&gt;""),"有记录","缺手工证据"),IF(OR(F269="卖出待补仓",F269="提交结果待确认",F269="异常待处理"),"持续跟踪","检查状态")))))</x:f>
      </x:c>
      <x:c r="T269" s="64" t="str">
        <x:f>IF(A269="","",IF(COUNTIF($A$5:$A$1204,A269)&gt;1,"重复",""))</x:f>
      </x:c>
      <x:c r="U269" s="64" t="str">
        <x:f>IF(A269="","",IF(T269="重复","检查重复",IF(OR(R269="有证据",R269="有记录",R269="持续跟踪"),"可追踪","检查")))</x:f>
      </x:c>
    </x:row>
    <x:row r="270">
      <x:c r="A270" s="62"/>
      <x:c r="B270" s="62"/>
      <x:c r="C270" s="62"/>
      <x:c r="D270" s="66"/>
      <x:c r="E270" s="68"/>
      <x:c r="F270" s="62"/>
      <x:c r="G270" s="62"/>
      <x:c r="H270" s="62"/>
      <x:c r="I270" s="62"/>
      <x:c r="J270" s="62"/>
      <x:c r="K270" s="62"/>
      <x:c r="L270" s="62"/>
      <x:c r="M270" s="68"/>
      <x:c r="N270" s="68"/>
      <x:c r="O270" s="68"/>
      <x:c r="P270" s="71" t="str">
        <x:f>IF(A270="","",IF(N270&gt;0,N270,M270))</x:f>
      </x:c>
      <x:c r="Q270" s="72" t="n">
        <x:f>IF(A270="",0,IF(COUNTIF($A$5:A270,A270)=1,1,0))</x:f>
        <x:v>0</x:v>
      </x:c>
      <x:c r="R270" s="64" t="str">
        <x:f>IF(A270="","",IF(F270="C270成功",IF(AND(J270&lt;&gt;"",K270&lt;&gt;"",N270&gt;0),"有证据","缺C270证据"),IF(F270="C270发货确认中",IF(AND(J270&lt;&gt;"",K270&lt;&gt;""),"有证据","缺C270证据"),IF(F270="手动完结",IF(OR(L270&lt;&gt;"",O270&lt;&gt;"",S270&lt;&gt;""),"有记录","缺手工证据"),IF(OR(F270="卖出待补仓",F270="提交结果待确认",F270="异常待处理"),"持续跟踪","检查状态")))))</x:f>
      </x:c>
      <x:c r="T270" s="64" t="str">
        <x:f>IF(A270="","",IF(COUNTIF($A$5:$A$1204,A270)&gt;1,"重复",""))</x:f>
      </x:c>
      <x:c r="U270" s="64" t="str">
        <x:f>IF(A270="","",IF(T270="重复","检查重复",IF(OR(R270="有证据",R270="有记录",R270="持续跟踪"),"可追踪","检查")))</x:f>
      </x:c>
    </x:row>
    <x:row r="271">
      <x:c r="A271" s="62"/>
      <x:c r="B271" s="62"/>
      <x:c r="C271" s="62"/>
      <x:c r="D271" s="66"/>
      <x:c r="E271" s="68"/>
      <x:c r="F271" s="62"/>
      <x:c r="G271" s="62"/>
      <x:c r="H271" s="62"/>
      <x:c r="I271" s="62"/>
      <x:c r="J271" s="62"/>
      <x:c r="K271" s="62"/>
      <x:c r="L271" s="62"/>
      <x:c r="M271" s="68"/>
      <x:c r="N271" s="68"/>
      <x:c r="O271" s="68"/>
      <x:c r="P271" s="71" t="str">
        <x:f>IF(A271="","",IF(N271&gt;0,N271,M271))</x:f>
      </x:c>
      <x:c r="Q271" s="72" t="n">
        <x:f>IF(A271="",0,IF(COUNTIF($A$5:A271,A271)=1,1,0))</x:f>
        <x:v>0</x:v>
      </x:c>
      <x:c r="R271" s="64" t="str">
        <x:f>IF(A271="","",IF(F271="C271成功",IF(AND(J271&lt;&gt;"",K271&lt;&gt;"",N271&gt;0),"有证据","缺C271证据"),IF(F271="C271发货确认中",IF(AND(J271&lt;&gt;"",K271&lt;&gt;""),"有证据","缺C271证据"),IF(F271="手动完结",IF(OR(L271&lt;&gt;"",O271&lt;&gt;"",S271&lt;&gt;""),"有记录","缺手工证据"),IF(OR(F271="卖出待补仓",F271="提交结果待确认",F271="异常待处理"),"持续跟踪","检查状态")))))</x:f>
      </x:c>
      <x:c r="T271" s="64" t="str">
        <x:f>IF(A271="","",IF(COUNTIF($A$5:$A$1204,A271)&gt;1,"重复",""))</x:f>
      </x:c>
      <x:c r="U271" s="64" t="str">
        <x:f>IF(A271="","",IF(T271="重复","检查重复",IF(OR(R271="有证据",R271="有记录",R271="持续跟踪"),"可追踪","检查")))</x:f>
      </x:c>
    </x:row>
    <x:row r="272">
      <x:c r="A272" s="62"/>
      <x:c r="B272" s="62"/>
      <x:c r="C272" s="62"/>
      <x:c r="D272" s="66"/>
      <x:c r="E272" s="68"/>
      <x:c r="F272" s="62"/>
      <x:c r="G272" s="62"/>
      <x:c r="H272" s="62"/>
      <x:c r="I272" s="62"/>
      <x:c r="J272" s="62"/>
      <x:c r="K272" s="62"/>
      <x:c r="L272" s="62"/>
      <x:c r="M272" s="68"/>
      <x:c r="N272" s="68"/>
      <x:c r="O272" s="68"/>
      <x:c r="P272" s="71" t="str">
        <x:f>IF(A272="","",IF(N272&gt;0,N272,M272))</x:f>
      </x:c>
      <x:c r="Q272" s="72" t="n">
        <x:f>IF(A272="",0,IF(COUNTIF($A$5:A272,A272)=1,1,0))</x:f>
        <x:v>0</x:v>
      </x:c>
      <x:c r="R272" s="64" t="str">
        <x:f>IF(A272="","",IF(F272="C272成功",IF(AND(J272&lt;&gt;"",K272&lt;&gt;"",N272&gt;0),"有证据","缺C272证据"),IF(F272="C272发货确认中",IF(AND(J272&lt;&gt;"",K272&lt;&gt;""),"有证据","缺C272证据"),IF(F272="手动完结",IF(OR(L272&lt;&gt;"",O272&lt;&gt;"",S272&lt;&gt;""),"有记录","缺手工证据"),IF(OR(F272="卖出待补仓",F272="提交结果待确认",F272="异常待处理"),"持续跟踪","检查状态")))))</x:f>
      </x:c>
      <x:c r="T272" s="64" t="str">
        <x:f>IF(A272="","",IF(COUNTIF($A$5:$A$1204,A272)&gt;1,"重复",""))</x:f>
      </x:c>
      <x:c r="U272" s="64" t="str">
        <x:f>IF(A272="","",IF(T272="重复","检查重复",IF(OR(R272="有证据",R272="有记录",R272="持续跟踪"),"可追踪","检查")))</x:f>
      </x:c>
    </x:row>
    <x:row r="273">
      <x:c r="A273" s="62"/>
      <x:c r="B273" s="62"/>
      <x:c r="C273" s="62"/>
      <x:c r="D273" s="66"/>
      <x:c r="E273" s="68"/>
      <x:c r="F273" s="62"/>
      <x:c r="G273" s="62"/>
      <x:c r="H273" s="62"/>
      <x:c r="I273" s="62"/>
      <x:c r="J273" s="62"/>
      <x:c r="K273" s="62"/>
      <x:c r="L273" s="62"/>
      <x:c r="M273" s="68"/>
      <x:c r="N273" s="68"/>
      <x:c r="O273" s="68"/>
      <x:c r="P273" s="71" t="str">
        <x:f>IF(A273="","",IF(N273&gt;0,N273,M273))</x:f>
      </x:c>
      <x:c r="Q273" s="72" t="n">
        <x:f>IF(A273="",0,IF(COUNTIF($A$5:A273,A273)=1,1,0))</x:f>
        <x:v>0</x:v>
      </x:c>
      <x:c r="R273" s="64" t="str">
        <x:f>IF(A273="","",IF(F273="C273成功",IF(AND(J273&lt;&gt;"",K273&lt;&gt;"",N273&gt;0),"有证据","缺C273证据"),IF(F273="C273发货确认中",IF(AND(J273&lt;&gt;"",K273&lt;&gt;""),"有证据","缺C273证据"),IF(F273="手动完结",IF(OR(L273&lt;&gt;"",O273&lt;&gt;"",S273&lt;&gt;""),"有记录","缺手工证据"),IF(OR(F273="卖出待补仓",F273="提交结果待确认",F273="异常待处理"),"持续跟踪","检查状态")))))</x:f>
      </x:c>
      <x:c r="T273" s="64" t="str">
        <x:f>IF(A273="","",IF(COUNTIF($A$5:$A$1204,A273)&gt;1,"重复",""))</x:f>
      </x:c>
      <x:c r="U273" s="64" t="str">
        <x:f>IF(A273="","",IF(T273="重复","检查重复",IF(OR(R273="有证据",R273="有记录",R273="持续跟踪"),"可追踪","检查")))</x:f>
      </x:c>
    </x:row>
    <x:row r="274">
      <x:c r="A274" s="62"/>
      <x:c r="B274" s="62"/>
      <x:c r="C274" s="62"/>
      <x:c r="D274" s="66"/>
      <x:c r="E274" s="68"/>
      <x:c r="F274" s="62"/>
      <x:c r="G274" s="62"/>
      <x:c r="H274" s="62"/>
      <x:c r="I274" s="62"/>
      <x:c r="J274" s="62"/>
      <x:c r="K274" s="62"/>
      <x:c r="L274" s="62"/>
      <x:c r="M274" s="68"/>
      <x:c r="N274" s="68"/>
      <x:c r="O274" s="68"/>
      <x:c r="P274" s="71" t="str">
        <x:f>IF(A274="","",IF(N274&gt;0,N274,M274))</x:f>
      </x:c>
      <x:c r="Q274" s="72" t="n">
        <x:f>IF(A274="",0,IF(COUNTIF($A$5:A274,A274)=1,1,0))</x:f>
        <x:v>0</x:v>
      </x:c>
      <x:c r="R274" s="64" t="str">
        <x:f>IF(A274="","",IF(F274="C274成功",IF(AND(J274&lt;&gt;"",K274&lt;&gt;"",N274&gt;0),"有证据","缺C274证据"),IF(F274="C274发货确认中",IF(AND(J274&lt;&gt;"",K274&lt;&gt;""),"有证据","缺C274证据"),IF(F274="手动完结",IF(OR(L274&lt;&gt;"",O274&lt;&gt;"",S274&lt;&gt;""),"有记录","缺手工证据"),IF(OR(F274="卖出待补仓",F274="提交结果待确认",F274="异常待处理"),"持续跟踪","检查状态")))))</x:f>
      </x:c>
      <x:c r="T274" s="64" t="str">
        <x:f>IF(A274="","",IF(COUNTIF($A$5:$A$1204,A274)&gt;1,"重复",""))</x:f>
      </x:c>
      <x:c r="U274" s="64" t="str">
        <x:f>IF(A274="","",IF(T274="重复","检查重复",IF(OR(R274="有证据",R274="有记录",R274="持续跟踪"),"可追踪","检查")))</x:f>
      </x:c>
    </x:row>
    <x:row r="275">
      <x:c r="A275" s="62"/>
      <x:c r="B275" s="62"/>
      <x:c r="C275" s="62"/>
      <x:c r="D275" s="66"/>
      <x:c r="E275" s="68"/>
      <x:c r="F275" s="62"/>
      <x:c r="G275" s="62"/>
      <x:c r="H275" s="62"/>
      <x:c r="I275" s="62"/>
      <x:c r="J275" s="62"/>
      <x:c r="K275" s="62"/>
      <x:c r="L275" s="62"/>
      <x:c r="M275" s="68"/>
      <x:c r="N275" s="68"/>
      <x:c r="O275" s="68"/>
      <x:c r="P275" s="71" t="str">
        <x:f>IF(A275="","",IF(N275&gt;0,N275,M275))</x:f>
      </x:c>
      <x:c r="Q275" s="72" t="n">
        <x:f>IF(A275="",0,IF(COUNTIF($A$5:A275,A275)=1,1,0))</x:f>
        <x:v>0</x:v>
      </x:c>
      <x:c r="R275" s="64" t="str">
        <x:f>IF(A275="","",IF(F275="C275成功",IF(AND(J275&lt;&gt;"",K275&lt;&gt;"",N275&gt;0),"有证据","缺C275证据"),IF(F275="C275发货确认中",IF(AND(J275&lt;&gt;"",K275&lt;&gt;""),"有证据","缺C275证据"),IF(F275="手动完结",IF(OR(L275&lt;&gt;"",O275&lt;&gt;"",S275&lt;&gt;""),"有记录","缺手工证据"),IF(OR(F275="卖出待补仓",F275="提交结果待确认",F275="异常待处理"),"持续跟踪","检查状态")))))</x:f>
      </x:c>
      <x:c r="T275" s="64" t="str">
        <x:f>IF(A275="","",IF(COUNTIF($A$5:$A$1204,A275)&gt;1,"重复",""))</x:f>
      </x:c>
      <x:c r="U275" s="64" t="str">
        <x:f>IF(A275="","",IF(T275="重复","检查重复",IF(OR(R275="有证据",R275="有记录",R275="持续跟踪"),"可追踪","检查")))</x:f>
      </x:c>
    </x:row>
    <x:row r="276">
      <x:c r="A276" s="62"/>
      <x:c r="B276" s="62"/>
      <x:c r="C276" s="62"/>
      <x:c r="D276" s="66"/>
      <x:c r="E276" s="68"/>
      <x:c r="F276" s="62"/>
      <x:c r="G276" s="62"/>
      <x:c r="H276" s="62"/>
      <x:c r="I276" s="62"/>
      <x:c r="J276" s="62"/>
      <x:c r="K276" s="62"/>
      <x:c r="L276" s="62"/>
      <x:c r="M276" s="68"/>
      <x:c r="N276" s="68"/>
      <x:c r="O276" s="68"/>
      <x:c r="P276" s="71" t="str">
        <x:f>IF(A276="","",IF(N276&gt;0,N276,M276))</x:f>
      </x:c>
      <x:c r="Q276" s="72" t="n">
        <x:f>IF(A276="",0,IF(COUNTIF($A$5:A276,A276)=1,1,0))</x:f>
        <x:v>0</x:v>
      </x:c>
      <x:c r="R276" s="64" t="str">
        <x:f>IF(A276="","",IF(F276="C276成功",IF(AND(J276&lt;&gt;"",K276&lt;&gt;"",N276&gt;0),"有证据","缺C276证据"),IF(F276="C276发货确认中",IF(AND(J276&lt;&gt;"",K276&lt;&gt;""),"有证据","缺C276证据"),IF(F276="手动完结",IF(OR(L276&lt;&gt;"",O276&lt;&gt;"",S276&lt;&gt;""),"有记录","缺手工证据"),IF(OR(F276="卖出待补仓",F276="提交结果待确认",F276="异常待处理"),"持续跟踪","检查状态")))))</x:f>
      </x:c>
      <x:c r="T276" s="64" t="str">
        <x:f>IF(A276="","",IF(COUNTIF($A$5:$A$1204,A276)&gt;1,"重复",""))</x:f>
      </x:c>
      <x:c r="U276" s="64" t="str">
        <x:f>IF(A276="","",IF(T276="重复","检查重复",IF(OR(R276="有证据",R276="有记录",R276="持续跟踪"),"可追踪","检查")))</x:f>
      </x:c>
    </x:row>
    <x:row r="277">
      <x:c r="A277" s="62"/>
      <x:c r="B277" s="62"/>
      <x:c r="C277" s="62"/>
      <x:c r="D277" s="66"/>
      <x:c r="E277" s="68"/>
      <x:c r="F277" s="62"/>
      <x:c r="G277" s="62"/>
      <x:c r="H277" s="62"/>
      <x:c r="I277" s="62"/>
      <x:c r="J277" s="62"/>
      <x:c r="K277" s="62"/>
      <x:c r="L277" s="62"/>
      <x:c r="M277" s="68"/>
      <x:c r="N277" s="68"/>
      <x:c r="O277" s="68"/>
      <x:c r="P277" s="71" t="str">
        <x:f>IF(A277="","",IF(N277&gt;0,N277,M277))</x:f>
      </x:c>
      <x:c r="Q277" s="72" t="n">
        <x:f>IF(A277="",0,IF(COUNTIF($A$5:A277,A277)=1,1,0))</x:f>
        <x:v>0</x:v>
      </x:c>
      <x:c r="R277" s="64" t="str">
        <x:f>IF(A277="","",IF(F277="C277成功",IF(AND(J277&lt;&gt;"",K277&lt;&gt;"",N277&gt;0),"有证据","缺C277证据"),IF(F277="C277发货确认中",IF(AND(J277&lt;&gt;"",K277&lt;&gt;""),"有证据","缺C277证据"),IF(F277="手动完结",IF(OR(L277&lt;&gt;"",O277&lt;&gt;"",S277&lt;&gt;""),"有记录","缺手工证据"),IF(OR(F277="卖出待补仓",F277="提交结果待确认",F277="异常待处理"),"持续跟踪","检查状态")))))</x:f>
      </x:c>
      <x:c r="T277" s="64" t="str">
        <x:f>IF(A277="","",IF(COUNTIF($A$5:$A$1204,A277)&gt;1,"重复",""))</x:f>
      </x:c>
      <x:c r="U277" s="64" t="str">
        <x:f>IF(A277="","",IF(T277="重复","检查重复",IF(OR(R277="有证据",R277="有记录",R277="持续跟踪"),"可追踪","检查")))</x:f>
      </x:c>
    </x:row>
    <x:row r="278">
      <x:c r="A278" s="62"/>
      <x:c r="B278" s="62"/>
      <x:c r="C278" s="62"/>
      <x:c r="D278" s="66"/>
      <x:c r="E278" s="68"/>
      <x:c r="F278" s="62"/>
      <x:c r="G278" s="62"/>
      <x:c r="H278" s="62"/>
      <x:c r="I278" s="62"/>
      <x:c r="J278" s="62"/>
      <x:c r="K278" s="62"/>
      <x:c r="L278" s="62"/>
      <x:c r="M278" s="68"/>
      <x:c r="N278" s="68"/>
      <x:c r="O278" s="68"/>
      <x:c r="P278" s="71" t="str">
        <x:f>IF(A278="","",IF(N278&gt;0,N278,M278))</x:f>
      </x:c>
      <x:c r="Q278" s="72" t="n">
        <x:f>IF(A278="",0,IF(COUNTIF($A$5:A278,A278)=1,1,0))</x:f>
        <x:v>0</x:v>
      </x:c>
      <x:c r="R278" s="64" t="str">
        <x:f>IF(A278="","",IF(F278="C278成功",IF(AND(J278&lt;&gt;"",K278&lt;&gt;"",N278&gt;0),"有证据","缺C278证据"),IF(F278="C278发货确认中",IF(AND(J278&lt;&gt;"",K278&lt;&gt;""),"有证据","缺C278证据"),IF(F278="手动完结",IF(OR(L278&lt;&gt;"",O278&lt;&gt;"",S278&lt;&gt;""),"有记录","缺手工证据"),IF(OR(F278="卖出待补仓",F278="提交结果待确认",F278="异常待处理"),"持续跟踪","检查状态")))))</x:f>
      </x:c>
      <x:c r="T278" s="64" t="str">
        <x:f>IF(A278="","",IF(COUNTIF($A$5:$A$1204,A278)&gt;1,"重复",""))</x:f>
      </x:c>
      <x:c r="U278" s="64" t="str">
        <x:f>IF(A278="","",IF(T278="重复","检查重复",IF(OR(R278="有证据",R278="有记录",R278="持续跟踪"),"可追踪","检查")))</x:f>
      </x:c>
    </x:row>
    <x:row r="279">
      <x:c r="A279" s="62"/>
      <x:c r="B279" s="62"/>
      <x:c r="C279" s="62"/>
      <x:c r="D279" s="66"/>
      <x:c r="E279" s="68"/>
      <x:c r="F279" s="62"/>
      <x:c r="G279" s="62"/>
      <x:c r="H279" s="62"/>
      <x:c r="I279" s="62"/>
      <x:c r="J279" s="62"/>
      <x:c r="K279" s="62"/>
      <x:c r="L279" s="62"/>
      <x:c r="M279" s="68"/>
      <x:c r="N279" s="68"/>
      <x:c r="O279" s="68"/>
      <x:c r="P279" s="71" t="str">
        <x:f>IF(A279="","",IF(N279&gt;0,N279,M279))</x:f>
      </x:c>
      <x:c r="Q279" s="72" t="n">
        <x:f>IF(A279="",0,IF(COUNTIF($A$5:A279,A279)=1,1,0))</x:f>
        <x:v>0</x:v>
      </x:c>
      <x:c r="R279" s="64" t="str">
        <x:f>IF(A279="","",IF(F279="C279成功",IF(AND(J279&lt;&gt;"",K279&lt;&gt;"",N279&gt;0),"有证据","缺C279证据"),IF(F279="C279发货确认中",IF(AND(J279&lt;&gt;"",K279&lt;&gt;""),"有证据","缺C279证据"),IF(F279="手动完结",IF(OR(L279&lt;&gt;"",O279&lt;&gt;"",S279&lt;&gt;""),"有记录","缺手工证据"),IF(OR(F279="卖出待补仓",F279="提交结果待确认",F279="异常待处理"),"持续跟踪","检查状态")))))</x:f>
      </x:c>
      <x:c r="T279" s="64" t="str">
        <x:f>IF(A279="","",IF(COUNTIF($A$5:$A$1204,A279)&gt;1,"重复",""))</x:f>
      </x:c>
      <x:c r="U279" s="64" t="str">
        <x:f>IF(A279="","",IF(T279="重复","检查重复",IF(OR(R279="有证据",R279="有记录",R279="持续跟踪"),"可追踪","检查")))</x:f>
      </x:c>
    </x:row>
    <x:row r="280">
      <x:c r="A280" s="62"/>
      <x:c r="B280" s="62"/>
      <x:c r="C280" s="62"/>
      <x:c r="D280" s="66"/>
      <x:c r="E280" s="68"/>
      <x:c r="F280" s="62"/>
      <x:c r="G280" s="62"/>
      <x:c r="H280" s="62"/>
      <x:c r="I280" s="62"/>
      <x:c r="J280" s="62"/>
      <x:c r="K280" s="62"/>
      <x:c r="L280" s="62"/>
      <x:c r="M280" s="68"/>
      <x:c r="N280" s="68"/>
      <x:c r="O280" s="68"/>
      <x:c r="P280" s="71" t="str">
        <x:f>IF(A280="","",IF(N280&gt;0,N280,M280))</x:f>
      </x:c>
      <x:c r="Q280" s="72" t="n">
        <x:f>IF(A280="",0,IF(COUNTIF($A$5:A280,A280)=1,1,0))</x:f>
        <x:v>0</x:v>
      </x:c>
      <x:c r="R280" s="64" t="str">
        <x:f>IF(A280="","",IF(F280="C280成功",IF(AND(J280&lt;&gt;"",K280&lt;&gt;"",N280&gt;0),"有证据","缺C280证据"),IF(F280="C280发货确认中",IF(AND(J280&lt;&gt;"",K280&lt;&gt;""),"有证据","缺C280证据"),IF(F280="手动完结",IF(OR(L280&lt;&gt;"",O280&lt;&gt;"",S280&lt;&gt;""),"有记录","缺手工证据"),IF(OR(F280="卖出待补仓",F280="提交结果待确认",F280="异常待处理"),"持续跟踪","检查状态")))))</x:f>
      </x:c>
      <x:c r="T280" s="64" t="str">
        <x:f>IF(A280="","",IF(COUNTIF($A$5:$A$1204,A280)&gt;1,"重复",""))</x:f>
      </x:c>
      <x:c r="U280" s="64" t="str">
        <x:f>IF(A280="","",IF(T280="重复","检查重复",IF(OR(R280="有证据",R280="有记录",R280="持续跟踪"),"可追踪","检查")))</x:f>
      </x:c>
    </x:row>
    <x:row r="281">
      <x:c r="A281" s="62"/>
      <x:c r="B281" s="62"/>
      <x:c r="C281" s="62"/>
      <x:c r="D281" s="66"/>
      <x:c r="E281" s="68"/>
      <x:c r="F281" s="62"/>
      <x:c r="G281" s="62"/>
      <x:c r="H281" s="62"/>
      <x:c r="I281" s="62"/>
      <x:c r="J281" s="62"/>
      <x:c r="K281" s="62"/>
      <x:c r="L281" s="62"/>
      <x:c r="M281" s="68"/>
      <x:c r="N281" s="68"/>
      <x:c r="O281" s="68"/>
      <x:c r="P281" s="71" t="str">
        <x:f>IF(A281="","",IF(N281&gt;0,N281,M281))</x:f>
      </x:c>
      <x:c r="Q281" s="72" t="n">
        <x:f>IF(A281="",0,IF(COUNTIF($A$5:A281,A281)=1,1,0))</x:f>
        <x:v>0</x:v>
      </x:c>
      <x:c r="R281" s="64" t="str">
        <x:f>IF(A281="","",IF(F281="C281成功",IF(AND(J281&lt;&gt;"",K281&lt;&gt;"",N281&gt;0),"有证据","缺C281证据"),IF(F281="C281发货确认中",IF(AND(J281&lt;&gt;"",K281&lt;&gt;""),"有证据","缺C281证据"),IF(F281="手动完结",IF(OR(L281&lt;&gt;"",O281&lt;&gt;"",S281&lt;&gt;""),"有记录","缺手工证据"),IF(OR(F281="卖出待补仓",F281="提交结果待确认",F281="异常待处理"),"持续跟踪","检查状态")))))</x:f>
      </x:c>
      <x:c r="T281" s="64" t="str">
        <x:f>IF(A281="","",IF(COUNTIF($A$5:$A$1204,A281)&gt;1,"重复",""))</x:f>
      </x:c>
      <x:c r="U281" s="64" t="str">
        <x:f>IF(A281="","",IF(T281="重复","检查重复",IF(OR(R281="有证据",R281="有记录",R281="持续跟踪"),"可追踪","检查")))</x:f>
      </x:c>
    </x:row>
    <x:row r="282">
      <x:c r="A282" s="62"/>
      <x:c r="B282" s="62"/>
      <x:c r="C282" s="62"/>
      <x:c r="D282" s="66"/>
      <x:c r="E282" s="68"/>
      <x:c r="F282" s="62"/>
      <x:c r="G282" s="62"/>
      <x:c r="H282" s="62"/>
      <x:c r="I282" s="62"/>
      <x:c r="J282" s="62"/>
      <x:c r="K282" s="62"/>
      <x:c r="L282" s="62"/>
      <x:c r="M282" s="68"/>
      <x:c r="N282" s="68"/>
      <x:c r="O282" s="68"/>
      <x:c r="P282" s="71" t="str">
        <x:f>IF(A282="","",IF(N282&gt;0,N282,M282))</x:f>
      </x:c>
      <x:c r="Q282" s="72" t="n">
        <x:f>IF(A282="",0,IF(COUNTIF($A$5:A282,A282)=1,1,0))</x:f>
        <x:v>0</x:v>
      </x:c>
      <x:c r="R282" s="64" t="str">
        <x:f>IF(A282="","",IF(F282="C282成功",IF(AND(J282&lt;&gt;"",K282&lt;&gt;"",N282&gt;0),"有证据","缺C282证据"),IF(F282="C282发货确认中",IF(AND(J282&lt;&gt;"",K282&lt;&gt;""),"有证据","缺C282证据"),IF(F282="手动完结",IF(OR(L282&lt;&gt;"",O282&lt;&gt;"",S282&lt;&gt;""),"有记录","缺手工证据"),IF(OR(F282="卖出待补仓",F282="提交结果待确认",F282="异常待处理"),"持续跟踪","检查状态")))))</x:f>
      </x:c>
      <x:c r="T282" s="64" t="str">
        <x:f>IF(A282="","",IF(COUNTIF($A$5:$A$1204,A282)&gt;1,"重复",""))</x:f>
      </x:c>
      <x:c r="U282" s="64" t="str">
        <x:f>IF(A282="","",IF(T282="重复","检查重复",IF(OR(R282="有证据",R282="有记录",R282="持续跟踪"),"可追踪","检查")))</x:f>
      </x:c>
    </x:row>
    <x:row r="283">
      <x:c r="A283" s="62"/>
      <x:c r="B283" s="62"/>
      <x:c r="C283" s="62"/>
      <x:c r="D283" s="66"/>
      <x:c r="E283" s="68"/>
      <x:c r="F283" s="62"/>
      <x:c r="G283" s="62"/>
      <x:c r="H283" s="62"/>
      <x:c r="I283" s="62"/>
      <x:c r="J283" s="62"/>
      <x:c r="K283" s="62"/>
      <x:c r="L283" s="62"/>
      <x:c r="M283" s="68"/>
      <x:c r="N283" s="68"/>
      <x:c r="O283" s="68"/>
      <x:c r="P283" s="71" t="str">
        <x:f>IF(A283="","",IF(N283&gt;0,N283,M283))</x:f>
      </x:c>
      <x:c r="Q283" s="72" t="n">
        <x:f>IF(A283="",0,IF(COUNTIF($A$5:A283,A283)=1,1,0))</x:f>
        <x:v>0</x:v>
      </x:c>
      <x:c r="R283" s="64" t="str">
        <x:f>IF(A283="","",IF(F283="C283成功",IF(AND(J283&lt;&gt;"",K283&lt;&gt;"",N283&gt;0),"有证据","缺C283证据"),IF(F283="C283发货确认中",IF(AND(J283&lt;&gt;"",K283&lt;&gt;""),"有证据","缺C283证据"),IF(F283="手动完结",IF(OR(L283&lt;&gt;"",O283&lt;&gt;"",S283&lt;&gt;""),"有记录","缺手工证据"),IF(OR(F283="卖出待补仓",F283="提交结果待确认",F283="异常待处理"),"持续跟踪","检查状态")))))</x:f>
      </x:c>
      <x:c r="T283" s="64" t="str">
        <x:f>IF(A283="","",IF(COUNTIF($A$5:$A$1204,A283)&gt;1,"重复",""))</x:f>
      </x:c>
      <x:c r="U283" s="64" t="str">
        <x:f>IF(A283="","",IF(T283="重复","检查重复",IF(OR(R283="有证据",R283="有记录",R283="持续跟踪"),"可追踪","检查")))</x:f>
      </x:c>
    </x:row>
    <x:row r="284">
      <x:c r="A284" s="62"/>
      <x:c r="B284" s="62"/>
      <x:c r="C284" s="62"/>
      <x:c r="D284" s="66"/>
      <x:c r="E284" s="68"/>
      <x:c r="F284" s="62"/>
      <x:c r="G284" s="62"/>
      <x:c r="H284" s="62"/>
      <x:c r="I284" s="62"/>
      <x:c r="J284" s="62"/>
      <x:c r="K284" s="62"/>
      <x:c r="L284" s="62"/>
      <x:c r="M284" s="68"/>
      <x:c r="N284" s="68"/>
      <x:c r="O284" s="68"/>
      <x:c r="P284" s="71" t="str">
        <x:f>IF(A284="","",IF(N284&gt;0,N284,M284))</x:f>
      </x:c>
      <x:c r="Q284" s="72" t="n">
        <x:f>IF(A284="",0,IF(COUNTIF($A$5:A284,A284)=1,1,0))</x:f>
        <x:v>0</x:v>
      </x:c>
      <x:c r="R284" s="64" t="str">
        <x:f>IF(A284="","",IF(F284="C284成功",IF(AND(J284&lt;&gt;"",K284&lt;&gt;"",N284&gt;0),"有证据","缺C284证据"),IF(F284="C284发货确认中",IF(AND(J284&lt;&gt;"",K284&lt;&gt;""),"有证据","缺C284证据"),IF(F284="手动完结",IF(OR(L284&lt;&gt;"",O284&lt;&gt;"",S284&lt;&gt;""),"有记录","缺手工证据"),IF(OR(F284="卖出待补仓",F284="提交结果待确认",F284="异常待处理"),"持续跟踪","检查状态")))))</x:f>
      </x:c>
      <x:c r="T284" s="64" t="str">
        <x:f>IF(A284="","",IF(COUNTIF($A$5:$A$1204,A284)&gt;1,"重复",""))</x:f>
      </x:c>
      <x:c r="U284" s="64" t="str">
        <x:f>IF(A284="","",IF(T284="重复","检查重复",IF(OR(R284="有证据",R284="有记录",R284="持续跟踪"),"可追踪","检查")))</x:f>
      </x:c>
    </x:row>
    <x:row r="285">
      <x:c r="A285" s="62"/>
      <x:c r="B285" s="62"/>
      <x:c r="C285" s="62"/>
      <x:c r="D285" s="66"/>
      <x:c r="E285" s="68"/>
      <x:c r="F285" s="62"/>
      <x:c r="G285" s="62"/>
      <x:c r="H285" s="62"/>
      <x:c r="I285" s="62"/>
      <x:c r="J285" s="62"/>
      <x:c r="K285" s="62"/>
      <x:c r="L285" s="62"/>
      <x:c r="M285" s="68"/>
      <x:c r="N285" s="68"/>
      <x:c r="O285" s="68"/>
      <x:c r="P285" s="71" t="str">
        <x:f>IF(A285="","",IF(N285&gt;0,N285,M285))</x:f>
      </x:c>
      <x:c r="Q285" s="72" t="n">
        <x:f>IF(A285="",0,IF(COUNTIF($A$5:A285,A285)=1,1,0))</x:f>
        <x:v>0</x:v>
      </x:c>
      <x:c r="R285" s="64" t="str">
        <x:f>IF(A285="","",IF(F285="C285成功",IF(AND(J285&lt;&gt;"",K285&lt;&gt;"",N285&gt;0),"有证据","缺C285证据"),IF(F285="C285发货确认中",IF(AND(J285&lt;&gt;"",K285&lt;&gt;""),"有证据","缺C285证据"),IF(F285="手动完结",IF(OR(L285&lt;&gt;"",O285&lt;&gt;"",S285&lt;&gt;""),"有记录","缺手工证据"),IF(OR(F285="卖出待补仓",F285="提交结果待确认",F285="异常待处理"),"持续跟踪","检查状态")))))</x:f>
      </x:c>
      <x:c r="T285" s="64" t="str">
        <x:f>IF(A285="","",IF(COUNTIF($A$5:$A$1204,A285)&gt;1,"重复",""))</x:f>
      </x:c>
      <x:c r="U285" s="64" t="str">
        <x:f>IF(A285="","",IF(T285="重复","检查重复",IF(OR(R285="有证据",R285="有记录",R285="持续跟踪"),"可追踪","检查")))</x:f>
      </x:c>
    </x:row>
    <x:row r="286">
      <x:c r="A286" s="62"/>
      <x:c r="B286" s="62"/>
      <x:c r="C286" s="62"/>
      <x:c r="D286" s="66"/>
      <x:c r="E286" s="68"/>
      <x:c r="F286" s="62"/>
      <x:c r="G286" s="62"/>
      <x:c r="H286" s="62"/>
      <x:c r="I286" s="62"/>
      <x:c r="J286" s="62"/>
      <x:c r="K286" s="62"/>
      <x:c r="L286" s="62"/>
      <x:c r="M286" s="68"/>
      <x:c r="N286" s="68"/>
      <x:c r="O286" s="68"/>
      <x:c r="P286" s="71" t="str">
        <x:f>IF(A286="","",IF(N286&gt;0,N286,M286))</x:f>
      </x:c>
      <x:c r="Q286" s="72" t="n">
        <x:f>IF(A286="",0,IF(COUNTIF($A$5:A286,A286)=1,1,0))</x:f>
        <x:v>0</x:v>
      </x:c>
      <x:c r="R286" s="64" t="str">
        <x:f>IF(A286="","",IF(F286="C286成功",IF(AND(J286&lt;&gt;"",K286&lt;&gt;"",N286&gt;0),"有证据","缺C286证据"),IF(F286="C286发货确认中",IF(AND(J286&lt;&gt;"",K286&lt;&gt;""),"有证据","缺C286证据"),IF(F286="手动完结",IF(OR(L286&lt;&gt;"",O286&lt;&gt;"",S286&lt;&gt;""),"有记录","缺手工证据"),IF(OR(F286="卖出待补仓",F286="提交结果待确认",F286="异常待处理"),"持续跟踪","检查状态")))))</x:f>
      </x:c>
      <x:c r="T286" s="64" t="str">
        <x:f>IF(A286="","",IF(COUNTIF($A$5:$A$1204,A286)&gt;1,"重复",""))</x:f>
      </x:c>
      <x:c r="U286" s="64" t="str">
        <x:f>IF(A286="","",IF(T286="重复","检查重复",IF(OR(R286="有证据",R286="有记录",R286="持续跟踪"),"可追踪","检查")))</x:f>
      </x:c>
    </x:row>
    <x:row r="287">
      <x:c r="A287" s="62"/>
      <x:c r="B287" s="62"/>
      <x:c r="C287" s="62"/>
      <x:c r="D287" s="66"/>
      <x:c r="E287" s="68"/>
      <x:c r="F287" s="62"/>
      <x:c r="G287" s="62"/>
      <x:c r="H287" s="62"/>
      <x:c r="I287" s="62"/>
      <x:c r="J287" s="62"/>
      <x:c r="K287" s="62"/>
      <x:c r="L287" s="62"/>
      <x:c r="M287" s="68"/>
      <x:c r="N287" s="68"/>
      <x:c r="O287" s="68"/>
      <x:c r="P287" s="71" t="str">
        <x:f>IF(A287="","",IF(N287&gt;0,N287,M287))</x:f>
      </x:c>
      <x:c r="Q287" s="72" t="n">
        <x:f>IF(A287="",0,IF(COUNTIF($A$5:A287,A287)=1,1,0))</x:f>
        <x:v>0</x:v>
      </x:c>
      <x:c r="R287" s="64" t="str">
        <x:f>IF(A287="","",IF(F287="C287成功",IF(AND(J287&lt;&gt;"",K287&lt;&gt;"",N287&gt;0),"有证据","缺C287证据"),IF(F287="C287发货确认中",IF(AND(J287&lt;&gt;"",K287&lt;&gt;""),"有证据","缺C287证据"),IF(F287="手动完结",IF(OR(L287&lt;&gt;"",O287&lt;&gt;"",S287&lt;&gt;""),"有记录","缺手工证据"),IF(OR(F287="卖出待补仓",F287="提交结果待确认",F287="异常待处理"),"持续跟踪","检查状态")))))</x:f>
      </x:c>
      <x:c r="T287" s="64" t="str">
        <x:f>IF(A287="","",IF(COUNTIF($A$5:$A$1204,A287)&gt;1,"重复",""))</x:f>
      </x:c>
      <x:c r="U287" s="64" t="str">
        <x:f>IF(A287="","",IF(T287="重复","检查重复",IF(OR(R287="有证据",R287="有记录",R287="持续跟踪"),"可追踪","检查")))</x:f>
      </x:c>
    </x:row>
    <x:row r="288">
      <x:c r="A288" s="62"/>
      <x:c r="B288" s="62"/>
      <x:c r="C288" s="62"/>
      <x:c r="D288" s="66"/>
      <x:c r="E288" s="68"/>
      <x:c r="F288" s="62"/>
      <x:c r="G288" s="62"/>
      <x:c r="H288" s="62"/>
      <x:c r="I288" s="62"/>
      <x:c r="J288" s="62"/>
      <x:c r="K288" s="62"/>
      <x:c r="L288" s="62"/>
      <x:c r="M288" s="68"/>
      <x:c r="N288" s="68"/>
      <x:c r="O288" s="68"/>
      <x:c r="P288" s="71" t="str">
        <x:f>IF(A288="","",IF(N288&gt;0,N288,M288))</x:f>
      </x:c>
      <x:c r="Q288" s="72" t="n">
        <x:f>IF(A288="",0,IF(COUNTIF($A$5:A288,A288)=1,1,0))</x:f>
        <x:v>0</x:v>
      </x:c>
      <x:c r="R288" s="64" t="str">
        <x:f>IF(A288="","",IF(F288="C288成功",IF(AND(J288&lt;&gt;"",K288&lt;&gt;"",N288&gt;0),"有证据","缺C288证据"),IF(F288="C288发货确认中",IF(AND(J288&lt;&gt;"",K288&lt;&gt;""),"有证据","缺C288证据"),IF(F288="手动完结",IF(OR(L288&lt;&gt;"",O288&lt;&gt;"",S288&lt;&gt;""),"有记录","缺手工证据"),IF(OR(F288="卖出待补仓",F288="提交结果待确认",F288="异常待处理"),"持续跟踪","检查状态")))))</x:f>
      </x:c>
      <x:c r="T288" s="64" t="str">
        <x:f>IF(A288="","",IF(COUNTIF($A$5:$A$1204,A288)&gt;1,"重复",""))</x:f>
      </x:c>
      <x:c r="U288" s="64" t="str">
        <x:f>IF(A288="","",IF(T288="重复","检查重复",IF(OR(R288="有证据",R288="有记录",R288="持续跟踪"),"可追踪","检查")))</x:f>
      </x:c>
    </x:row>
    <x:row r="289">
      <x:c r="A289" s="62"/>
      <x:c r="B289" s="62"/>
      <x:c r="C289" s="62"/>
      <x:c r="D289" s="66"/>
      <x:c r="E289" s="68"/>
      <x:c r="F289" s="62"/>
      <x:c r="G289" s="62"/>
      <x:c r="H289" s="62"/>
      <x:c r="I289" s="62"/>
      <x:c r="J289" s="62"/>
      <x:c r="K289" s="62"/>
      <x:c r="L289" s="62"/>
      <x:c r="M289" s="68"/>
      <x:c r="N289" s="68"/>
      <x:c r="O289" s="68"/>
      <x:c r="P289" s="71" t="str">
        <x:f>IF(A289="","",IF(N289&gt;0,N289,M289))</x:f>
      </x:c>
      <x:c r="Q289" s="72" t="n">
        <x:f>IF(A289="",0,IF(COUNTIF($A$5:A289,A289)=1,1,0))</x:f>
        <x:v>0</x:v>
      </x:c>
      <x:c r="R289" s="64" t="str">
        <x:f>IF(A289="","",IF(F289="C289成功",IF(AND(J289&lt;&gt;"",K289&lt;&gt;"",N289&gt;0),"有证据","缺C289证据"),IF(F289="C289发货确认中",IF(AND(J289&lt;&gt;"",K289&lt;&gt;""),"有证据","缺C289证据"),IF(F289="手动完结",IF(OR(L289&lt;&gt;"",O289&lt;&gt;"",S289&lt;&gt;""),"有记录","缺手工证据"),IF(OR(F289="卖出待补仓",F289="提交结果待确认",F289="异常待处理"),"持续跟踪","检查状态")))))</x:f>
      </x:c>
      <x:c r="T289" s="64" t="str">
        <x:f>IF(A289="","",IF(COUNTIF($A$5:$A$1204,A289)&gt;1,"重复",""))</x:f>
      </x:c>
      <x:c r="U289" s="64" t="str">
        <x:f>IF(A289="","",IF(T289="重复","检查重复",IF(OR(R289="有证据",R289="有记录",R289="持续跟踪"),"可追踪","检查")))</x:f>
      </x:c>
    </x:row>
    <x:row r="290">
      <x:c r="A290" s="62"/>
      <x:c r="B290" s="62"/>
      <x:c r="C290" s="62"/>
      <x:c r="D290" s="66"/>
      <x:c r="E290" s="68"/>
      <x:c r="F290" s="62"/>
      <x:c r="G290" s="62"/>
      <x:c r="H290" s="62"/>
      <x:c r="I290" s="62"/>
      <x:c r="J290" s="62"/>
      <x:c r="K290" s="62"/>
      <x:c r="L290" s="62"/>
      <x:c r="M290" s="68"/>
      <x:c r="N290" s="68"/>
      <x:c r="O290" s="68"/>
      <x:c r="P290" s="71" t="str">
        <x:f>IF(A290="","",IF(N290&gt;0,N290,M290))</x:f>
      </x:c>
      <x:c r="Q290" s="72" t="n">
        <x:f>IF(A290="",0,IF(COUNTIF($A$5:A290,A290)=1,1,0))</x:f>
        <x:v>0</x:v>
      </x:c>
      <x:c r="R290" s="64" t="str">
        <x:f>IF(A290="","",IF(F290="C290成功",IF(AND(J290&lt;&gt;"",K290&lt;&gt;"",N290&gt;0),"有证据","缺C290证据"),IF(F290="C290发货确认中",IF(AND(J290&lt;&gt;"",K290&lt;&gt;""),"有证据","缺C290证据"),IF(F290="手动完结",IF(OR(L290&lt;&gt;"",O290&lt;&gt;"",S290&lt;&gt;""),"有记录","缺手工证据"),IF(OR(F290="卖出待补仓",F290="提交结果待确认",F290="异常待处理"),"持续跟踪","检查状态")))))</x:f>
      </x:c>
      <x:c r="T290" s="64" t="str">
        <x:f>IF(A290="","",IF(COUNTIF($A$5:$A$1204,A290)&gt;1,"重复",""))</x:f>
      </x:c>
      <x:c r="U290" s="64" t="str">
        <x:f>IF(A290="","",IF(T290="重复","检查重复",IF(OR(R290="有证据",R290="有记录",R290="持续跟踪"),"可追踪","检查")))</x:f>
      </x:c>
    </x:row>
    <x:row r="291">
      <x:c r="A291" s="62"/>
      <x:c r="B291" s="62"/>
      <x:c r="C291" s="62"/>
      <x:c r="D291" s="66"/>
      <x:c r="E291" s="68"/>
      <x:c r="F291" s="62"/>
      <x:c r="G291" s="62"/>
      <x:c r="H291" s="62"/>
      <x:c r="I291" s="62"/>
      <x:c r="J291" s="62"/>
      <x:c r="K291" s="62"/>
      <x:c r="L291" s="62"/>
      <x:c r="M291" s="68"/>
      <x:c r="N291" s="68"/>
      <x:c r="O291" s="68"/>
      <x:c r="P291" s="71" t="str">
        <x:f>IF(A291="","",IF(N291&gt;0,N291,M291))</x:f>
      </x:c>
      <x:c r="Q291" s="72" t="n">
        <x:f>IF(A291="",0,IF(COUNTIF($A$5:A291,A291)=1,1,0))</x:f>
        <x:v>0</x:v>
      </x:c>
      <x:c r="R291" s="64" t="str">
        <x:f>IF(A291="","",IF(F291="C291成功",IF(AND(J291&lt;&gt;"",K291&lt;&gt;"",N291&gt;0),"有证据","缺C291证据"),IF(F291="C291发货确认中",IF(AND(J291&lt;&gt;"",K291&lt;&gt;""),"有证据","缺C291证据"),IF(F291="手动完结",IF(OR(L291&lt;&gt;"",O291&lt;&gt;"",S291&lt;&gt;""),"有记录","缺手工证据"),IF(OR(F291="卖出待补仓",F291="提交结果待确认",F291="异常待处理"),"持续跟踪","检查状态")))))</x:f>
      </x:c>
      <x:c r="T291" s="64" t="str">
        <x:f>IF(A291="","",IF(COUNTIF($A$5:$A$1204,A291)&gt;1,"重复",""))</x:f>
      </x:c>
      <x:c r="U291" s="64" t="str">
        <x:f>IF(A291="","",IF(T291="重复","检查重复",IF(OR(R291="有证据",R291="有记录",R291="持续跟踪"),"可追踪","检查")))</x:f>
      </x:c>
    </x:row>
    <x:row r="292">
      <x:c r="A292" s="62"/>
      <x:c r="B292" s="62"/>
      <x:c r="C292" s="62"/>
      <x:c r="D292" s="66"/>
      <x:c r="E292" s="68"/>
      <x:c r="F292" s="62"/>
      <x:c r="G292" s="62"/>
      <x:c r="H292" s="62"/>
      <x:c r="I292" s="62"/>
      <x:c r="J292" s="62"/>
      <x:c r="K292" s="62"/>
      <x:c r="L292" s="62"/>
      <x:c r="M292" s="68"/>
      <x:c r="N292" s="68"/>
      <x:c r="O292" s="68"/>
      <x:c r="P292" s="71" t="str">
        <x:f>IF(A292="","",IF(N292&gt;0,N292,M292))</x:f>
      </x:c>
      <x:c r="Q292" s="72" t="n">
        <x:f>IF(A292="",0,IF(COUNTIF($A$5:A292,A292)=1,1,0))</x:f>
        <x:v>0</x:v>
      </x:c>
      <x:c r="R292" s="64" t="str">
        <x:f>IF(A292="","",IF(F292="C292成功",IF(AND(J292&lt;&gt;"",K292&lt;&gt;"",N292&gt;0),"有证据","缺C292证据"),IF(F292="C292发货确认中",IF(AND(J292&lt;&gt;"",K292&lt;&gt;""),"有证据","缺C292证据"),IF(F292="手动完结",IF(OR(L292&lt;&gt;"",O292&lt;&gt;"",S292&lt;&gt;""),"有记录","缺手工证据"),IF(OR(F292="卖出待补仓",F292="提交结果待确认",F292="异常待处理"),"持续跟踪","检查状态")))))</x:f>
      </x:c>
      <x:c r="T292" s="64" t="str">
        <x:f>IF(A292="","",IF(COUNTIF($A$5:$A$1204,A292)&gt;1,"重复",""))</x:f>
      </x:c>
      <x:c r="U292" s="64" t="str">
        <x:f>IF(A292="","",IF(T292="重复","检查重复",IF(OR(R292="有证据",R292="有记录",R292="持续跟踪"),"可追踪","检查")))</x:f>
      </x:c>
    </x:row>
    <x:row r="293">
      <x:c r="A293" s="62"/>
      <x:c r="B293" s="62"/>
      <x:c r="C293" s="62"/>
      <x:c r="D293" s="66"/>
      <x:c r="E293" s="68"/>
      <x:c r="F293" s="62"/>
      <x:c r="G293" s="62"/>
      <x:c r="H293" s="62"/>
      <x:c r="I293" s="62"/>
      <x:c r="J293" s="62"/>
      <x:c r="K293" s="62"/>
      <x:c r="L293" s="62"/>
      <x:c r="M293" s="68"/>
      <x:c r="N293" s="68"/>
      <x:c r="O293" s="68"/>
      <x:c r="P293" s="71" t="str">
        <x:f>IF(A293="","",IF(N293&gt;0,N293,M293))</x:f>
      </x:c>
      <x:c r="Q293" s="72" t="n">
        <x:f>IF(A293="",0,IF(COUNTIF($A$5:A293,A293)=1,1,0))</x:f>
        <x:v>0</x:v>
      </x:c>
      <x:c r="R293" s="64" t="str">
        <x:f>IF(A293="","",IF(F293="C293成功",IF(AND(J293&lt;&gt;"",K293&lt;&gt;"",N293&gt;0),"有证据","缺C293证据"),IF(F293="C293发货确认中",IF(AND(J293&lt;&gt;"",K293&lt;&gt;""),"有证据","缺C293证据"),IF(F293="手动完结",IF(OR(L293&lt;&gt;"",O293&lt;&gt;"",S293&lt;&gt;""),"有记录","缺手工证据"),IF(OR(F293="卖出待补仓",F293="提交结果待确认",F293="异常待处理"),"持续跟踪","检查状态")))))</x:f>
      </x:c>
      <x:c r="T293" s="64" t="str">
        <x:f>IF(A293="","",IF(COUNTIF($A$5:$A$1204,A293)&gt;1,"重复",""))</x:f>
      </x:c>
      <x:c r="U293" s="64" t="str">
        <x:f>IF(A293="","",IF(T293="重复","检查重复",IF(OR(R293="有证据",R293="有记录",R293="持续跟踪"),"可追踪","检查")))</x:f>
      </x:c>
    </x:row>
    <x:row r="294">
      <x:c r="A294" s="62"/>
      <x:c r="B294" s="62"/>
      <x:c r="C294" s="62"/>
      <x:c r="D294" s="66"/>
      <x:c r="E294" s="68"/>
      <x:c r="F294" s="62"/>
      <x:c r="G294" s="62"/>
      <x:c r="H294" s="62"/>
      <x:c r="I294" s="62"/>
      <x:c r="J294" s="62"/>
      <x:c r="K294" s="62"/>
      <x:c r="L294" s="62"/>
      <x:c r="M294" s="68"/>
      <x:c r="N294" s="68"/>
      <x:c r="O294" s="68"/>
      <x:c r="P294" s="71" t="str">
        <x:f>IF(A294="","",IF(N294&gt;0,N294,M294))</x:f>
      </x:c>
      <x:c r="Q294" s="72" t="n">
        <x:f>IF(A294="",0,IF(COUNTIF($A$5:A294,A294)=1,1,0))</x:f>
        <x:v>0</x:v>
      </x:c>
      <x:c r="R294" s="64" t="str">
        <x:f>IF(A294="","",IF(F294="C294成功",IF(AND(J294&lt;&gt;"",K294&lt;&gt;"",N294&gt;0),"有证据","缺C294证据"),IF(F294="C294发货确认中",IF(AND(J294&lt;&gt;"",K294&lt;&gt;""),"有证据","缺C294证据"),IF(F294="手动完结",IF(OR(L294&lt;&gt;"",O294&lt;&gt;"",S294&lt;&gt;""),"有记录","缺手工证据"),IF(OR(F294="卖出待补仓",F294="提交结果待确认",F294="异常待处理"),"持续跟踪","检查状态")))))</x:f>
      </x:c>
      <x:c r="T294" s="64" t="str">
        <x:f>IF(A294="","",IF(COUNTIF($A$5:$A$1204,A294)&gt;1,"重复",""))</x:f>
      </x:c>
      <x:c r="U294" s="64" t="str">
        <x:f>IF(A294="","",IF(T294="重复","检查重复",IF(OR(R294="有证据",R294="有记录",R294="持续跟踪"),"可追踪","检查")))</x:f>
      </x:c>
    </x:row>
    <x:row r="295">
      <x:c r="A295" s="62"/>
      <x:c r="B295" s="62"/>
      <x:c r="C295" s="62"/>
      <x:c r="D295" s="66"/>
      <x:c r="E295" s="68"/>
      <x:c r="F295" s="62"/>
      <x:c r="G295" s="62"/>
      <x:c r="H295" s="62"/>
      <x:c r="I295" s="62"/>
      <x:c r="J295" s="62"/>
      <x:c r="K295" s="62"/>
      <x:c r="L295" s="62"/>
      <x:c r="M295" s="68"/>
      <x:c r="N295" s="68"/>
      <x:c r="O295" s="68"/>
      <x:c r="P295" s="71" t="str">
        <x:f>IF(A295="","",IF(N295&gt;0,N295,M295))</x:f>
      </x:c>
      <x:c r="Q295" s="72" t="n">
        <x:f>IF(A295="",0,IF(COUNTIF($A$5:A295,A295)=1,1,0))</x:f>
        <x:v>0</x:v>
      </x:c>
      <x:c r="R295" s="64" t="str">
        <x:f>IF(A295="","",IF(F295="C295成功",IF(AND(J295&lt;&gt;"",K295&lt;&gt;"",N295&gt;0),"有证据","缺C295证据"),IF(F295="C295发货确认中",IF(AND(J295&lt;&gt;"",K295&lt;&gt;""),"有证据","缺C295证据"),IF(F295="手动完结",IF(OR(L295&lt;&gt;"",O295&lt;&gt;"",S295&lt;&gt;""),"有记录","缺手工证据"),IF(OR(F295="卖出待补仓",F295="提交结果待确认",F295="异常待处理"),"持续跟踪","检查状态")))))</x:f>
      </x:c>
      <x:c r="T295" s="64" t="str">
        <x:f>IF(A295="","",IF(COUNTIF($A$5:$A$1204,A295)&gt;1,"重复",""))</x:f>
      </x:c>
      <x:c r="U295" s="64" t="str">
        <x:f>IF(A295="","",IF(T295="重复","检查重复",IF(OR(R295="有证据",R295="有记录",R295="持续跟踪"),"可追踪","检查")))</x:f>
      </x:c>
    </x:row>
    <x:row r="296">
      <x:c r="A296" s="62"/>
      <x:c r="B296" s="62"/>
      <x:c r="C296" s="62"/>
      <x:c r="D296" s="66"/>
      <x:c r="E296" s="68"/>
      <x:c r="F296" s="62"/>
      <x:c r="G296" s="62"/>
      <x:c r="H296" s="62"/>
      <x:c r="I296" s="62"/>
      <x:c r="J296" s="62"/>
      <x:c r="K296" s="62"/>
      <x:c r="L296" s="62"/>
      <x:c r="M296" s="68"/>
      <x:c r="N296" s="68"/>
      <x:c r="O296" s="68"/>
      <x:c r="P296" s="71" t="str">
        <x:f>IF(A296="","",IF(N296&gt;0,N296,M296))</x:f>
      </x:c>
      <x:c r="Q296" s="72" t="n">
        <x:f>IF(A296="",0,IF(COUNTIF($A$5:A296,A296)=1,1,0))</x:f>
        <x:v>0</x:v>
      </x:c>
      <x:c r="R296" s="64" t="str">
        <x:f>IF(A296="","",IF(F296="C296成功",IF(AND(J296&lt;&gt;"",K296&lt;&gt;"",N296&gt;0),"有证据","缺C296证据"),IF(F296="C296发货确认中",IF(AND(J296&lt;&gt;"",K296&lt;&gt;""),"有证据","缺C296证据"),IF(F296="手动完结",IF(OR(L296&lt;&gt;"",O296&lt;&gt;"",S296&lt;&gt;""),"有记录","缺手工证据"),IF(OR(F296="卖出待补仓",F296="提交结果待确认",F296="异常待处理"),"持续跟踪","检查状态")))))</x:f>
      </x:c>
      <x:c r="T296" s="64" t="str">
        <x:f>IF(A296="","",IF(COUNTIF($A$5:$A$1204,A296)&gt;1,"重复",""))</x:f>
      </x:c>
      <x:c r="U296" s="64" t="str">
        <x:f>IF(A296="","",IF(T296="重复","检查重复",IF(OR(R296="有证据",R296="有记录",R296="持续跟踪"),"可追踪","检查")))</x:f>
      </x:c>
    </x:row>
    <x:row r="297">
      <x:c r="A297" s="62"/>
      <x:c r="B297" s="62"/>
      <x:c r="C297" s="62"/>
      <x:c r="D297" s="66"/>
      <x:c r="E297" s="68"/>
      <x:c r="F297" s="62"/>
      <x:c r="G297" s="62"/>
      <x:c r="H297" s="62"/>
      <x:c r="I297" s="62"/>
      <x:c r="J297" s="62"/>
      <x:c r="K297" s="62"/>
      <x:c r="L297" s="62"/>
      <x:c r="M297" s="68"/>
      <x:c r="N297" s="68"/>
      <x:c r="O297" s="68"/>
      <x:c r="P297" s="71" t="str">
        <x:f>IF(A297="","",IF(N297&gt;0,N297,M297))</x:f>
      </x:c>
      <x:c r="Q297" s="72" t="n">
        <x:f>IF(A297="",0,IF(COUNTIF($A$5:A297,A297)=1,1,0))</x:f>
        <x:v>0</x:v>
      </x:c>
      <x:c r="R297" s="64" t="str">
        <x:f>IF(A297="","",IF(F297="C297成功",IF(AND(J297&lt;&gt;"",K297&lt;&gt;"",N297&gt;0),"有证据","缺C297证据"),IF(F297="C297发货确认中",IF(AND(J297&lt;&gt;"",K297&lt;&gt;""),"有证据","缺C297证据"),IF(F297="手动完结",IF(OR(L297&lt;&gt;"",O297&lt;&gt;"",S297&lt;&gt;""),"有记录","缺手工证据"),IF(OR(F297="卖出待补仓",F297="提交结果待确认",F297="异常待处理"),"持续跟踪","检查状态")))))</x:f>
      </x:c>
      <x:c r="T297" s="64" t="str">
        <x:f>IF(A297="","",IF(COUNTIF($A$5:$A$1204,A297)&gt;1,"重复",""))</x:f>
      </x:c>
      <x:c r="U297" s="64" t="str">
        <x:f>IF(A297="","",IF(T297="重复","检查重复",IF(OR(R297="有证据",R297="有记录",R297="持续跟踪"),"可追踪","检查")))</x:f>
      </x:c>
    </x:row>
    <x:row r="298">
      <x:c r="A298" s="62"/>
      <x:c r="B298" s="62"/>
      <x:c r="C298" s="62"/>
      <x:c r="D298" s="66"/>
      <x:c r="E298" s="68"/>
      <x:c r="F298" s="62"/>
      <x:c r="G298" s="62"/>
      <x:c r="H298" s="62"/>
      <x:c r="I298" s="62"/>
      <x:c r="J298" s="62"/>
      <x:c r="K298" s="62"/>
      <x:c r="L298" s="62"/>
      <x:c r="M298" s="68"/>
      <x:c r="N298" s="68"/>
      <x:c r="O298" s="68"/>
      <x:c r="P298" s="71" t="str">
        <x:f>IF(A298="","",IF(N298&gt;0,N298,M298))</x:f>
      </x:c>
      <x:c r="Q298" s="72" t="n">
        <x:f>IF(A298="",0,IF(COUNTIF($A$5:A298,A298)=1,1,0))</x:f>
        <x:v>0</x:v>
      </x:c>
      <x:c r="R298" s="64" t="str">
        <x:f>IF(A298="","",IF(F298="C298成功",IF(AND(J298&lt;&gt;"",K298&lt;&gt;"",N298&gt;0),"有证据","缺C298证据"),IF(F298="C298发货确认中",IF(AND(J298&lt;&gt;"",K298&lt;&gt;""),"有证据","缺C298证据"),IF(F298="手动完结",IF(OR(L298&lt;&gt;"",O298&lt;&gt;"",S298&lt;&gt;""),"有记录","缺手工证据"),IF(OR(F298="卖出待补仓",F298="提交结果待确认",F298="异常待处理"),"持续跟踪","检查状态")))))</x:f>
      </x:c>
      <x:c r="T298" s="64" t="str">
        <x:f>IF(A298="","",IF(COUNTIF($A$5:$A$1204,A298)&gt;1,"重复",""))</x:f>
      </x:c>
      <x:c r="U298" s="64" t="str">
        <x:f>IF(A298="","",IF(T298="重复","检查重复",IF(OR(R298="有证据",R298="有记录",R298="持续跟踪"),"可追踪","检查")))</x:f>
      </x:c>
    </x:row>
    <x:row r="299">
      <x:c r="A299" s="62"/>
      <x:c r="B299" s="62"/>
      <x:c r="C299" s="62"/>
      <x:c r="D299" s="66"/>
      <x:c r="E299" s="68"/>
      <x:c r="F299" s="62"/>
      <x:c r="G299" s="62"/>
      <x:c r="H299" s="62"/>
      <x:c r="I299" s="62"/>
      <x:c r="J299" s="62"/>
      <x:c r="K299" s="62"/>
      <x:c r="L299" s="62"/>
      <x:c r="M299" s="68"/>
      <x:c r="N299" s="68"/>
      <x:c r="O299" s="68"/>
      <x:c r="P299" s="71" t="str">
        <x:f>IF(A299="","",IF(N299&gt;0,N299,M299))</x:f>
      </x:c>
      <x:c r="Q299" s="72" t="n">
        <x:f>IF(A299="",0,IF(COUNTIF($A$5:A299,A299)=1,1,0))</x:f>
        <x:v>0</x:v>
      </x:c>
      <x:c r="R299" s="64" t="str">
        <x:f>IF(A299="","",IF(F299="C299成功",IF(AND(J299&lt;&gt;"",K299&lt;&gt;"",N299&gt;0),"有证据","缺C299证据"),IF(F299="C299发货确认中",IF(AND(J299&lt;&gt;"",K299&lt;&gt;""),"有证据","缺C299证据"),IF(F299="手动完结",IF(OR(L299&lt;&gt;"",O299&lt;&gt;"",S299&lt;&gt;""),"有记录","缺手工证据"),IF(OR(F299="卖出待补仓",F299="提交结果待确认",F299="异常待处理"),"持续跟踪","检查状态")))))</x:f>
      </x:c>
      <x:c r="T299" s="64" t="str">
        <x:f>IF(A299="","",IF(COUNTIF($A$5:$A$1204,A299)&gt;1,"重复",""))</x:f>
      </x:c>
      <x:c r="U299" s="64" t="str">
        <x:f>IF(A299="","",IF(T299="重复","检查重复",IF(OR(R299="有证据",R299="有记录",R299="持续跟踪"),"可追踪","检查")))</x:f>
      </x:c>
    </x:row>
    <x:row r="300">
      <x:c r="A300" s="62"/>
      <x:c r="B300" s="62"/>
      <x:c r="C300" s="62"/>
      <x:c r="D300" s="66"/>
      <x:c r="E300" s="68"/>
      <x:c r="F300" s="62"/>
      <x:c r="G300" s="62"/>
      <x:c r="H300" s="62"/>
      <x:c r="I300" s="62"/>
      <x:c r="J300" s="62"/>
      <x:c r="K300" s="62"/>
      <x:c r="L300" s="62"/>
      <x:c r="M300" s="68"/>
      <x:c r="N300" s="68"/>
      <x:c r="O300" s="68"/>
      <x:c r="P300" s="71" t="str">
        <x:f>IF(A300="","",IF(N300&gt;0,N300,M300))</x:f>
      </x:c>
      <x:c r="Q300" s="72" t="n">
        <x:f>IF(A300="",0,IF(COUNTIF($A$5:A300,A300)=1,1,0))</x:f>
        <x:v>0</x:v>
      </x:c>
      <x:c r="R300" s="64" t="str">
        <x:f>IF(A300="","",IF(F300="C300成功",IF(AND(J300&lt;&gt;"",K300&lt;&gt;"",N300&gt;0),"有证据","缺C300证据"),IF(F300="C300发货确认中",IF(AND(J300&lt;&gt;"",K300&lt;&gt;""),"有证据","缺C300证据"),IF(F300="手动完结",IF(OR(L300&lt;&gt;"",O300&lt;&gt;"",S300&lt;&gt;""),"有记录","缺手工证据"),IF(OR(F300="卖出待补仓",F300="提交结果待确认",F300="异常待处理"),"持续跟踪","检查状态")))))</x:f>
      </x:c>
      <x:c r="T300" s="64" t="str">
        <x:f>IF(A300="","",IF(COUNTIF($A$5:$A$1204,A300)&gt;1,"重复",""))</x:f>
      </x:c>
      <x:c r="U300" s="64" t="str">
        <x:f>IF(A300="","",IF(T300="重复","检查重复",IF(OR(R300="有证据",R300="有记录",R300="持续跟踪"),"可追踪","检查")))</x:f>
      </x:c>
    </x:row>
    <x:row r="301">
      <x:c r="A301" s="62"/>
      <x:c r="B301" s="62"/>
      <x:c r="C301" s="62"/>
      <x:c r="D301" s="66"/>
      <x:c r="E301" s="68"/>
      <x:c r="F301" s="62"/>
      <x:c r="G301" s="62"/>
      <x:c r="H301" s="62"/>
      <x:c r="I301" s="62"/>
      <x:c r="J301" s="62"/>
      <x:c r="K301" s="62"/>
      <x:c r="L301" s="62"/>
      <x:c r="M301" s="68"/>
      <x:c r="N301" s="68"/>
      <x:c r="O301" s="68"/>
      <x:c r="P301" s="71" t="str">
        <x:f>IF(A301="","",IF(N301&gt;0,N301,M301))</x:f>
      </x:c>
      <x:c r="Q301" s="72" t="n">
        <x:f>IF(A301="",0,IF(COUNTIF($A$5:A301,A301)=1,1,0))</x:f>
        <x:v>0</x:v>
      </x:c>
      <x:c r="R301" s="64" t="str">
        <x:f>IF(A301="","",IF(F301="C301成功",IF(AND(J301&lt;&gt;"",K301&lt;&gt;"",N301&gt;0),"有证据","缺C301证据"),IF(F301="C301发货确认中",IF(AND(J301&lt;&gt;"",K301&lt;&gt;""),"有证据","缺C301证据"),IF(F301="手动完结",IF(OR(L301&lt;&gt;"",O301&lt;&gt;"",S301&lt;&gt;""),"有记录","缺手工证据"),IF(OR(F301="卖出待补仓",F301="提交结果待确认",F301="异常待处理"),"持续跟踪","检查状态")))))</x:f>
      </x:c>
      <x:c r="T301" s="64" t="str">
        <x:f>IF(A301="","",IF(COUNTIF($A$5:$A$1204,A301)&gt;1,"重复",""))</x:f>
      </x:c>
      <x:c r="U301" s="64" t="str">
        <x:f>IF(A301="","",IF(T301="重复","检查重复",IF(OR(R301="有证据",R301="有记录",R301="持续跟踪"),"可追踪","检查")))</x:f>
      </x:c>
    </x:row>
    <x:row r="302">
      <x:c r="A302" s="62"/>
      <x:c r="B302" s="62"/>
      <x:c r="C302" s="62"/>
      <x:c r="D302" s="66"/>
      <x:c r="E302" s="68"/>
      <x:c r="F302" s="62"/>
      <x:c r="G302" s="62"/>
      <x:c r="H302" s="62"/>
      <x:c r="I302" s="62"/>
      <x:c r="J302" s="62"/>
      <x:c r="K302" s="62"/>
      <x:c r="L302" s="62"/>
      <x:c r="M302" s="68"/>
      <x:c r="N302" s="68"/>
      <x:c r="O302" s="68"/>
      <x:c r="P302" s="71" t="str">
        <x:f>IF(A302="","",IF(N302&gt;0,N302,M302))</x:f>
      </x:c>
      <x:c r="Q302" s="72" t="n">
        <x:f>IF(A302="",0,IF(COUNTIF($A$5:A302,A302)=1,1,0))</x:f>
        <x:v>0</x:v>
      </x:c>
      <x:c r="R302" s="64" t="str">
        <x:f>IF(A302="","",IF(F302="C302成功",IF(AND(J302&lt;&gt;"",K302&lt;&gt;"",N302&gt;0),"有证据","缺C302证据"),IF(F302="C302发货确认中",IF(AND(J302&lt;&gt;"",K302&lt;&gt;""),"有证据","缺C302证据"),IF(F302="手动完结",IF(OR(L302&lt;&gt;"",O302&lt;&gt;"",S302&lt;&gt;""),"有记录","缺手工证据"),IF(OR(F302="卖出待补仓",F302="提交结果待确认",F302="异常待处理"),"持续跟踪","检查状态")))))</x:f>
      </x:c>
      <x:c r="T302" s="64" t="str">
        <x:f>IF(A302="","",IF(COUNTIF($A$5:$A$1204,A302)&gt;1,"重复",""))</x:f>
      </x:c>
      <x:c r="U302" s="64" t="str">
        <x:f>IF(A302="","",IF(T302="重复","检查重复",IF(OR(R302="有证据",R302="有记录",R302="持续跟踪"),"可追踪","检查")))</x:f>
      </x:c>
    </x:row>
    <x:row r="303">
      <x:c r="A303" s="62"/>
      <x:c r="B303" s="62"/>
      <x:c r="C303" s="62"/>
      <x:c r="D303" s="66"/>
      <x:c r="E303" s="68"/>
      <x:c r="F303" s="62"/>
      <x:c r="G303" s="62"/>
      <x:c r="H303" s="62"/>
      <x:c r="I303" s="62"/>
      <x:c r="J303" s="62"/>
      <x:c r="K303" s="62"/>
      <x:c r="L303" s="62"/>
      <x:c r="M303" s="68"/>
      <x:c r="N303" s="68"/>
      <x:c r="O303" s="68"/>
      <x:c r="P303" s="71" t="str">
        <x:f>IF(A303="","",IF(N303&gt;0,N303,M303))</x:f>
      </x:c>
      <x:c r="Q303" s="72" t="n">
        <x:f>IF(A303="",0,IF(COUNTIF($A$5:A303,A303)=1,1,0))</x:f>
        <x:v>0</x:v>
      </x:c>
      <x:c r="R303" s="64" t="str">
        <x:f>IF(A303="","",IF(F303="C303成功",IF(AND(J303&lt;&gt;"",K303&lt;&gt;"",N303&gt;0),"有证据","缺C303证据"),IF(F303="C303发货确认中",IF(AND(J303&lt;&gt;"",K303&lt;&gt;""),"有证据","缺C303证据"),IF(F303="手动完结",IF(OR(L303&lt;&gt;"",O303&lt;&gt;"",S303&lt;&gt;""),"有记录","缺手工证据"),IF(OR(F303="卖出待补仓",F303="提交结果待确认",F303="异常待处理"),"持续跟踪","检查状态")))))</x:f>
      </x:c>
      <x:c r="T303" s="64" t="str">
        <x:f>IF(A303="","",IF(COUNTIF($A$5:$A$1204,A303)&gt;1,"重复",""))</x:f>
      </x:c>
      <x:c r="U303" s="64" t="str">
        <x:f>IF(A303="","",IF(T303="重复","检查重复",IF(OR(R303="有证据",R303="有记录",R303="持续跟踪"),"可追踪","检查")))</x:f>
      </x:c>
    </x:row>
    <x:row r="304">
      <x:c r="A304" s="62"/>
      <x:c r="B304" s="62"/>
      <x:c r="C304" s="62"/>
      <x:c r="D304" s="66"/>
      <x:c r="E304" s="68"/>
      <x:c r="F304" s="62"/>
      <x:c r="G304" s="62"/>
      <x:c r="H304" s="62"/>
      <x:c r="I304" s="62"/>
      <x:c r="J304" s="62"/>
      <x:c r="K304" s="62"/>
      <x:c r="L304" s="62"/>
      <x:c r="M304" s="68"/>
      <x:c r="N304" s="68"/>
      <x:c r="O304" s="68"/>
      <x:c r="P304" s="71" t="str">
        <x:f>IF(A304="","",IF(N304&gt;0,N304,M304))</x:f>
      </x:c>
      <x:c r="Q304" s="72" t="n">
        <x:f>IF(A304="",0,IF(COUNTIF($A$5:A304,A304)=1,1,0))</x:f>
        <x:v>0</x:v>
      </x:c>
      <x:c r="R304" s="64" t="str">
        <x:f>IF(A304="","",IF(F304="C304成功",IF(AND(J304&lt;&gt;"",K304&lt;&gt;"",N304&gt;0),"有证据","缺C304证据"),IF(F304="C304发货确认中",IF(AND(J304&lt;&gt;"",K304&lt;&gt;""),"有证据","缺C304证据"),IF(F304="手动完结",IF(OR(L304&lt;&gt;"",O304&lt;&gt;"",S304&lt;&gt;""),"有记录","缺手工证据"),IF(OR(F304="卖出待补仓",F304="提交结果待确认",F304="异常待处理"),"持续跟踪","检查状态")))))</x:f>
      </x:c>
      <x:c r="T304" s="64" t="str">
        <x:f>IF(A304="","",IF(COUNTIF($A$5:$A$1204,A304)&gt;1,"重复",""))</x:f>
      </x:c>
      <x:c r="U304" s="64" t="str">
        <x:f>IF(A304="","",IF(T304="重复","检查重复",IF(OR(R304="有证据",R304="有记录",R304="持续跟踪"),"可追踪","检查")))</x:f>
      </x:c>
    </x:row>
    <x:row r="305">
      <x:c r="A305" s="62"/>
      <x:c r="B305" s="62"/>
      <x:c r="C305" s="62"/>
      <x:c r="D305" s="66"/>
      <x:c r="E305" s="68"/>
      <x:c r="F305" s="62"/>
      <x:c r="G305" s="62"/>
      <x:c r="H305" s="62"/>
      <x:c r="I305" s="62"/>
      <x:c r="J305" s="62"/>
      <x:c r="K305" s="62"/>
      <x:c r="L305" s="62"/>
      <x:c r="M305" s="68"/>
      <x:c r="N305" s="68"/>
      <x:c r="O305" s="68"/>
      <x:c r="P305" s="71" t="str">
        <x:f>IF(A305="","",IF(N305&gt;0,N305,M305))</x:f>
      </x:c>
      <x:c r="Q305" s="72" t="n">
        <x:f>IF(A305="",0,IF(COUNTIF($A$5:A305,A305)=1,1,0))</x:f>
        <x:v>0</x:v>
      </x:c>
      <x:c r="R305" s="64" t="str">
        <x:f>IF(A305="","",IF(F305="C305成功",IF(AND(J305&lt;&gt;"",K305&lt;&gt;"",N305&gt;0),"有证据","缺C305证据"),IF(F305="C305发货确认中",IF(AND(J305&lt;&gt;"",K305&lt;&gt;""),"有证据","缺C305证据"),IF(F305="手动完结",IF(OR(L305&lt;&gt;"",O305&lt;&gt;"",S305&lt;&gt;""),"有记录","缺手工证据"),IF(OR(F305="卖出待补仓",F305="提交结果待确认",F305="异常待处理"),"持续跟踪","检查状态")))))</x:f>
      </x:c>
      <x:c r="T305" s="64" t="str">
        <x:f>IF(A305="","",IF(COUNTIF($A$5:$A$1204,A305)&gt;1,"重复",""))</x:f>
      </x:c>
      <x:c r="U305" s="64" t="str">
        <x:f>IF(A305="","",IF(T305="重复","检查重复",IF(OR(R305="有证据",R305="有记录",R305="持续跟踪"),"可追踪","检查")))</x:f>
      </x:c>
    </x:row>
    <x:row r="306">
      <x:c r="A306" s="62"/>
      <x:c r="B306" s="62"/>
      <x:c r="C306" s="62"/>
      <x:c r="D306" s="66"/>
      <x:c r="E306" s="68"/>
      <x:c r="F306" s="62"/>
      <x:c r="G306" s="62"/>
      <x:c r="H306" s="62"/>
      <x:c r="I306" s="62"/>
      <x:c r="J306" s="62"/>
      <x:c r="K306" s="62"/>
      <x:c r="L306" s="62"/>
      <x:c r="M306" s="68"/>
      <x:c r="N306" s="68"/>
      <x:c r="O306" s="68"/>
      <x:c r="P306" s="71" t="str">
        <x:f>IF(A306="","",IF(N306&gt;0,N306,M306))</x:f>
      </x:c>
      <x:c r="Q306" s="72" t="n">
        <x:f>IF(A306="",0,IF(COUNTIF($A$5:A306,A306)=1,1,0))</x:f>
        <x:v>0</x:v>
      </x:c>
      <x:c r="R306" s="64" t="str">
        <x:f>IF(A306="","",IF(F306="C306成功",IF(AND(J306&lt;&gt;"",K306&lt;&gt;"",N306&gt;0),"有证据","缺C306证据"),IF(F306="C306发货确认中",IF(AND(J306&lt;&gt;"",K306&lt;&gt;""),"有证据","缺C306证据"),IF(F306="手动完结",IF(OR(L306&lt;&gt;"",O306&lt;&gt;"",S306&lt;&gt;""),"有记录","缺手工证据"),IF(OR(F306="卖出待补仓",F306="提交结果待确认",F306="异常待处理"),"持续跟踪","检查状态")))))</x:f>
      </x:c>
      <x:c r="T306" s="64" t="str">
        <x:f>IF(A306="","",IF(COUNTIF($A$5:$A$1204,A306)&gt;1,"重复",""))</x:f>
      </x:c>
      <x:c r="U306" s="64" t="str">
        <x:f>IF(A306="","",IF(T306="重复","检查重复",IF(OR(R306="有证据",R306="有记录",R306="持续跟踪"),"可追踪","检查")))</x:f>
      </x:c>
    </x:row>
    <x:row r="307">
      <x:c r="A307" s="62"/>
      <x:c r="B307" s="62"/>
      <x:c r="C307" s="62"/>
      <x:c r="D307" s="66"/>
      <x:c r="E307" s="68"/>
      <x:c r="F307" s="62"/>
      <x:c r="G307" s="62"/>
      <x:c r="H307" s="62"/>
      <x:c r="I307" s="62"/>
      <x:c r="J307" s="62"/>
      <x:c r="K307" s="62"/>
      <x:c r="L307" s="62"/>
      <x:c r="M307" s="68"/>
      <x:c r="N307" s="68"/>
      <x:c r="O307" s="68"/>
      <x:c r="P307" s="71" t="str">
        <x:f>IF(A307="","",IF(N307&gt;0,N307,M307))</x:f>
      </x:c>
      <x:c r="Q307" s="72" t="n">
        <x:f>IF(A307="",0,IF(COUNTIF($A$5:A307,A307)=1,1,0))</x:f>
        <x:v>0</x:v>
      </x:c>
      <x:c r="R307" s="64" t="str">
        <x:f>IF(A307="","",IF(F307="C307成功",IF(AND(J307&lt;&gt;"",K307&lt;&gt;"",N307&gt;0),"有证据","缺C307证据"),IF(F307="C307发货确认中",IF(AND(J307&lt;&gt;"",K307&lt;&gt;""),"有证据","缺C307证据"),IF(F307="手动完结",IF(OR(L307&lt;&gt;"",O307&lt;&gt;"",S307&lt;&gt;""),"有记录","缺手工证据"),IF(OR(F307="卖出待补仓",F307="提交结果待确认",F307="异常待处理"),"持续跟踪","检查状态")))))</x:f>
      </x:c>
      <x:c r="T307" s="64" t="str">
        <x:f>IF(A307="","",IF(COUNTIF($A$5:$A$1204,A307)&gt;1,"重复",""))</x:f>
      </x:c>
      <x:c r="U307" s="64" t="str">
        <x:f>IF(A307="","",IF(T307="重复","检查重复",IF(OR(R307="有证据",R307="有记录",R307="持续跟踪"),"可追踪","检查")))</x:f>
      </x:c>
    </x:row>
    <x:row r="308">
      <x:c r="A308" s="62"/>
      <x:c r="B308" s="62"/>
      <x:c r="C308" s="62"/>
      <x:c r="D308" s="66"/>
      <x:c r="E308" s="68"/>
      <x:c r="F308" s="62"/>
      <x:c r="G308" s="62"/>
      <x:c r="H308" s="62"/>
      <x:c r="I308" s="62"/>
      <x:c r="J308" s="62"/>
      <x:c r="K308" s="62"/>
      <x:c r="L308" s="62"/>
      <x:c r="M308" s="68"/>
      <x:c r="N308" s="68"/>
      <x:c r="O308" s="68"/>
      <x:c r="P308" s="71" t="str">
        <x:f>IF(A308="","",IF(N308&gt;0,N308,M308))</x:f>
      </x:c>
      <x:c r="Q308" s="72" t="n">
        <x:f>IF(A308="",0,IF(COUNTIF($A$5:A308,A308)=1,1,0))</x:f>
        <x:v>0</x:v>
      </x:c>
      <x:c r="R308" s="64" t="str">
        <x:f>IF(A308="","",IF(F308="C308成功",IF(AND(J308&lt;&gt;"",K308&lt;&gt;"",N308&gt;0),"有证据","缺C308证据"),IF(F308="C308发货确认中",IF(AND(J308&lt;&gt;"",K308&lt;&gt;""),"有证据","缺C308证据"),IF(F308="手动完结",IF(OR(L308&lt;&gt;"",O308&lt;&gt;"",S308&lt;&gt;""),"有记录","缺手工证据"),IF(OR(F308="卖出待补仓",F308="提交结果待确认",F308="异常待处理"),"持续跟踪","检查状态")))))</x:f>
      </x:c>
      <x:c r="T308" s="64" t="str">
        <x:f>IF(A308="","",IF(COUNTIF($A$5:$A$1204,A308)&gt;1,"重复",""))</x:f>
      </x:c>
      <x:c r="U308" s="64" t="str">
        <x:f>IF(A308="","",IF(T308="重复","检查重复",IF(OR(R308="有证据",R308="有记录",R308="持续跟踪"),"可追踪","检查")))</x:f>
      </x:c>
    </x:row>
    <x:row r="309">
      <x:c r="A309" s="62"/>
      <x:c r="B309" s="62"/>
      <x:c r="C309" s="62"/>
      <x:c r="D309" s="66"/>
      <x:c r="E309" s="68"/>
      <x:c r="F309" s="62"/>
      <x:c r="G309" s="62"/>
      <x:c r="H309" s="62"/>
      <x:c r="I309" s="62"/>
      <x:c r="J309" s="62"/>
      <x:c r="K309" s="62"/>
      <x:c r="L309" s="62"/>
      <x:c r="M309" s="68"/>
      <x:c r="N309" s="68"/>
      <x:c r="O309" s="68"/>
      <x:c r="P309" s="71" t="str">
        <x:f>IF(A309="","",IF(N309&gt;0,N309,M309))</x:f>
      </x:c>
      <x:c r="Q309" s="72" t="n">
        <x:f>IF(A309="",0,IF(COUNTIF($A$5:A309,A309)=1,1,0))</x:f>
        <x:v>0</x:v>
      </x:c>
      <x:c r="R309" s="64" t="str">
        <x:f>IF(A309="","",IF(F309="C309成功",IF(AND(J309&lt;&gt;"",K309&lt;&gt;"",N309&gt;0),"有证据","缺C309证据"),IF(F309="C309发货确认中",IF(AND(J309&lt;&gt;"",K309&lt;&gt;""),"有证据","缺C309证据"),IF(F309="手动完结",IF(OR(L309&lt;&gt;"",O309&lt;&gt;"",S309&lt;&gt;""),"有记录","缺手工证据"),IF(OR(F309="卖出待补仓",F309="提交结果待确认",F309="异常待处理"),"持续跟踪","检查状态")))))</x:f>
      </x:c>
      <x:c r="T309" s="64" t="str">
        <x:f>IF(A309="","",IF(COUNTIF($A$5:$A$1204,A309)&gt;1,"重复",""))</x:f>
      </x:c>
      <x:c r="U309" s="64" t="str">
        <x:f>IF(A309="","",IF(T309="重复","检查重复",IF(OR(R309="有证据",R309="有记录",R309="持续跟踪"),"可追踪","检查")))</x:f>
      </x:c>
    </x:row>
    <x:row r="310">
      <x:c r="A310" s="62"/>
      <x:c r="B310" s="62"/>
      <x:c r="C310" s="62"/>
      <x:c r="D310" s="66"/>
      <x:c r="E310" s="68"/>
      <x:c r="F310" s="62"/>
      <x:c r="G310" s="62"/>
      <x:c r="H310" s="62"/>
      <x:c r="I310" s="62"/>
      <x:c r="J310" s="62"/>
      <x:c r="K310" s="62"/>
      <x:c r="L310" s="62"/>
      <x:c r="M310" s="68"/>
      <x:c r="N310" s="68"/>
      <x:c r="O310" s="68"/>
      <x:c r="P310" s="71" t="str">
        <x:f>IF(A310="","",IF(N310&gt;0,N310,M310))</x:f>
      </x:c>
      <x:c r="Q310" s="72" t="n">
        <x:f>IF(A310="",0,IF(COUNTIF($A$5:A310,A310)=1,1,0))</x:f>
        <x:v>0</x:v>
      </x:c>
      <x:c r="R310" s="64" t="str">
        <x:f>IF(A310="","",IF(F310="C310成功",IF(AND(J310&lt;&gt;"",K310&lt;&gt;"",N310&gt;0),"有证据","缺C310证据"),IF(F310="C310发货确认中",IF(AND(J310&lt;&gt;"",K310&lt;&gt;""),"有证据","缺C310证据"),IF(F310="手动完结",IF(OR(L310&lt;&gt;"",O310&lt;&gt;"",S310&lt;&gt;""),"有记录","缺手工证据"),IF(OR(F310="卖出待补仓",F310="提交结果待确认",F310="异常待处理"),"持续跟踪","检查状态")))))</x:f>
      </x:c>
      <x:c r="T310" s="64" t="str">
        <x:f>IF(A310="","",IF(COUNTIF($A$5:$A$1204,A310)&gt;1,"重复",""))</x:f>
      </x:c>
      <x:c r="U310" s="64" t="str">
        <x:f>IF(A310="","",IF(T310="重复","检查重复",IF(OR(R310="有证据",R310="有记录",R310="持续跟踪"),"可追踪","检查")))</x:f>
      </x:c>
    </x:row>
    <x:row r="311">
      <x:c r="A311" s="62"/>
      <x:c r="B311" s="62"/>
      <x:c r="C311" s="62"/>
      <x:c r="D311" s="66"/>
      <x:c r="E311" s="68"/>
      <x:c r="F311" s="62"/>
      <x:c r="G311" s="62"/>
      <x:c r="H311" s="62"/>
      <x:c r="I311" s="62"/>
      <x:c r="J311" s="62"/>
      <x:c r="K311" s="62"/>
      <x:c r="L311" s="62"/>
      <x:c r="M311" s="68"/>
      <x:c r="N311" s="68"/>
      <x:c r="O311" s="68"/>
      <x:c r="P311" s="71" t="str">
        <x:f>IF(A311="","",IF(N311&gt;0,N311,M311))</x:f>
      </x:c>
      <x:c r="Q311" s="72" t="n">
        <x:f>IF(A311="",0,IF(COUNTIF($A$5:A311,A311)=1,1,0))</x:f>
        <x:v>0</x:v>
      </x:c>
      <x:c r="R311" s="64" t="str">
        <x:f>IF(A311="","",IF(F311="C311成功",IF(AND(J311&lt;&gt;"",K311&lt;&gt;"",N311&gt;0),"有证据","缺C311证据"),IF(F311="C311发货确认中",IF(AND(J311&lt;&gt;"",K311&lt;&gt;""),"有证据","缺C311证据"),IF(F311="手动完结",IF(OR(L311&lt;&gt;"",O311&lt;&gt;"",S311&lt;&gt;""),"有记录","缺手工证据"),IF(OR(F311="卖出待补仓",F311="提交结果待确认",F311="异常待处理"),"持续跟踪","检查状态")))))</x:f>
      </x:c>
      <x:c r="T311" s="64" t="str">
        <x:f>IF(A311="","",IF(COUNTIF($A$5:$A$1204,A311)&gt;1,"重复",""))</x:f>
      </x:c>
      <x:c r="U311" s="64" t="str">
        <x:f>IF(A311="","",IF(T311="重复","检查重复",IF(OR(R311="有证据",R311="有记录",R311="持续跟踪"),"可追踪","检查")))</x:f>
      </x:c>
    </x:row>
    <x:row r="312">
      <x:c r="A312" s="62"/>
      <x:c r="B312" s="62"/>
      <x:c r="C312" s="62"/>
      <x:c r="D312" s="66"/>
      <x:c r="E312" s="68"/>
      <x:c r="F312" s="62"/>
      <x:c r="G312" s="62"/>
      <x:c r="H312" s="62"/>
      <x:c r="I312" s="62"/>
      <x:c r="J312" s="62"/>
      <x:c r="K312" s="62"/>
      <x:c r="L312" s="62"/>
      <x:c r="M312" s="68"/>
      <x:c r="N312" s="68"/>
      <x:c r="O312" s="68"/>
      <x:c r="P312" s="71" t="str">
        <x:f>IF(A312="","",IF(N312&gt;0,N312,M312))</x:f>
      </x:c>
      <x:c r="Q312" s="72" t="n">
        <x:f>IF(A312="",0,IF(COUNTIF($A$5:A312,A312)=1,1,0))</x:f>
        <x:v>0</x:v>
      </x:c>
      <x:c r="R312" s="64" t="str">
        <x:f>IF(A312="","",IF(F312="C312成功",IF(AND(J312&lt;&gt;"",K312&lt;&gt;"",N312&gt;0),"有证据","缺C312证据"),IF(F312="C312发货确认中",IF(AND(J312&lt;&gt;"",K312&lt;&gt;""),"有证据","缺C312证据"),IF(F312="手动完结",IF(OR(L312&lt;&gt;"",O312&lt;&gt;"",S312&lt;&gt;""),"有记录","缺手工证据"),IF(OR(F312="卖出待补仓",F312="提交结果待确认",F312="异常待处理"),"持续跟踪","检查状态")))))</x:f>
      </x:c>
      <x:c r="T312" s="64" t="str">
        <x:f>IF(A312="","",IF(COUNTIF($A$5:$A$1204,A312)&gt;1,"重复",""))</x:f>
      </x:c>
      <x:c r="U312" s="64" t="str">
        <x:f>IF(A312="","",IF(T312="重复","检查重复",IF(OR(R312="有证据",R312="有记录",R312="持续跟踪"),"可追踪","检查")))</x:f>
      </x:c>
    </x:row>
    <x:row r="313">
      <x:c r="A313" s="62"/>
      <x:c r="B313" s="62"/>
      <x:c r="C313" s="62"/>
      <x:c r="D313" s="66"/>
      <x:c r="E313" s="68"/>
      <x:c r="F313" s="62"/>
      <x:c r="G313" s="62"/>
      <x:c r="H313" s="62"/>
      <x:c r="I313" s="62"/>
      <x:c r="J313" s="62"/>
      <x:c r="K313" s="62"/>
      <x:c r="L313" s="62"/>
      <x:c r="M313" s="68"/>
      <x:c r="N313" s="68"/>
      <x:c r="O313" s="68"/>
      <x:c r="P313" s="71" t="str">
        <x:f>IF(A313="","",IF(N313&gt;0,N313,M313))</x:f>
      </x:c>
      <x:c r="Q313" s="72" t="n">
        <x:f>IF(A313="",0,IF(COUNTIF($A$5:A313,A313)=1,1,0))</x:f>
        <x:v>0</x:v>
      </x:c>
      <x:c r="R313" s="64" t="str">
        <x:f>IF(A313="","",IF(F313="C313成功",IF(AND(J313&lt;&gt;"",K313&lt;&gt;"",N313&gt;0),"有证据","缺C313证据"),IF(F313="C313发货确认中",IF(AND(J313&lt;&gt;"",K313&lt;&gt;""),"有证据","缺C313证据"),IF(F313="手动完结",IF(OR(L313&lt;&gt;"",O313&lt;&gt;"",S313&lt;&gt;""),"有记录","缺手工证据"),IF(OR(F313="卖出待补仓",F313="提交结果待确认",F313="异常待处理"),"持续跟踪","检查状态")))))</x:f>
      </x:c>
      <x:c r="T313" s="64" t="str">
        <x:f>IF(A313="","",IF(COUNTIF($A$5:$A$1204,A313)&gt;1,"重复",""))</x:f>
      </x:c>
      <x:c r="U313" s="64" t="str">
        <x:f>IF(A313="","",IF(T313="重复","检查重复",IF(OR(R313="有证据",R313="有记录",R313="持续跟踪"),"可追踪","检查")))</x:f>
      </x:c>
    </x:row>
    <x:row r="314">
      <x:c r="A314" s="62"/>
      <x:c r="B314" s="62"/>
      <x:c r="C314" s="62"/>
      <x:c r="D314" s="66"/>
      <x:c r="E314" s="68"/>
      <x:c r="F314" s="62"/>
      <x:c r="G314" s="62"/>
      <x:c r="H314" s="62"/>
      <x:c r="I314" s="62"/>
      <x:c r="J314" s="62"/>
      <x:c r="K314" s="62"/>
      <x:c r="L314" s="62"/>
      <x:c r="M314" s="68"/>
      <x:c r="N314" s="68"/>
      <x:c r="O314" s="68"/>
      <x:c r="P314" s="71" t="str">
        <x:f>IF(A314="","",IF(N314&gt;0,N314,M314))</x:f>
      </x:c>
      <x:c r="Q314" s="72" t="n">
        <x:f>IF(A314="",0,IF(COUNTIF($A$5:A314,A314)=1,1,0))</x:f>
        <x:v>0</x:v>
      </x:c>
      <x:c r="R314" s="64" t="str">
        <x:f>IF(A314="","",IF(F314="C314成功",IF(AND(J314&lt;&gt;"",K314&lt;&gt;"",N314&gt;0),"有证据","缺C314证据"),IF(F314="C314发货确认中",IF(AND(J314&lt;&gt;"",K314&lt;&gt;""),"有证据","缺C314证据"),IF(F314="手动完结",IF(OR(L314&lt;&gt;"",O314&lt;&gt;"",S314&lt;&gt;""),"有记录","缺手工证据"),IF(OR(F314="卖出待补仓",F314="提交结果待确认",F314="异常待处理"),"持续跟踪","检查状态")))))</x:f>
      </x:c>
      <x:c r="T314" s="64" t="str">
        <x:f>IF(A314="","",IF(COUNTIF($A$5:$A$1204,A314)&gt;1,"重复",""))</x:f>
      </x:c>
      <x:c r="U314" s="64" t="str">
        <x:f>IF(A314="","",IF(T314="重复","检查重复",IF(OR(R314="有证据",R314="有记录",R314="持续跟踪"),"可追踪","检查")))</x:f>
      </x:c>
    </x:row>
    <x:row r="315">
      <x:c r="A315" s="62"/>
      <x:c r="B315" s="62"/>
      <x:c r="C315" s="62"/>
      <x:c r="D315" s="66"/>
      <x:c r="E315" s="68"/>
      <x:c r="F315" s="62"/>
      <x:c r="G315" s="62"/>
      <x:c r="H315" s="62"/>
      <x:c r="I315" s="62"/>
      <x:c r="J315" s="62"/>
      <x:c r="K315" s="62"/>
      <x:c r="L315" s="62"/>
      <x:c r="M315" s="68"/>
      <x:c r="N315" s="68"/>
      <x:c r="O315" s="68"/>
      <x:c r="P315" s="71" t="str">
        <x:f>IF(A315="","",IF(N315&gt;0,N315,M315))</x:f>
      </x:c>
      <x:c r="Q315" s="72" t="n">
        <x:f>IF(A315="",0,IF(COUNTIF($A$5:A315,A315)=1,1,0))</x:f>
        <x:v>0</x:v>
      </x:c>
      <x:c r="R315" s="64" t="str">
        <x:f>IF(A315="","",IF(F315="C315成功",IF(AND(J315&lt;&gt;"",K315&lt;&gt;"",N315&gt;0),"有证据","缺C315证据"),IF(F315="C315发货确认中",IF(AND(J315&lt;&gt;"",K315&lt;&gt;""),"有证据","缺C315证据"),IF(F315="手动完结",IF(OR(L315&lt;&gt;"",O315&lt;&gt;"",S315&lt;&gt;""),"有记录","缺手工证据"),IF(OR(F315="卖出待补仓",F315="提交结果待确认",F315="异常待处理"),"持续跟踪","检查状态")))))</x:f>
      </x:c>
      <x:c r="T315" s="64" t="str">
        <x:f>IF(A315="","",IF(COUNTIF($A$5:$A$1204,A315)&gt;1,"重复",""))</x:f>
      </x:c>
      <x:c r="U315" s="64" t="str">
        <x:f>IF(A315="","",IF(T315="重复","检查重复",IF(OR(R315="有证据",R315="有记录",R315="持续跟踪"),"可追踪","检查")))</x:f>
      </x:c>
    </x:row>
    <x:row r="316">
      <x:c r="A316" s="62"/>
      <x:c r="B316" s="62"/>
      <x:c r="C316" s="62"/>
      <x:c r="D316" s="66"/>
      <x:c r="E316" s="68"/>
      <x:c r="F316" s="62"/>
      <x:c r="G316" s="62"/>
      <x:c r="H316" s="62"/>
      <x:c r="I316" s="62"/>
      <x:c r="J316" s="62"/>
      <x:c r="K316" s="62"/>
      <x:c r="L316" s="62"/>
      <x:c r="M316" s="68"/>
      <x:c r="N316" s="68"/>
      <x:c r="O316" s="68"/>
      <x:c r="P316" s="71" t="str">
        <x:f>IF(A316="","",IF(N316&gt;0,N316,M316))</x:f>
      </x:c>
      <x:c r="Q316" s="72" t="n">
        <x:f>IF(A316="",0,IF(COUNTIF($A$5:A316,A316)=1,1,0))</x:f>
        <x:v>0</x:v>
      </x:c>
      <x:c r="R316" s="64" t="str">
        <x:f>IF(A316="","",IF(F316="C316成功",IF(AND(J316&lt;&gt;"",K316&lt;&gt;"",N316&gt;0),"有证据","缺C316证据"),IF(F316="C316发货确认中",IF(AND(J316&lt;&gt;"",K316&lt;&gt;""),"有证据","缺C316证据"),IF(F316="手动完结",IF(OR(L316&lt;&gt;"",O316&lt;&gt;"",S316&lt;&gt;""),"有记录","缺手工证据"),IF(OR(F316="卖出待补仓",F316="提交结果待确认",F316="异常待处理"),"持续跟踪","检查状态")))))</x:f>
      </x:c>
      <x:c r="T316" s="64" t="str">
        <x:f>IF(A316="","",IF(COUNTIF($A$5:$A$1204,A316)&gt;1,"重复",""))</x:f>
      </x:c>
      <x:c r="U316" s="64" t="str">
        <x:f>IF(A316="","",IF(T316="重复","检查重复",IF(OR(R316="有证据",R316="有记录",R316="持续跟踪"),"可追踪","检查")))</x:f>
      </x:c>
    </x:row>
    <x:row r="317">
      <x:c r="A317" s="62"/>
      <x:c r="B317" s="62"/>
      <x:c r="C317" s="62"/>
      <x:c r="D317" s="66"/>
      <x:c r="E317" s="68"/>
      <x:c r="F317" s="62"/>
      <x:c r="G317" s="62"/>
      <x:c r="H317" s="62"/>
      <x:c r="I317" s="62"/>
      <x:c r="J317" s="62"/>
      <x:c r="K317" s="62"/>
      <x:c r="L317" s="62"/>
      <x:c r="M317" s="68"/>
      <x:c r="N317" s="68"/>
      <x:c r="O317" s="68"/>
      <x:c r="P317" s="71" t="str">
        <x:f>IF(A317="","",IF(N317&gt;0,N317,M317))</x:f>
      </x:c>
      <x:c r="Q317" s="72" t="n">
        <x:f>IF(A317="",0,IF(COUNTIF($A$5:A317,A317)=1,1,0))</x:f>
        <x:v>0</x:v>
      </x:c>
      <x:c r="R317" s="64" t="str">
        <x:f>IF(A317="","",IF(F317="C317成功",IF(AND(J317&lt;&gt;"",K317&lt;&gt;"",N317&gt;0),"有证据","缺C317证据"),IF(F317="C317发货确认中",IF(AND(J317&lt;&gt;"",K317&lt;&gt;""),"有证据","缺C317证据"),IF(F317="手动完结",IF(OR(L317&lt;&gt;"",O317&lt;&gt;"",S317&lt;&gt;""),"有记录","缺手工证据"),IF(OR(F317="卖出待补仓",F317="提交结果待确认",F317="异常待处理"),"持续跟踪","检查状态")))))</x:f>
      </x:c>
      <x:c r="T317" s="64" t="str">
        <x:f>IF(A317="","",IF(COUNTIF($A$5:$A$1204,A317)&gt;1,"重复",""))</x:f>
      </x:c>
      <x:c r="U317" s="64" t="str">
        <x:f>IF(A317="","",IF(T317="重复","检查重复",IF(OR(R317="有证据",R317="有记录",R317="持续跟踪"),"可追踪","检查")))</x:f>
      </x:c>
    </x:row>
    <x:row r="318">
      <x:c r="A318" s="62"/>
      <x:c r="B318" s="62"/>
      <x:c r="C318" s="62"/>
      <x:c r="D318" s="66"/>
      <x:c r="E318" s="68"/>
      <x:c r="F318" s="62"/>
      <x:c r="G318" s="62"/>
      <x:c r="H318" s="62"/>
      <x:c r="I318" s="62"/>
      <x:c r="J318" s="62"/>
      <x:c r="K318" s="62"/>
      <x:c r="L318" s="62"/>
      <x:c r="M318" s="68"/>
      <x:c r="N318" s="68"/>
      <x:c r="O318" s="68"/>
      <x:c r="P318" s="71" t="str">
        <x:f>IF(A318="","",IF(N318&gt;0,N318,M318))</x:f>
      </x:c>
      <x:c r="Q318" s="72" t="n">
        <x:f>IF(A318="",0,IF(COUNTIF($A$5:A318,A318)=1,1,0))</x:f>
        <x:v>0</x:v>
      </x:c>
      <x:c r="R318" s="64" t="str">
        <x:f>IF(A318="","",IF(F318="C318成功",IF(AND(J318&lt;&gt;"",K318&lt;&gt;"",N318&gt;0),"有证据","缺C318证据"),IF(F318="C318发货确认中",IF(AND(J318&lt;&gt;"",K318&lt;&gt;""),"有证据","缺C318证据"),IF(F318="手动完结",IF(OR(L318&lt;&gt;"",O318&lt;&gt;"",S318&lt;&gt;""),"有记录","缺手工证据"),IF(OR(F318="卖出待补仓",F318="提交结果待确认",F318="异常待处理"),"持续跟踪","检查状态")))))</x:f>
      </x:c>
      <x:c r="T318" s="64" t="str">
        <x:f>IF(A318="","",IF(COUNTIF($A$5:$A$1204,A318)&gt;1,"重复",""))</x:f>
      </x:c>
      <x:c r="U318" s="64" t="str">
        <x:f>IF(A318="","",IF(T318="重复","检查重复",IF(OR(R318="有证据",R318="有记录",R318="持续跟踪"),"可追踪","检查")))</x:f>
      </x:c>
    </x:row>
    <x:row r="319">
      <x:c r="A319" s="62"/>
      <x:c r="B319" s="62"/>
      <x:c r="C319" s="62"/>
      <x:c r="D319" s="66"/>
      <x:c r="E319" s="68"/>
      <x:c r="F319" s="62"/>
      <x:c r="G319" s="62"/>
      <x:c r="H319" s="62"/>
      <x:c r="I319" s="62"/>
      <x:c r="J319" s="62"/>
      <x:c r="K319" s="62"/>
      <x:c r="L319" s="62"/>
      <x:c r="M319" s="68"/>
      <x:c r="N319" s="68"/>
      <x:c r="O319" s="68"/>
      <x:c r="P319" s="71" t="str">
        <x:f>IF(A319="","",IF(N319&gt;0,N319,M319))</x:f>
      </x:c>
      <x:c r="Q319" s="72" t="n">
        <x:f>IF(A319="",0,IF(COUNTIF($A$5:A319,A319)=1,1,0))</x:f>
        <x:v>0</x:v>
      </x:c>
      <x:c r="R319" s="64" t="str">
        <x:f>IF(A319="","",IF(F319="C319成功",IF(AND(J319&lt;&gt;"",K319&lt;&gt;"",N319&gt;0),"有证据","缺C319证据"),IF(F319="C319发货确认中",IF(AND(J319&lt;&gt;"",K319&lt;&gt;""),"有证据","缺C319证据"),IF(F319="手动完结",IF(OR(L319&lt;&gt;"",O319&lt;&gt;"",S319&lt;&gt;""),"有记录","缺手工证据"),IF(OR(F319="卖出待补仓",F319="提交结果待确认",F319="异常待处理"),"持续跟踪","检查状态")))))</x:f>
      </x:c>
      <x:c r="T319" s="64" t="str">
        <x:f>IF(A319="","",IF(COUNTIF($A$5:$A$1204,A319)&gt;1,"重复",""))</x:f>
      </x:c>
      <x:c r="U319" s="64" t="str">
        <x:f>IF(A319="","",IF(T319="重复","检查重复",IF(OR(R319="有证据",R319="有记录",R319="持续跟踪"),"可追踪","检查")))</x:f>
      </x:c>
    </x:row>
    <x:row r="320">
      <x:c r="A320" s="62"/>
      <x:c r="B320" s="62"/>
      <x:c r="C320" s="62"/>
      <x:c r="D320" s="66"/>
      <x:c r="E320" s="68"/>
      <x:c r="F320" s="62"/>
      <x:c r="G320" s="62"/>
      <x:c r="H320" s="62"/>
      <x:c r="I320" s="62"/>
      <x:c r="J320" s="62"/>
      <x:c r="K320" s="62"/>
      <x:c r="L320" s="62"/>
      <x:c r="M320" s="68"/>
      <x:c r="N320" s="68"/>
      <x:c r="O320" s="68"/>
      <x:c r="P320" s="71" t="str">
        <x:f>IF(A320="","",IF(N320&gt;0,N320,M320))</x:f>
      </x:c>
      <x:c r="Q320" s="72" t="n">
        <x:f>IF(A320="",0,IF(COUNTIF($A$5:A320,A320)=1,1,0))</x:f>
        <x:v>0</x:v>
      </x:c>
      <x:c r="R320" s="64" t="str">
        <x:f>IF(A320="","",IF(F320="C320成功",IF(AND(J320&lt;&gt;"",K320&lt;&gt;"",N320&gt;0),"有证据","缺C320证据"),IF(F320="C320发货确认中",IF(AND(J320&lt;&gt;"",K320&lt;&gt;""),"有证据","缺C320证据"),IF(F320="手动完结",IF(OR(L320&lt;&gt;"",O320&lt;&gt;"",S320&lt;&gt;""),"有记录","缺手工证据"),IF(OR(F320="卖出待补仓",F320="提交结果待确认",F320="异常待处理"),"持续跟踪","检查状态")))))</x:f>
      </x:c>
      <x:c r="T320" s="64" t="str">
        <x:f>IF(A320="","",IF(COUNTIF($A$5:$A$1204,A320)&gt;1,"重复",""))</x:f>
      </x:c>
      <x:c r="U320" s="64" t="str">
        <x:f>IF(A320="","",IF(T320="重复","检查重复",IF(OR(R320="有证据",R320="有记录",R320="持续跟踪"),"可追踪","检查")))</x:f>
      </x:c>
    </x:row>
    <x:row r="321">
      <x:c r="A321" s="62"/>
      <x:c r="B321" s="62"/>
      <x:c r="C321" s="62"/>
      <x:c r="D321" s="66"/>
      <x:c r="E321" s="68"/>
      <x:c r="F321" s="62"/>
      <x:c r="G321" s="62"/>
      <x:c r="H321" s="62"/>
      <x:c r="I321" s="62"/>
      <x:c r="J321" s="62"/>
      <x:c r="K321" s="62"/>
      <x:c r="L321" s="62"/>
      <x:c r="M321" s="68"/>
      <x:c r="N321" s="68"/>
      <x:c r="O321" s="68"/>
      <x:c r="P321" s="71" t="str">
        <x:f>IF(A321="","",IF(N321&gt;0,N321,M321))</x:f>
      </x:c>
      <x:c r="Q321" s="72" t="n">
        <x:f>IF(A321="",0,IF(COUNTIF($A$5:A321,A321)=1,1,0))</x:f>
        <x:v>0</x:v>
      </x:c>
      <x:c r="R321" s="64" t="str">
        <x:f>IF(A321="","",IF(F321="C321成功",IF(AND(J321&lt;&gt;"",K321&lt;&gt;"",N321&gt;0),"有证据","缺C321证据"),IF(F321="C321发货确认中",IF(AND(J321&lt;&gt;"",K321&lt;&gt;""),"有证据","缺C321证据"),IF(F321="手动完结",IF(OR(L321&lt;&gt;"",O321&lt;&gt;"",S321&lt;&gt;""),"有记录","缺手工证据"),IF(OR(F321="卖出待补仓",F321="提交结果待确认",F321="异常待处理"),"持续跟踪","检查状态")))))</x:f>
      </x:c>
      <x:c r="T321" s="64" t="str">
        <x:f>IF(A321="","",IF(COUNTIF($A$5:$A$1204,A321)&gt;1,"重复",""))</x:f>
      </x:c>
      <x:c r="U321" s="64" t="str">
        <x:f>IF(A321="","",IF(T321="重复","检查重复",IF(OR(R321="有证据",R321="有记录",R321="持续跟踪"),"可追踪","检查")))</x:f>
      </x:c>
    </x:row>
    <x:row r="322">
      <x:c r="A322" s="62"/>
      <x:c r="B322" s="62"/>
      <x:c r="C322" s="62"/>
      <x:c r="D322" s="66"/>
      <x:c r="E322" s="68"/>
      <x:c r="F322" s="62"/>
      <x:c r="G322" s="62"/>
      <x:c r="H322" s="62"/>
      <x:c r="I322" s="62"/>
      <x:c r="J322" s="62"/>
      <x:c r="K322" s="62"/>
      <x:c r="L322" s="62"/>
      <x:c r="M322" s="68"/>
      <x:c r="N322" s="68"/>
      <x:c r="O322" s="68"/>
      <x:c r="P322" s="71" t="str">
        <x:f>IF(A322="","",IF(N322&gt;0,N322,M322))</x:f>
      </x:c>
      <x:c r="Q322" s="72" t="n">
        <x:f>IF(A322="",0,IF(COUNTIF($A$5:A322,A322)=1,1,0))</x:f>
        <x:v>0</x:v>
      </x:c>
      <x:c r="R322" s="64" t="str">
        <x:f>IF(A322="","",IF(F322="C322成功",IF(AND(J322&lt;&gt;"",K322&lt;&gt;"",N322&gt;0),"有证据","缺C322证据"),IF(F322="C322发货确认中",IF(AND(J322&lt;&gt;"",K322&lt;&gt;""),"有证据","缺C322证据"),IF(F322="手动完结",IF(OR(L322&lt;&gt;"",O322&lt;&gt;"",S322&lt;&gt;""),"有记录","缺手工证据"),IF(OR(F322="卖出待补仓",F322="提交结果待确认",F322="异常待处理"),"持续跟踪","检查状态")))))</x:f>
      </x:c>
      <x:c r="T322" s="64" t="str">
        <x:f>IF(A322="","",IF(COUNTIF($A$5:$A$1204,A322)&gt;1,"重复",""))</x:f>
      </x:c>
      <x:c r="U322" s="64" t="str">
        <x:f>IF(A322="","",IF(T322="重复","检查重复",IF(OR(R322="有证据",R322="有记录",R322="持续跟踪"),"可追踪","检查")))</x:f>
      </x:c>
    </x:row>
    <x:row r="323">
      <x:c r="A323" s="62"/>
      <x:c r="B323" s="62"/>
      <x:c r="C323" s="62"/>
      <x:c r="D323" s="66"/>
      <x:c r="E323" s="68"/>
      <x:c r="F323" s="62"/>
      <x:c r="G323" s="62"/>
      <x:c r="H323" s="62"/>
      <x:c r="I323" s="62"/>
      <x:c r="J323" s="62"/>
      <x:c r="K323" s="62"/>
      <x:c r="L323" s="62"/>
      <x:c r="M323" s="68"/>
      <x:c r="N323" s="68"/>
      <x:c r="O323" s="68"/>
      <x:c r="P323" s="71" t="str">
        <x:f>IF(A323="","",IF(N323&gt;0,N323,M323))</x:f>
      </x:c>
      <x:c r="Q323" s="72" t="n">
        <x:f>IF(A323="",0,IF(COUNTIF($A$5:A323,A323)=1,1,0))</x:f>
        <x:v>0</x:v>
      </x:c>
      <x:c r="R323" s="64" t="str">
        <x:f>IF(A323="","",IF(F323="C323成功",IF(AND(J323&lt;&gt;"",K323&lt;&gt;"",N323&gt;0),"有证据","缺C323证据"),IF(F323="C323发货确认中",IF(AND(J323&lt;&gt;"",K323&lt;&gt;""),"有证据","缺C323证据"),IF(F323="手动完结",IF(OR(L323&lt;&gt;"",O323&lt;&gt;"",S323&lt;&gt;""),"有记录","缺手工证据"),IF(OR(F323="卖出待补仓",F323="提交结果待确认",F323="异常待处理"),"持续跟踪","检查状态")))))</x:f>
      </x:c>
      <x:c r="T323" s="64" t="str">
        <x:f>IF(A323="","",IF(COUNTIF($A$5:$A$1204,A323)&gt;1,"重复",""))</x:f>
      </x:c>
      <x:c r="U323" s="64" t="str">
        <x:f>IF(A323="","",IF(T323="重复","检查重复",IF(OR(R323="有证据",R323="有记录",R323="持续跟踪"),"可追踪","检查")))</x:f>
      </x:c>
    </x:row>
    <x:row r="324">
      <x:c r="A324" s="62"/>
      <x:c r="B324" s="62"/>
      <x:c r="C324" s="62"/>
      <x:c r="D324" s="66"/>
      <x:c r="E324" s="68"/>
      <x:c r="F324" s="62"/>
      <x:c r="G324" s="62"/>
      <x:c r="H324" s="62"/>
      <x:c r="I324" s="62"/>
      <x:c r="J324" s="62"/>
      <x:c r="K324" s="62"/>
      <x:c r="L324" s="62"/>
      <x:c r="M324" s="68"/>
      <x:c r="N324" s="68"/>
      <x:c r="O324" s="68"/>
      <x:c r="P324" s="71" t="str">
        <x:f>IF(A324="","",IF(N324&gt;0,N324,M324))</x:f>
      </x:c>
      <x:c r="Q324" s="72" t="n">
        <x:f>IF(A324="",0,IF(COUNTIF($A$5:A324,A324)=1,1,0))</x:f>
        <x:v>0</x:v>
      </x:c>
      <x:c r="R324" s="64" t="str">
        <x:f>IF(A324="","",IF(F324="C324成功",IF(AND(J324&lt;&gt;"",K324&lt;&gt;"",N324&gt;0),"有证据","缺C324证据"),IF(F324="C324发货确认中",IF(AND(J324&lt;&gt;"",K324&lt;&gt;""),"有证据","缺C324证据"),IF(F324="手动完结",IF(OR(L324&lt;&gt;"",O324&lt;&gt;"",S324&lt;&gt;""),"有记录","缺手工证据"),IF(OR(F324="卖出待补仓",F324="提交结果待确认",F324="异常待处理"),"持续跟踪","检查状态")))))</x:f>
      </x:c>
      <x:c r="T324" s="64" t="str">
        <x:f>IF(A324="","",IF(COUNTIF($A$5:$A$1204,A324)&gt;1,"重复",""))</x:f>
      </x:c>
      <x:c r="U324" s="64" t="str">
        <x:f>IF(A324="","",IF(T324="重复","检查重复",IF(OR(R324="有证据",R324="有记录",R324="持续跟踪"),"可追踪","检查")))</x:f>
      </x:c>
    </x:row>
    <x:row r="325">
      <x:c r="A325" s="62"/>
      <x:c r="B325" s="62"/>
      <x:c r="C325" s="62"/>
      <x:c r="D325" s="66"/>
      <x:c r="E325" s="68"/>
      <x:c r="F325" s="62"/>
      <x:c r="G325" s="62"/>
      <x:c r="H325" s="62"/>
      <x:c r="I325" s="62"/>
      <x:c r="J325" s="62"/>
      <x:c r="K325" s="62"/>
      <x:c r="L325" s="62"/>
      <x:c r="M325" s="68"/>
      <x:c r="N325" s="68"/>
      <x:c r="O325" s="68"/>
      <x:c r="P325" s="71" t="str">
        <x:f>IF(A325="","",IF(N325&gt;0,N325,M325))</x:f>
      </x:c>
      <x:c r="Q325" s="72" t="n">
        <x:f>IF(A325="",0,IF(COUNTIF($A$5:A325,A325)=1,1,0))</x:f>
        <x:v>0</x:v>
      </x:c>
      <x:c r="R325" s="64" t="str">
        <x:f>IF(A325="","",IF(F325="C325成功",IF(AND(J325&lt;&gt;"",K325&lt;&gt;"",N325&gt;0),"有证据","缺C325证据"),IF(F325="C325发货确认中",IF(AND(J325&lt;&gt;"",K325&lt;&gt;""),"有证据","缺C325证据"),IF(F325="手动完结",IF(OR(L325&lt;&gt;"",O325&lt;&gt;"",S325&lt;&gt;""),"有记录","缺手工证据"),IF(OR(F325="卖出待补仓",F325="提交结果待确认",F325="异常待处理"),"持续跟踪","检查状态")))))</x:f>
      </x:c>
      <x:c r="T325" s="64" t="str">
        <x:f>IF(A325="","",IF(COUNTIF($A$5:$A$1204,A325)&gt;1,"重复",""))</x:f>
      </x:c>
      <x:c r="U325" s="64" t="str">
        <x:f>IF(A325="","",IF(T325="重复","检查重复",IF(OR(R325="有证据",R325="有记录",R325="持续跟踪"),"可追踪","检查")))</x:f>
      </x:c>
    </x:row>
    <x:row r="326">
      <x:c r="A326" s="62"/>
      <x:c r="B326" s="62"/>
      <x:c r="C326" s="62"/>
      <x:c r="D326" s="66"/>
      <x:c r="E326" s="68"/>
      <x:c r="F326" s="62"/>
      <x:c r="G326" s="62"/>
      <x:c r="H326" s="62"/>
      <x:c r="I326" s="62"/>
      <x:c r="J326" s="62"/>
      <x:c r="K326" s="62"/>
      <x:c r="L326" s="62"/>
      <x:c r="M326" s="68"/>
      <x:c r="N326" s="68"/>
      <x:c r="O326" s="68"/>
      <x:c r="P326" s="71" t="str">
        <x:f>IF(A326="","",IF(N326&gt;0,N326,M326))</x:f>
      </x:c>
      <x:c r="Q326" s="72" t="n">
        <x:f>IF(A326="",0,IF(COUNTIF($A$5:A326,A326)=1,1,0))</x:f>
        <x:v>0</x:v>
      </x:c>
      <x:c r="R326" s="64" t="str">
        <x:f>IF(A326="","",IF(F326="C326成功",IF(AND(J326&lt;&gt;"",K326&lt;&gt;"",N326&gt;0),"有证据","缺C326证据"),IF(F326="C326发货确认中",IF(AND(J326&lt;&gt;"",K326&lt;&gt;""),"有证据","缺C326证据"),IF(F326="手动完结",IF(OR(L326&lt;&gt;"",O326&lt;&gt;"",S326&lt;&gt;""),"有记录","缺手工证据"),IF(OR(F326="卖出待补仓",F326="提交结果待确认",F326="异常待处理"),"持续跟踪","检查状态")))))</x:f>
      </x:c>
      <x:c r="T326" s="64" t="str">
        <x:f>IF(A326="","",IF(COUNTIF($A$5:$A$1204,A326)&gt;1,"重复",""))</x:f>
      </x:c>
      <x:c r="U326" s="64" t="str">
        <x:f>IF(A326="","",IF(T326="重复","检查重复",IF(OR(R326="有证据",R326="有记录",R326="持续跟踪"),"可追踪","检查")))</x:f>
      </x:c>
    </x:row>
    <x:row r="327">
      <x:c r="A327" s="62"/>
      <x:c r="B327" s="62"/>
      <x:c r="C327" s="62"/>
      <x:c r="D327" s="66"/>
      <x:c r="E327" s="68"/>
      <x:c r="F327" s="62"/>
      <x:c r="G327" s="62"/>
      <x:c r="H327" s="62"/>
      <x:c r="I327" s="62"/>
      <x:c r="J327" s="62"/>
      <x:c r="K327" s="62"/>
      <x:c r="L327" s="62"/>
      <x:c r="M327" s="68"/>
      <x:c r="N327" s="68"/>
      <x:c r="O327" s="68"/>
      <x:c r="P327" s="71" t="str">
        <x:f>IF(A327="","",IF(N327&gt;0,N327,M327))</x:f>
      </x:c>
      <x:c r="Q327" s="72" t="n">
        <x:f>IF(A327="",0,IF(COUNTIF($A$5:A327,A327)=1,1,0))</x:f>
        <x:v>0</x:v>
      </x:c>
      <x:c r="R327" s="64" t="str">
        <x:f>IF(A327="","",IF(F327="C327成功",IF(AND(J327&lt;&gt;"",K327&lt;&gt;"",N327&gt;0),"有证据","缺C327证据"),IF(F327="C327发货确认中",IF(AND(J327&lt;&gt;"",K327&lt;&gt;""),"有证据","缺C327证据"),IF(F327="手动完结",IF(OR(L327&lt;&gt;"",O327&lt;&gt;"",S327&lt;&gt;""),"有记录","缺手工证据"),IF(OR(F327="卖出待补仓",F327="提交结果待确认",F327="异常待处理"),"持续跟踪","检查状态")))))</x:f>
      </x:c>
      <x:c r="T327" s="64" t="str">
        <x:f>IF(A327="","",IF(COUNTIF($A$5:$A$1204,A327)&gt;1,"重复",""))</x:f>
      </x:c>
      <x:c r="U327" s="64" t="str">
        <x:f>IF(A327="","",IF(T327="重复","检查重复",IF(OR(R327="有证据",R327="有记录",R327="持续跟踪"),"可追踪","检查")))</x:f>
      </x:c>
    </x:row>
    <x:row r="328">
      <x:c r="A328" s="62"/>
      <x:c r="B328" s="62"/>
      <x:c r="C328" s="62"/>
      <x:c r="D328" s="66"/>
      <x:c r="E328" s="68"/>
      <x:c r="F328" s="62"/>
      <x:c r="G328" s="62"/>
      <x:c r="H328" s="62"/>
      <x:c r="I328" s="62"/>
      <x:c r="J328" s="62"/>
      <x:c r="K328" s="62"/>
      <x:c r="L328" s="62"/>
      <x:c r="M328" s="68"/>
      <x:c r="N328" s="68"/>
      <x:c r="O328" s="68"/>
      <x:c r="P328" s="71" t="str">
        <x:f>IF(A328="","",IF(N328&gt;0,N328,M328))</x:f>
      </x:c>
      <x:c r="Q328" s="72" t="n">
        <x:f>IF(A328="",0,IF(COUNTIF($A$5:A328,A328)=1,1,0))</x:f>
        <x:v>0</x:v>
      </x:c>
      <x:c r="R328" s="64" t="str">
        <x:f>IF(A328="","",IF(F328="C328成功",IF(AND(J328&lt;&gt;"",K328&lt;&gt;"",N328&gt;0),"有证据","缺C328证据"),IF(F328="C328发货确认中",IF(AND(J328&lt;&gt;"",K328&lt;&gt;""),"有证据","缺C328证据"),IF(F328="手动完结",IF(OR(L328&lt;&gt;"",O328&lt;&gt;"",S328&lt;&gt;""),"有记录","缺手工证据"),IF(OR(F328="卖出待补仓",F328="提交结果待确认",F328="异常待处理"),"持续跟踪","检查状态")))))</x:f>
      </x:c>
      <x:c r="T328" s="64" t="str">
        <x:f>IF(A328="","",IF(COUNTIF($A$5:$A$1204,A328)&gt;1,"重复",""))</x:f>
      </x:c>
      <x:c r="U328" s="64" t="str">
        <x:f>IF(A328="","",IF(T328="重复","检查重复",IF(OR(R328="有证据",R328="有记录",R328="持续跟踪"),"可追踪","检查")))</x:f>
      </x:c>
    </x:row>
    <x:row r="329">
      <x:c r="A329" s="62"/>
      <x:c r="B329" s="62"/>
      <x:c r="C329" s="62"/>
      <x:c r="D329" s="66"/>
      <x:c r="E329" s="68"/>
      <x:c r="F329" s="62"/>
      <x:c r="G329" s="62"/>
      <x:c r="H329" s="62"/>
      <x:c r="I329" s="62"/>
      <x:c r="J329" s="62"/>
      <x:c r="K329" s="62"/>
      <x:c r="L329" s="62"/>
      <x:c r="M329" s="68"/>
      <x:c r="N329" s="68"/>
      <x:c r="O329" s="68"/>
      <x:c r="P329" s="71" t="str">
        <x:f>IF(A329="","",IF(N329&gt;0,N329,M329))</x:f>
      </x:c>
      <x:c r="Q329" s="72" t="n">
        <x:f>IF(A329="",0,IF(COUNTIF($A$5:A329,A329)=1,1,0))</x:f>
        <x:v>0</x:v>
      </x:c>
      <x:c r="R329" s="64" t="str">
        <x:f>IF(A329="","",IF(F329="C329成功",IF(AND(J329&lt;&gt;"",K329&lt;&gt;"",N329&gt;0),"有证据","缺C329证据"),IF(F329="C329发货确认中",IF(AND(J329&lt;&gt;"",K329&lt;&gt;""),"有证据","缺C329证据"),IF(F329="手动完结",IF(OR(L329&lt;&gt;"",O329&lt;&gt;"",S329&lt;&gt;""),"有记录","缺手工证据"),IF(OR(F329="卖出待补仓",F329="提交结果待确认",F329="异常待处理"),"持续跟踪","检查状态")))))</x:f>
      </x:c>
      <x:c r="T329" s="64" t="str">
        <x:f>IF(A329="","",IF(COUNTIF($A$5:$A$1204,A329)&gt;1,"重复",""))</x:f>
      </x:c>
      <x:c r="U329" s="64" t="str">
        <x:f>IF(A329="","",IF(T329="重复","检查重复",IF(OR(R329="有证据",R329="有记录",R329="持续跟踪"),"可追踪","检查")))</x:f>
      </x:c>
    </x:row>
    <x:row r="330">
      <x:c r="A330" s="62"/>
      <x:c r="B330" s="62"/>
      <x:c r="C330" s="62"/>
      <x:c r="D330" s="66"/>
      <x:c r="E330" s="68"/>
      <x:c r="F330" s="62"/>
      <x:c r="G330" s="62"/>
      <x:c r="H330" s="62"/>
      <x:c r="I330" s="62"/>
      <x:c r="J330" s="62"/>
      <x:c r="K330" s="62"/>
      <x:c r="L330" s="62"/>
      <x:c r="M330" s="68"/>
      <x:c r="N330" s="68"/>
      <x:c r="O330" s="68"/>
      <x:c r="P330" s="71" t="str">
        <x:f>IF(A330="","",IF(N330&gt;0,N330,M330))</x:f>
      </x:c>
      <x:c r="Q330" s="72" t="n">
        <x:f>IF(A330="",0,IF(COUNTIF($A$5:A330,A330)=1,1,0))</x:f>
        <x:v>0</x:v>
      </x:c>
      <x:c r="R330" s="64" t="str">
        <x:f>IF(A330="","",IF(F330="C330成功",IF(AND(J330&lt;&gt;"",K330&lt;&gt;"",N330&gt;0),"有证据","缺C330证据"),IF(F330="C330发货确认中",IF(AND(J330&lt;&gt;"",K330&lt;&gt;""),"有证据","缺C330证据"),IF(F330="手动完结",IF(OR(L330&lt;&gt;"",O330&lt;&gt;"",S330&lt;&gt;""),"有记录","缺手工证据"),IF(OR(F330="卖出待补仓",F330="提交结果待确认",F330="异常待处理"),"持续跟踪","检查状态")))))</x:f>
      </x:c>
      <x:c r="T330" s="64" t="str">
        <x:f>IF(A330="","",IF(COUNTIF($A$5:$A$1204,A330)&gt;1,"重复",""))</x:f>
      </x:c>
      <x:c r="U330" s="64" t="str">
        <x:f>IF(A330="","",IF(T330="重复","检查重复",IF(OR(R330="有证据",R330="有记录",R330="持续跟踪"),"可追踪","检查")))</x:f>
      </x:c>
    </x:row>
    <x:row r="331">
      <x:c r="A331" s="62"/>
      <x:c r="B331" s="62"/>
      <x:c r="C331" s="62"/>
      <x:c r="D331" s="66"/>
      <x:c r="E331" s="68"/>
      <x:c r="F331" s="62"/>
      <x:c r="G331" s="62"/>
      <x:c r="H331" s="62"/>
      <x:c r="I331" s="62"/>
      <x:c r="J331" s="62"/>
      <x:c r="K331" s="62"/>
      <x:c r="L331" s="62"/>
      <x:c r="M331" s="68"/>
      <x:c r="N331" s="68"/>
      <x:c r="O331" s="68"/>
      <x:c r="P331" s="71" t="str">
        <x:f>IF(A331="","",IF(N331&gt;0,N331,M331))</x:f>
      </x:c>
      <x:c r="Q331" s="72" t="n">
        <x:f>IF(A331="",0,IF(COUNTIF($A$5:A331,A331)=1,1,0))</x:f>
        <x:v>0</x:v>
      </x:c>
      <x:c r="R331" s="64" t="str">
        <x:f>IF(A331="","",IF(F331="C331成功",IF(AND(J331&lt;&gt;"",K331&lt;&gt;"",N331&gt;0),"有证据","缺C331证据"),IF(F331="C331发货确认中",IF(AND(J331&lt;&gt;"",K331&lt;&gt;""),"有证据","缺C331证据"),IF(F331="手动完结",IF(OR(L331&lt;&gt;"",O331&lt;&gt;"",S331&lt;&gt;""),"有记录","缺手工证据"),IF(OR(F331="卖出待补仓",F331="提交结果待确认",F331="异常待处理"),"持续跟踪","检查状态")))))</x:f>
      </x:c>
      <x:c r="T331" s="64" t="str">
        <x:f>IF(A331="","",IF(COUNTIF($A$5:$A$1204,A331)&gt;1,"重复",""))</x:f>
      </x:c>
      <x:c r="U331" s="64" t="str">
        <x:f>IF(A331="","",IF(T331="重复","检查重复",IF(OR(R331="有证据",R331="有记录",R331="持续跟踪"),"可追踪","检查")))</x:f>
      </x:c>
    </x:row>
    <x:row r="332">
      <x:c r="A332" s="62"/>
      <x:c r="B332" s="62"/>
      <x:c r="C332" s="62"/>
      <x:c r="D332" s="66"/>
      <x:c r="E332" s="68"/>
      <x:c r="F332" s="62"/>
      <x:c r="G332" s="62"/>
      <x:c r="H332" s="62"/>
      <x:c r="I332" s="62"/>
      <x:c r="J332" s="62"/>
      <x:c r="K332" s="62"/>
      <x:c r="L332" s="62"/>
      <x:c r="M332" s="68"/>
      <x:c r="N332" s="68"/>
      <x:c r="O332" s="68"/>
      <x:c r="P332" s="71" t="str">
        <x:f>IF(A332="","",IF(N332&gt;0,N332,M332))</x:f>
      </x:c>
      <x:c r="Q332" s="72" t="n">
        <x:f>IF(A332="",0,IF(COUNTIF($A$5:A332,A332)=1,1,0))</x:f>
        <x:v>0</x:v>
      </x:c>
      <x:c r="R332" s="64" t="str">
        <x:f>IF(A332="","",IF(F332="C332成功",IF(AND(J332&lt;&gt;"",K332&lt;&gt;"",N332&gt;0),"有证据","缺C332证据"),IF(F332="C332发货确认中",IF(AND(J332&lt;&gt;"",K332&lt;&gt;""),"有证据","缺C332证据"),IF(F332="手动完结",IF(OR(L332&lt;&gt;"",O332&lt;&gt;"",S332&lt;&gt;""),"有记录","缺手工证据"),IF(OR(F332="卖出待补仓",F332="提交结果待确认",F332="异常待处理"),"持续跟踪","检查状态")))))</x:f>
      </x:c>
      <x:c r="T332" s="64" t="str">
        <x:f>IF(A332="","",IF(COUNTIF($A$5:$A$1204,A332)&gt;1,"重复",""))</x:f>
      </x:c>
      <x:c r="U332" s="64" t="str">
        <x:f>IF(A332="","",IF(T332="重复","检查重复",IF(OR(R332="有证据",R332="有记录",R332="持续跟踪"),"可追踪","检查")))</x:f>
      </x:c>
    </x:row>
    <x:row r="333">
      <x:c r="A333" s="62"/>
      <x:c r="B333" s="62"/>
      <x:c r="C333" s="62"/>
      <x:c r="D333" s="66"/>
      <x:c r="E333" s="68"/>
      <x:c r="F333" s="62"/>
      <x:c r="G333" s="62"/>
      <x:c r="H333" s="62"/>
      <x:c r="I333" s="62"/>
      <x:c r="J333" s="62"/>
      <x:c r="K333" s="62"/>
      <x:c r="L333" s="62"/>
      <x:c r="M333" s="68"/>
      <x:c r="N333" s="68"/>
      <x:c r="O333" s="68"/>
      <x:c r="P333" s="71" t="str">
        <x:f>IF(A333="","",IF(N333&gt;0,N333,M333))</x:f>
      </x:c>
      <x:c r="Q333" s="72" t="n">
        <x:f>IF(A333="",0,IF(COUNTIF($A$5:A333,A333)=1,1,0))</x:f>
        <x:v>0</x:v>
      </x:c>
      <x:c r="R333" s="64" t="str">
        <x:f>IF(A333="","",IF(F333="C333成功",IF(AND(J333&lt;&gt;"",K333&lt;&gt;"",N333&gt;0),"有证据","缺C333证据"),IF(F333="C333发货确认中",IF(AND(J333&lt;&gt;"",K333&lt;&gt;""),"有证据","缺C333证据"),IF(F333="手动完结",IF(OR(L333&lt;&gt;"",O333&lt;&gt;"",S333&lt;&gt;""),"有记录","缺手工证据"),IF(OR(F333="卖出待补仓",F333="提交结果待确认",F333="异常待处理"),"持续跟踪","检查状态")))))</x:f>
      </x:c>
      <x:c r="T333" s="64" t="str">
        <x:f>IF(A333="","",IF(COUNTIF($A$5:$A$1204,A333)&gt;1,"重复",""))</x:f>
      </x:c>
      <x:c r="U333" s="64" t="str">
        <x:f>IF(A333="","",IF(T333="重复","检查重复",IF(OR(R333="有证据",R333="有记录",R333="持续跟踪"),"可追踪","检查")))</x:f>
      </x:c>
    </x:row>
    <x:row r="334">
      <x:c r="A334" s="62"/>
      <x:c r="B334" s="62"/>
      <x:c r="C334" s="62"/>
      <x:c r="D334" s="66"/>
      <x:c r="E334" s="68"/>
      <x:c r="F334" s="62"/>
      <x:c r="G334" s="62"/>
      <x:c r="H334" s="62"/>
      <x:c r="I334" s="62"/>
      <x:c r="J334" s="62"/>
      <x:c r="K334" s="62"/>
      <x:c r="L334" s="62"/>
      <x:c r="M334" s="68"/>
      <x:c r="N334" s="68"/>
      <x:c r="O334" s="68"/>
      <x:c r="P334" s="71" t="str">
        <x:f>IF(A334="","",IF(N334&gt;0,N334,M334))</x:f>
      </x:c>
      <x:c r="Q334" s="72" t="n">
        <x:f>IF(A334="",0,IF(COUNTIF($A$5:A334,A334)=1,1,0))</x:f>
        <x:v>0</x:v>
      </x:c>
      <x:c r="R334" s="64" t="str">
        <x:f>IF(A334="","",IF(F334="C334成功",IF(AND(J334&lt;&gt;"",K334&lt;&gt;"",N334&gt;0),"有证据","缺C334证据"),IF(F334="C334发货确认中",IF(AND(J334&lt;&gt;"",K334&lt;&gt;""),"有证据","缺C334证据"),IF(F334="手动完结",IF(OR(L334&lt;&gt;"",O334&lt;&gt;"",S334&lt;&gt;""),"有记录","缺手工证据"),IF(OR(F334="卖出待补仓",F334="提交结果待确认",F334="异常待处理"),"持续跟踪","检查状态")))))</x:f>
      </x:c>
      <x:c r="T334" s="64" t="str">
        <x:f>IF(A334="","",IF(COUNTIF($A$5:$A$1204,A334)&gt;1,"重复",""))</x:f>
      </x:c>
      <x:c r="U334" s="64" t="str">
        <x:f>IF(A334="","",IF(T334="重复","检查重复",IF(OR(R334="有证据",R334="有记录",R334="持续跟踪"),"可追踪","检查")))</x:f>
      </x:c>
    </x:row>
    <x:row r="335">
      <x:c r="A335" s="62"/>
      <x:c r="B335" s="62"/>
      <x:c r="C335" s="62"/>
      <x:c r="D335" s="66"/>
      <x:c r="E335" s="68"/>
      <x:c r="F335" s="62"/>
      <x:c r="G335" s="62"/>
      <x:c r="H335" s="62"/>
      <x:c r="I335" s="62"/>
      <x:c r="J335" s="62"/>
      <x:c r="K335" s="62"/>
      <x:c r="L335" s="62"/>
      <x:c r="M335" s="68"/>
      <x:c r="N335" s="68"/>
      <x:c r="O335" s="68"/>
      <x:c r="P335" s="71" t="str">
        <x:f>IF(A335="","",IF(N335&gt;0,N335,M335))</x:f>
      </x:c>
      <x:c r="Q335" s="72" t="n">
        <x:f>IF(A335="",0,IF(COUNTIF($A$5:A335,A335)=1,1,0))</x:f>
        <x:v>0</x:v>
      </x:c>
      <x:c r="R335" s="64" t="str">
        <x:f>IF(A335="","",IF(F335="C335成功",IF(AND(J335&lt;&gt;"",K335&lt;&gt;"",N335&gt;0),"有证据","缺C335证据"),IF(F335="C335发货确认中",IF(AND(J335&lt;&gt;"",K335&lt;&gt;""),"有证据","缺C335证据"),IF(F335="手动完结",IF(OR(L335&lt;&gt;"",O335&lt;&gt;"",S335&lt;&gt;""),"有记录","缺手工证据"),IF(OR(F335="卖出待补仓",F335="提交结果待确认",F335="异常待处理"),"持续跟踪","检查状态")))))</x:f>
      </x:c>
      <x:c r="T335" s="64" t="str">
        <x:f>IF(A335="","",IF(COUNTIF($A$5:$A$1204,A335)&gt;1,"重复",""))</x:f>
      </x:c>
      <x:c r="U335" s="64" t="str">
        <x:f>IF(A335="","",IF(T335="重复","检查重复",IF(OR(R335="有证据",R335="有记录",R335="持续跟踪"),"可追踪","检查")))</x:f>
      </x:c>
    </x:row>
    <x:row r="336">
      <x:c r="A336" s="62"/>
      <x:c r="B336" s="62"/>
      <x:c r="C336" s="62"/>
      <x:c r="D336" s="66"/>
      <x:c r="E336" s="68"/>
      <x:c r="F336" s="62"/>
      <x:c r="G336" s="62"/>
      <x:c r="H336" s="62"/>
      <x:c r="I336" s="62"/>
      <x:c r="J336" s="62"/>
      <x:c r="K336" s="62"/>
      <x:c r="L336" s="62"/>
      <x:c r="M336" s="68"/>
      <x:c r="N336" s="68"/>
      <x:c r="O336" s="68"/>
      <x:c r="P336" s="71" t="str">
        <x:f>IF(A336="","",IF(N336&gt;0,N336,M336))</x:f>
      </x:c>
      <x:c r="Q336" s="72" t="n">
        <x:f>IF(A336="",0,IF(COUNTIF($A$5:A336,A336)=1,1,0))</x:f>
        <x:v>0</x:v>
      </x:c>
      <x:c r="R336" s="64" t="str">
        <x:f>IF(A336="","",IF(F336="C336成功",IF(AND(J336&lt;&gt;"",K336&lt;&gt;"",N336&gt;0),"有证据","缺C336证据"),IF(F336="C336发货确认中",IF(AND(J336&lt;&gt;"",K336&lt;&gt;""),"有证据","缺C336证据"),IF(F336="手动完结",IF(OR(L336&lt;&gt;"",O336&lt;&gt;"",S336&lt;&gt;""),"有记录","缺手工证据"),IF(OR(F336="卖出待补仓",F336="提交结果待确认",F336="异常待处理"),"持续跟踪","检查状态")))))</x:f>
      </x:c>
      <x:c r="T336" s="64" t="str">
        <x:f>IF(A336="","",IF(COUNTIF($A$5:$A$1204,A336)&gt;1,"重复",""))</x:f>
      </x:c>
      <x:c r="U336" s="64" t="str">
        <x:f>IF(A336="","",IF(T336="重复","检查重复",IF(OR(R336="有证据",R336="有记录",R336="持续跟踪"),"可追踪","检查")))</x:f>
      </x:c>
    </x:row>
    <x:row r="337">
      <x:c r="A337" s="62"/>
      <x:c r="B337" s="62"/>
      <x:c r="C337" s="62"/>
      <x:c r="D337" s="66"/>
      <x:c r="E337" s="68"/>
      <x:c r="F337" s="62"/>
      <x:c r="G337" s="62"/>
      <x:c r="H337" s="62"/>
      <x:c r="I337" s="62"/>
      <x:c r="J337" s="62"/>
      <x:c r="K337" s="62"/>
      <x:c r="L337" s="62"/>
      <x:c r="M337" s="68"/>
      <x:c r="N337" s="68"/>
      <x:c r="O337" s="68"/>
      <x:c r="P337" s="71" t="str">
        <x:f>IF(A337="","",IF(N337&gt;0,N337,M337))</x:f>
      </x:c>
      <x:c r="Q337" s="72" t="n">
        <x:f>IF(A337="",0,IF(COUNTIF($A$5:A337,A337)=1,1,0))</x:f>
        <x:v>0</x:v>
      </x:c>
      <x:c r="R337" s="64" t="str">
        <x:f>IF(A337="","",IF(F337="C337成功",IF(AND(J337&lt;&gt;"",K337&lt;&gt;"",N337&gt;0),"有证据","缺C337证据"),IF(F337="C337发货确认中",IF(AND(J337&lt;&gt;"",K337&lt;&gt;""),"有证据","缺C337证据"),IF(F337="手动完结",IF(OR(L337&lt;&gt;"",O337&lt;&gt;"",S337&lt;&gt;""),"有记录","缺手工证据"),IF(OR(F337="卖出待补仓",F337="提交结果待确认",F337="异常待处理"),"持续跟踪","检查状态")))))</x:f>
      </x:c>
      <x:c r="T337" s="64" t="str">
        <x:f>IF(A337="","",IF(COUNTIF($A$5:$A$1204,A337)&gt;1,"重复",""))</x:f>
      </x:c>
      <x:c r="U337" s="64" t="str">
        <x:f>IF(A337="","",IF(T337="重复","检查重复",IF(OR(R337="有证据",R337="有记录",R337="持续跟踪"),"可追踪","检查")))</x:f>
      </x:c>
    </x:row>
    <x:row r="338">
      <x:c r="A338" s="62"/>
      <x:c r="B338" s="62"/>
      <x:c r="C338" s="62"/>
      <x:c r="D338" s="66"/>
      <x:c r="E338" s="68"/>
      <x:c r="F338" s="62"/>
      <x:c r="G338" s="62"/>
      <x:c r="H338" s="62"/>
      <x:c r="I338" s="62"/>
      <x:c r="J338" s="62"/>
      <x:c r="K338" s="62"/>
      <x:c r="L338" s="62"/>
      <x:c r="M338" s="68"/>
      <x:c r="N338" s="68"/>
      <x:c r="O338" s="68"/>
      <x:c r="P338" s="71" t="str">
        <x:f>IF(A338="","",IF(N338&gt;0,N338,M338))</x:f>
      </x:c>
      <x:c r="Q338" s="72" t="n">
        <x:f>IF(A338="",0,IF(COUNTIF($A$5:A338,A338)=1,1,0))</x:f>
        <x:v>0</x:v>
      </x:c>
      <x:c r="R338" s="64" t="str">
        <x:f>IF(A338="","",IF(F338="C338成功",IF(AND(J338&lt;&gt;"",K338&lt;&gt;"",N338&gt;0),"有证据","缺C338证据"),IF(F338="C338发货确认中",IF(AND(J338&lt;&gt;"",K338&lt;&gt;""),"有证据","缺C338证据"),IF(F338="手动完结",IF(OR(L338&lt;&gt;"",O338&lt;&gt;"",S338&lt;&gt;""),"有记录","缺手工证据"),IF(OR(F338="卖出待补仓",F338="提交结果待确认",F338="异常待处理"),"持续跟踪","检查状态")))))</x:f>
      </x:c>
      <x:c r="T338" s="64" t="str">
        <x:f>IF(A338="","",IF(COUNTIF($A$5:$A$1204,A338)&gt;1,"重复",""))</x:f>
      </x:c>
      <x:c r="U338" s="64" t="str">
        <x:f>IF(A338="","",IF(T338="重复","检查重复",IF(OR(R338="有证据",R338="有记录",R338="持续跟踪"),"可追踪","检查")))</x:f>
      </x:c>
    </x:row>
    <x:row r="339">
      <x:c r="A339" s="62"/>
      <x:c r="B339" s="62"/>
      <x:c r="C339" s="62"/>
      <x:c r="D339" s="66"/>
      <x:c r="E339" s="68"/>
      <x:c r="F339" s="62"/>
      <x:c r="G339" s="62"/>
      <x:c r="H339" s="62"/>
      <x:c r="I339" s="62"/>
      <x:c r="J339" s="62"/>
      <x:c r="K339" s="62"/>
      <x:c r="L339" s="62"/>
      <x:c r="M339" s="68"/>
      <x:c r="N339" s="68"/>
      <x:c r="O339" s="68"/>
      <x:c r="P339" s="71" t="str">
        <x:f>IF(A339="","",IF(N339&gt;0,N339,M339))</x:f>
      </x:c>
      <x:c r="Q339" s="72" t="n">
        <x:f>IF(A339="",0,IF(COUNTIF($A$5:A339,A339)=1,1,0))</x:f>
        <x:v>0</x:v>
      </x:c>
      <x:c r="R339" s="64" t="str">
        <x:f>IF(A339="","",IF(F339="C339成功",IF(AND(J339&lt;&gt;"",K339&lt;&gt;"",N339&gt;0),"有证据","缺C339证据"),IF(F339="C339发货确认中",IF(AND(J339&lt;&gt;"",K339&lt;&gt;""),"有证据","缺C339证据"),IF(F339="手动完结",IF(OR(L339&lt;&gt;"",O339&lt;&gt;"",S339&lt;&gt;""),"有记录","缺手工证据"),IF(OR(F339="卖出待补仓",F339="提交结果待确认",F339="异常待处理"),"持续跟踪","检查状态")))))</x:f>
      </x:c>
      <x:c r="T339" s="64" t="str">
        <x:f>IF(A339="","",IF(COUNTIF($A$5:$A$1204,A339)&gt;1,"重复",""))</x:f>
      </x:c>
      <x:c r="U339" s="64" t="str">
        <x:f>IF(A339="","",IF(T339="重复","检查重复",IF(OR(R339="有证据",R339="有记录",R339="持续跟踪"),"可追踪","检查")))</x:f>
      </x:c>
    </x:row>
    <x:row r="340">
      <x:c r="A340" s="62"/>
      <x:c r="B340" s="62"/>
      <x:c r="C340" s="62"/>
      <x:c r="D340" s="66"/>
      <x:c r="E340" s="68"/>
      <x:c r="F340" s="62"/>
      <x:c r="G340" s="62"/>
      <x:c r="H340" s="62"/>
      <x:c r="I340" s="62"/>
      <x:c r="J340" s="62"/>
      <x:c r="K340" s="62"/>
      <x:c r="L340" s="62"/>
      <x:c r="M340" s="68"/>
      <x:c r="N340" s="68"/>
      <x:c r="O340" s="68"/>
      <x:c r="P340" s="71" t="str">
        <x:f>IF(A340="","",IF(N340&gt;0,N340,M340))</x:f>
      </x:c>
      <x:c r="Q340" s="72" t="n">
        <x:f>IF(A340="",0,IF(COUNTIF($A$5:A340,A340)=1,1,0))</x:f>
        <x:v>0</x:v>
      </x:c>
      <x:c r="R340" s="64" t="str">
        <x:f>IF(A340="","",IF(F340="C340成功",IF(AND(J340&lt;&gt;"",K340&lt;&gt;"",N340&gt;0),"有证据","缺C340证据"),IF(F340="C340发货确认中",IF(AND(J340&lt;&gt;"",K340&lt;&gt;""),"有证据","缺C340证据"),IF(F340="手动完结",IF(OR(L340&lt;&gt;"",O340&lt;&gt;"",S340&lt;&gt;""),"有记录","缺手工证据"),IF(OR(F340="卖出待补仓",F340="提交结果待确认",F340="异常待处理"),"持续跟踪","检查状态")))))</x:f>
      </x:c>
      <x:c r="T340" s="64" t="str">
        <x:f>IF(A340="","",IF(COUNTIF($A$5:$A$1204,A340)&gt;1,"重复",""))</x:f>
      </x:c>
      <x:c r="U340" s="64" t="str">
        <x:f>IF(A340="","",IF(T340="重复","检查重复",IF(OR(R340="有证据",R340="有记录",R340="持续跟踪"),"可追踪","检查")))</x:f>
      </x:c>
    </x:row>
    <x:row r="341">
      <x:c r="A341" s="62"/>
      <x:c r="B341" s="62"/>
      <x:c r="C341" s="62"/>
      <x:c r="D341" s="66"/>
      <x:c r="E341" s="68"/>
      <x:c r="F341" s="62"/>
      <x:c r="G341" s="62"/>
      <x:c r="H341" s="62"/>
      <x:c r="I341" s="62"/>
      <x:c r="J341" s="62"/>
      <x:c r="K341" s="62"/>
      <x:c r="L341" s="62"/>
      <x:c r="M341" s="68"/>
      <x:c r="N341" s="68"/>
      <x:c r="O341" s="68"/>
      <x:c r="P341" s="71" t="str">
        <x:f>IF(A341="","",IF(N341&gt;0,N341,M341))</x:f>
      </x:c>
      <x:c r="Q341" s="72" t="n">
        <x:f>IF(A341="",0,IF(COUNTIF($A$5:A341,A341)=1,1,0))</x:f>
        <x:v>0</x:v>
      </x:c>
      <x:c r="R341" s="64" t="str">
        <x:f>IF(A341="","",IF(F341="C341成功",IF(AND(J341&lt;&gt;"",K341&lt;&gt;"",N341&gt;0),"有证据","缺C341证据"),IF(F341="C341发货确认中",IF(AND(J341&lt;&gt;"",K341&lt;&gt;""),"有证据","缺C341证据"),IF(F341="手动完结",IF(OR(L341&lt;&gt;"",O341&lt;&gt;"",S341&lt;&gt;""),"有记录","缺手工证据"),IF(OR(F341="卖出待补仓",F341="提交结果待确认",F341="异常待处理"),"持续跟踪","检查状态")))))</x:f>
      </x:c>
      <x:c r="T341" s="64" t="str">
        <x:f>IF(A341="","",IF(COUNTIF($A$5:$A$1204,A341)&gt;1,"重复",""))</x:f>
      </x:c>
      <x:c r="U341" s="64" t="str">
        <x:f>IF(A341="","",IF(T341="重复","检查重复",IF(OR(R341="有证据",R341="有记录",R341="持续跟踪"),"可追踪","检查")))</x:f>
      </x:c>
    </x:row>
    <x:row r="342">
      <x:c r="A342" s="62"/>
      <x:c r="B342" s="62"/>
      <x:c r="C342" s="62"/>
      <x:c r="D342" s="66"/>
      <x:c r="E342" s="68"/>
      <x:c r="F342" s="62"/>
      <x:c r="G342" s="62"/>
      <x:c r="H342" s="62"/>
      <x:c r="I342" s="62"/>
      <x:c r="J342" s="62"/>
      <x:c r="K342" s="62"/>
      <x:c r="L342" s="62"/>
      <x:c r="M342" s="68"/>
      <x:c r="N342" s="68"/>
      <x:c r="O342" s="68"/>
      <x:c r="P342" s="71" t="str">
        <x:f>IF(A342="","",IF(N342&gt;0,N342,M342))</x:f>
      </x:c>
      <x:c r="Q342" s="72" t="n">
        <x:f>IF(A342="",0,IF(COUNTIF($A$5:A342,A342)=1,1,0))</x:f>
        <x:v>0</x:v>
      </x:c>
      <x:c r="R342" s="64" t="str">
        <x:f>IF(A342="","",IF(F342="C342成功",IF(AND(J342&lt;&gt;"",K342&lt;&gt;"",N342&gt;0),"有证据","缺C342证据"),IF(F342="C342发货确认中",IF(AND(J342&lt;&gt;"",K342&lt;&gt;""),"有证据","缺C342证据"),IF(F342="手动完结",IF(OR(L342&lt;&gt;"",O342&lt;&gt;"",S342&lt;&gt;""),"有记录","缺手工证据"),IF(OR(F342="卖出待补仓",F342="提交结果待确认",F342="异常待处理"),"持续跟踪","检查状态")))))</x:f>
      </x:c>
      <x:c r="T342" s="64" t="str">
        <x:f>IF(A342="","",IF(COUNTIF($A$5:$A$1204,A342)&gt;1,"重复",""))</x:f>
      </x:c>
      <x:c r="U342" s="64" t="str">
        <x:f>IF(A342="","",IF(T342="重复","检查重复",IF(OR(R342="有证据",R342="有记录",R342="持续跟踪"),"可追踪","检查")))</x:f>
      </x:c>
    </x:row>
    <x:row r="343">
      <x:c r="A343" s="62"/>
      <x:c r="B343" s="62"/>
      <x:c r="C343" s="62"/>
      <x:c r="D343" s="66"/>
      <x:c r="E343" s="68"/>
      <x:c r="F343" s="62"/>
      <x:c r="G343" s="62"/>
      <x:c r="H343" s="62"/>
      <x:c r="I343" s="62"/>
      <x:c r="J343" s="62"/>
      <x:c r="K343" s="62"/>
      <x:c r="L343" s="62"/>
      <x:c r="M343" s="68"/>
      <x:c r="N343" s="68"/>
      <x:c r="O343" s="68"/>
      <x:c r="P343" s="71" t="str">
        <x:f>IF(A343="","",IF(N343&gt;0,N343,M343))</x:f>
      </x:c>
      <x:c r="Q343" s="72" t="n">
        <x:f>IF(A343="",0,IF(COUNTIF($A$5:A343,A343)=1,1,0))</x:f>
        <x:v>0</x:v>
      </x:c>
      <x:c r="R343" s="64" t="str">
        <x:f>IF(A343="","",IF(F343="C343成功",IF(AND(J343&lt;&gt;"",K343&lt;&gt;"",N343&gt;0),"有证据","缺C343证据"),IF(F343="C343发货确认中",IF(AND(J343&lt;&gt;"",K343&lt;&gt;""),"有证据","缺C343证据"),IF(F343="手动完结",IF(OR(L343&lt;&gt;"",O343&lt;&gt;"",S343&lt;&gt;""),"有记录","缺手工证据"),IF(OR(F343="卖出待补仓",F343="提交结果待确认",F343="异常待处理"),"持续跟踪","检查状态")))))</x:f>
      </x:c>
      <x:c r="T343" s="64" t="str">
        <x:f>IF(A343="","",IF(COUNTIF($A$5:$A$1204,A343)&gt;1,"重复",""))</x:f>
      </x:c>
      <x:c r="U343" s="64" t="str">
        <x:f>IF(A343="","",IF(T343="重复","检查重复",IF(OR(R343="有证据",R343="有记录",R343="持续跟踪"),"可追踪","检查")))</x:f>
      </x:c>
    </x:row>
    <x:row r="344">
      <x:c r="A344" s="62"/>
      <x:c r="B344" s="62"/>
      <x:c r="C344" s="62"/>
      <x:c r="D344" s="66"/>
      <x:c r="E344" s="68"/>
      <x:c r="F344" s="62"/>
      <x:c r="G344" s="62"/>
      <x:c r="H344" s="62"/>
      <x:c r="I344" s="62"/>
      <x:c r="J344" s="62"/>
      <x:c r="K344" s="62"/>
      <x:c r="L344" s="62"/>
      <x:c r="M344" s="68"/>
      <x:c r="N344" s="68"/>
      <x:c r="O344" s="68"/>
      <x:c r="P344" s="71" t="str">
        <x:f>IF(A344="","",IF(N344&gt;0,N344,M344))</x:f>
      </x:c>
      <x:c r="Q344" s="72" t="n">
        <x:f>IF(A344="",0,IF(COUNTIF($A$5:A344,A344)=1,1,0))</x:f>
        <x:v>0</x:v>
      </x:c>
      <x:c r="R344" s="64" t="str">
        <x:f>IF(A344="","",IF(F344="C344成功",IF(AND(J344&lt;&gt;"",K344&lt;&gt;"",N344&gt;0),"有证据","缺C344证据"),IF(F344="C344发货确认中",IF(AND(J344&lt;&gt;"",K344&lt;&gt;""),"有证据","缺C344证据"),IF(F344="手动完结",IF(OR(L344&lt;&gt;"",O344&lt;&gt;"",S344&lt;&gt;""),"有记录","缺手工证据"),IF(OR(F344="卖出待补仓",F344="提交结果待确认",F344="异常待处理"),"持续跟踪","检查状态")))))</x:f>
      </x:c>
      <x:c r="T344" s="64" t="str">
        <x:f>IF(A344="","",IF(COUNTIF($A$5:$A$1204,A344)&gt;1,"重复",""))</x:f>
      </x:c>
      <x:c r="U344" s="64" t="str">
        <x:f>IF(A344="","",IF(T344="重复","检查重复",IF(OR(R344="有证据",R344="有记录",R344="持续跟踪"),"可追踪","检查")))</x:f>
      </x:c>
    </x:row>
    <x:row r="345">
      <x:c r="A345" s="62"/>
      <x:c r="B345" s="62"/>
      <x:c r="C345" s="62"/>
      <x:c r="D345" s="66"/>
      <x:c r="E345" s="68"/>
      <x:c r="F345" s="62"/>
      <x:c r="G345" s="62"/>
      <x:c r="H345" s="62"/>
      <x:c r="I345" s="62"/>
      <x:c r="J345" s="62"/>
      <x:c r="K345" s="62"/>
      <x:c r="L345" s="62"/>
      <x:c r="M345" s="68"/>
      <x:c r="N345" s="68"/>
      <x:c r="O345" s="68"/>
      <x:c r="P345" s="71" t="str">
        <x:f>IF(A345="","",IF(N345&gt;0,N345,M345))</x:f>
      </x:c>
      <x:c r="Q345" s="72" t="n">
        <x:f>IF(A345="",0,IF(COUNTIF($A$5:A345,A345)=1,1,0))</x:f>
        <x:v>0</x:v>
      </x:c>
      <x:c r="R345" s="64" t="str">
        <x:f>IF(A345="","",IF(F345="C345成功",IF(AND(J345&lt;&gt;"",K345&lt;&gt;"",N345&gt;0),"有证据","缺C345证据"),IF(F345="C345发货确认中",IF(AND(J345&lt;&gt;"",K345&lt;&gt;""),"有证据","缺C345证据"),IF(F345="手动完结",IF(OR(L345&lt;&gt;"",O345&lt;&gt;"",S345&lt;&gt;""),"有记录","缺手工证据"),IF(OR(F345="卖出待补仓",F345="提交结果待确认",F345="异常待处理"),"持续跟踪","检查状态")))))</x:f>
      </x:c>
      <x:c r="T345" s="64" t="str">
        <x:f>IF(A345="","",IF(COUNTIF($A$5:$A$1204,A345)&gt;1,"重复",""))</x:f>
      </x:c>
      <x:c r="U345" s="64" t="str">
        <x:f>IF(A345="","",IF(T345="重复","检查重复",IF(OR(R345="有证据",R345="有记录",R345="持续跟踪"),"可追踪","检查")))</x:f>
      </x:c>
    </x:row>
    <x:row r="346">
      <x:c r="A346" s="62"/>
      <x:c r="B346" s="62"/>
      <x:c r="C346" s="62"/>
      <x:c r="D346" s="66"/>
      <x:c r="E346" s="68"/>
      <x:c r="F346" s="62"/>
      <x:c r="G346" s="62"/>
      <x:c r="H346" s="62"/>
      <x:c r="I346" s="62"/>
      <x:c r="J346" s="62"/>
      <x:c r="K346" s="62"/>
      <x:c r="L346" s="62"/>
      <x:c r="M346" s="68"/>
      <x:c r="N346" s="68"/>
      <x:c r="O346" s="68"/>
      <x:c r="P346" s="71" t="str">
        <x:f>IF(A346="","",IF(N346&gt;0,N346,M346))</x:f>
      </x:c>
      <x:c r="Q346" s="72" t="n">
        <x:f>IF(A346="",0,IF(COUNTIF($A$5:A346,A346)=1,1,0))</x:f>
        <x:v>0</x:v>
      </x:c>
      <x:c r="R346" s="64" t="str">
        <x:f>IF(A346="","",IF(F346="C346成功",IF(AND(J346&lt;&gt;"",K346&lt;&gt;"",N346&gt;0),"有证据","缺C346证据"),IF(F346="C346发货确认中",IF(AND(J346&lt;&gt;"",K346&lt;&gt;""),"有证据","缺C346证据"),IF(F346="手动完结",IF(OR(L346&lt;&gt;"",O346&lt;&gt;"",S346&lt;&gt;""),"有记录","缺手工证据"),IF(OR(F346="卖出待补仓",F346="提交结果待确认",F346="异常待处理"),"持续跟踪","检查状态")))))</x:f>
      </x:c>
      <x:c r="T346" s="64" t="str">
        <x:f>IF(A346="","",IF(COUNTIF($A$5:$A$1204,A346)&gt;1,"重复",""))</x:f>
      </x:c>
      <x:c r="U346" s="64" t="str">
        <x:f>IF(A346="","",IF(T346="重复","检查重复",IF(OR(R346="有证据",R346="有记录",R346="持续跟踪"),"可追踪","检查")))</x:f>
      </x:c>
    </x:row>
    <x:row r="347">
      <x:c r="A347" s="62"/>
      <x:c r="B347" s="62"/>
      <x:c r="C347" s="62"/>
      <x:c r="D347" s="66"/>
      <x:c r="E347" s="68"/>
      <x:c r="F347" s="62"/>
      <x:c r="G347" s="62"/>
      <x:c r="H347" s="62"/>
      <x:c r="I347" s="62"/>
      <x:c r="J347" s="62"/>
      <x:c r="K347" s="62"/>
      <x:c r="L347" s="62"/>
      <x:c r="M347" s="68"/>
      <x:c r="N347" s="68"/>
      <x:c r="O347" s="68"/>
      <x:c r="P347" s="71" t="str">
        <x:f>IF(A347="","",IF(N347&gt;0,N347,M347))</x:f>
      </x:c>
      <x:c r="Q347" s="72" t="n">
        <x:f>IF(A347="",0,IF(COUNTIF($A$5:A347,A347)=1,1,0))</x:f>
        <x:v>0</x:v>
      </x:c>
      <x:c r="R347" s="64" t="str">
        <x:f>IF(A347="","",IF(F347="C347成功",IF(AND(J347&lt;&gt;"",K347&lt;&gt;"",N347&gt;0),"有证据","缺C347证据"),IF(F347="C347发货确认中",IF(AND(J347&lt;&gt;"",K347&lt;&gt;""),"有证据","缺C347证据"),IF(F347="手动完结",IF(OR(L347&lt;&gt;"",O347&lt;&gt;"",S347&lt;&gt;""),"有记录","缺手工证据"),IF(OR(F347="卖出待补仓",F347="提交结果待确认",F347="异常待处理"),"持续跟踪","检查状态")))))</x:f>
      </x:c>
      <x:c r="T347" s="64" t="str">
        <x:f>IF(A347="","",IF(COUNTIF($A$5:$A$1204,A347)&gt;1,"重复",""))</x:f>
      </x:c>
      <x:c r="U347" s="64" t="str">
        <x:f>IF(A347="","",IF(T347="重复","检查重复",IF(OR(R347="有证据",R347="有记录",R347="持续跟踪"),"可追踪","检查")))</x:f>
      </x:c>
    </x:row>
    <x:row r="348">
      <x:c r="A348" s="62"/>
      <x:c r="B348" s="62"/>
      <x:c r="C348" s="62"/>
      <x:c r="D348" s="66"/>
      <x:c r="E348" s="68"/>
      <x:c r="F348" s="62"/>
      <x:c r="G348" s="62"/>
      <x:c r="H348" s="62"/>
      <x:c r="I348" s="62"/>
      <x:c r="J348" s="62"/>
      <x:c r="K348" s="62"/>
      <x:c r="L348" s="62"/>
      <x:c r="M348" s="68"/>
      <x:c r="N348" s="68"/>
      <x:c r="O348" s="68"/>
      <x:c r="P348" s="71" t="str">
        <x:f>IF(A348="","",IF(N348&gt;0,N348,M348))</x:f>
      </x:c>
      <x:c r="Q348" s="72" t="n">
        <x:f>IF(A348="",0,IF(COUNTIF($A$5:A348,A348)=1,1,0))</x:f>
        <x:v>0</x:v>
      </x:c>
      <x:c r="R348" s="64" t="str">
        <x:f>IF(A348="","",IF(F348="C348成功",IF(AND(J348&lt;&gt;"",K348&lt;&gt;"",N348&gt;0),"有证据","缺C348证据"),IF(F348="C348发货确认中",IF(AND(J348&lt;&gt;"",K348&lt;&gt;""),"有证据","缺C348证据"),IF(F348="手动完结",IF(OR(L348&lt;&gt;"",O348&lt;&gt;"",S348&lt;&gt;""),"有记录","缺手工证据"),IF(OR(F348="卖出待补仓",F348="提交结果待确认",F348="异常待处理"),"持续跟踪","检查状态")))))</x:f>
      </x:c>
      <x:c r="T348" s="64" t="str">
        <x:f>IF(A348="","",IF(COUNTIF($A$5:$A$1204,A348)&gt;1,"重复",""))</x:f>
      </x:c>
      <x:c r="U348" s="64" t="str">
        <x:f>IF(A348="","",IF(T348="重复","检查重复",IF(OR(R348="有证据",R348="有记录",R348="持续跟踪"),"可追踪","检查")))</x:f>
      </x:c>
    </x:row>
    <x:row r="349">
      <x:c r="A349" s="62"/>
      <x:c r="B349" s="62"/>
      <x:c r="C349" s="62"/>
      <x:c r="D349" s="66"/>
      <x:c r="E349" s="68"/>
      <x:c r="F349" s="62"/>
      <x:c r="G349" s="62"/>
      <x:c r="H349" s="62"/>
      <x:c r="I349" s="62"/>
      <x:c r="J349" s="62"/>
      <x:c r="K349" s="62"/>
      <x:c r="L349" s="62"/>
      <x:c r="M349" s="68"/>
      <x:c r="N349" s="68"/>
      <x:c r="O349" s="68"/>
      <x:c r="P349" s="71" t="str">
        <x:f>IF(A349="","",IF(N349&gt;0,N349,M349))</x:f>
      </x:c>
      <x:c r="Q349" s="72" t="n">
        <x:f>IF(A349="",0,IF(COUNTIF($A$5:A349,A349)=1,1,0))</x:f>
        <x:v>0</x:v>
      </x:c>
      <x:c r="R349" s="64" t="str">
        <x:f>IF(A349="","",IF(F349="C349成功",IF(AND(J349&lt;&gt;"",K349&lt;&gt;"",N349&gt;0),"有证据","缺C349证据"),IF(F349="C349发货确认中",IF(AND(J349&lt;&gt;"",K349&lt;&gt;""),"有证据","缺C349证据"),IF(F349="手动完结",IF(OR(L349&lt;&gt;"",O349&lt;&gt;"",S349&lt;&gt;""),"有记录","缺手工证据"),IF(OR(F349="卖出待补仓",F349="提交结果待确认",F349="异常待处理"),"持续跟踪","检查状态")))))</x:f>
      </x:c>
      <x:c r="T349" s="64" t="str">
        <x:f>IF(A349="","",IF(COUNTIF($A$5:$A$1204,A349)&gt;1,"重复",""))</x:f>
      </x:c>
      <x:c r="U349" s="64" t="str">
        <x:f>IF(A349="","",IF(T349="重复","检查重复",IF(OR(R349="有证据",R349="有记录",R349="持续跟踪"),"可追踪","检查")))</x:f>
      </x:c>
    </x:row>
    <x:row r="350">
      <x:c r="A350" s="62"/>
      <x:c r="B350" s="62"/>
      <x:c r="C350" s="62"/>
      <x:c r="D350" s="66"/>
      <x:c r="E350" s="68"/>
      <x:c r="F350" s="62"/>
      <x:c r="G350" s="62"/>
      <x:c r="H350" s="62"/>
      <x:c r="I350" s="62"/>
      <x:c r="J350" s="62"/>
      <x:c r="K350" s="62"/>
      <x:c r="L350" s="62"/>
      <x:c r="M350" s="68"/>
      <x:c r="N350" s="68"/>
      <x:c r="O350" s="68"/>
      <x:c r="P350" s="71" t="str">
        <x:f>IF(A350="","",IF(N350&gt;0,N350,M350))</x:f>
      </x:c>
      <x:c r="Q350" s="72" t="n">
        <x:f>IF(A350="",0,IF(COUNTIF($A$5:A350,A350)=1,1,0))</x:f>
        <x:v>0</x:v>
      </x:c>
      <x:c r="R350" s="64" t="str">
        <x:f>IF(A350="","",IF(F350="C350成功",IF(AND(J350&lt;&gt;"",K350&lt;&gt;"",N350&gt;0),"有证据","缺C350证据"),IF(F350="C350发货确认中",IF(AND(J350&lt;&gt;"",K350&lt;&gt;""),"有证据","缺C350证据"),IF(F350="手动完结",IF(OR(L350&lt;&gt;"",O350&lt;&gt;"",S350&lt;&gt;""),"有记录","缺手工证据"),IF(OR(F350="卖出待补仓",F350="提交结果待确认",F350="异常待处理"),"持续跟踪","检查状态")))))</x:f>
      </x:c>
      <x:c r="T350" s="64" t="str">
        <x:f>IF(A350="","",IF(COUNTIF($A$5:$A$1204,A350)&gt;1,"重复",""))</x:f>
      </x:c>
      <x:c r="U350" s="64" t="str">
        <x:f>IF(A350="","",IF(T350="重复","检查重复",IF(OR(R350="有证据",R350="有记录",R350="持续跟踪"),"可追踪","检查")))</x:f>
      </x:c>
    </x:row>
    <x:row r="351">
      <x:c r="A351" s="62"/>
      <x:c r="B351" s="62"/>
      <x:c r="C351" s="62"/>
      <x:c r="D351" s="66"/>
      <x:c r="E351" s="68"/>
      <x:c r="F351" s="62"/>
      <x:c r="G351" s="62"/>
      <x:c r="H351" s="62"/>
      <x:c r="I351" s="62"/>
      <x:c r="J351" s="62"/>
      <x:c r="K351" s="62"/>
      <x:c r="L351" s="62"/>
      <x:c r="M351" s="68"/>
      <x:c r="N351" s="68"/>
      <x:c r="O351" s="68"/>
      <x:c r="P351" s="71" t="str">
        <x:f>IF(A351="","",IF(N351&gt;0,N351,M351))</x:f>
      </x:c>
      <x:c r="Q351" s="72" t="n">
        <x:f>IF(A351="",0,IF(COUNTIF($A$5:A351,A351)=1,1,0))</x:f>
        <x:v>0</x:v>
      </x:c>
      <x:c r="R351" s="64" t="str">
        <x:f>IF(A351="","",IF(F351="C351成功",IF(AND(J351&lt;&gt;"",K351&lt;&gt;"",N351&gt;0),"有证据","缺C351证据"),IF(F351="C351发货确认中",IF(AND(J351&lt;&gt;"",K351&lt;&gt;""),"有证据","缺C351证据"),IF(F351="手动完结",IF(OR(L351&lt;&gt;"",O351&lt;&gt;"",S351&lt;&gt;""),"有记录","缺手工证据"),IF(OR(F351="卖出待补仓",F351="提交结果待确认",F351="异常待处理"),"持续跟踪","检查状态")))))</x:f>
      </x:c>
      <x:c r="T351" s="64" t="str">
        <x:f>IF(A351="","",IF(COUNTIF($A$5:$A$1204,A351)&gt;1,"重复",""))</x:f>
      </x:c>
      <x:c r="U351" s="64" t="str">
        <x:f>IF(A351="","",IF(T351="重复","检查重复",IF(OR(R351="有证据",R351="有记录",R351="持续跟踪"),"可追踪","检查")))</x:f>
      </x:c>
    </x:row>
    <x:row r="352">
      <x:c r="A352" s="62"/>
      <x:c r="B352" s="62"/>
      <x:c r="C352" s="62"/>
      <x:c r="D352" s="66"/>
      <x:c r="E352" s="68"/>
      <x:c r="F352" s="62"/>
      <x:c r="G352" s="62"/>
      <x:c r="H352" s="62"/>
      <x:c r="I352" s="62"/>
      <x:c r="J352" s="62"/>
      <x:c r="K352" s="62"/>
      <x:c r="L352" s="62"/>
      <x:c r="M352" s="68"/>
      <x:c r="N352" s="68"/>
      <x:c r="O352" s="68"/>
      <x:c r="P352" s="71" t="str">
        <x:f>IF(A352="","",IF(N352&gt;0,N352,M352))</x:f>
      </x:c>
      <x:c r="Q352" s="72" t="n">
        <x:f>IF(A352="",0,IF(COUNTIF($A$5:A352,A352)=1,1,0))</x:f>
        <x:v>0</x:v>
      </x:c>
      <x:c r="R352" s="64" t="str">
        <x:f>IF(A352="","",IF(F352="C352成功",IF(AND(J352&lt;&gt;"",K352&lt;&gt;"",N352&gt;0),"有证据","缺C352证据"),IF(F352="C352发货确认中",IF(AND(J352&lt;&gt;"",K352&lt;&gt;""),"有证据","缺C352证据"),IF(F352="手动完结",IF(OR(L352&lt;&gt;"",O352&lt;&gt;"",S352&lt;&gt;""),"有记录","缺手工证据"),IF(OR(F352="卖出待补仓",F352="提交结果待确认",F352="异常待处理"),"持续跟踪","检查状态")))))</x:f>
      </x:c>
      <x:c r="T352" s="64" t="str">
        <x:f>IF(A352="","",IF(COUNTIF($A$5:$A$1204,A352)&gt;1,"重复",""))</x:f>
      </x:c>
      <x:c r="U352" s="64" t="str">
        <x:f>IF(A352="","",IF(T352="重复","检查重复",IF(OR(R352="有证据",R352="有记录",R352="持续跟踪"),"可追踪","检查")))</x:f>
      </x:c>
    </x:row>
    <x:row r="353">
      <x:c r="A353" s="62"/>
      <x:c r="B353" s="62"/>
      <x:c r="C353" s="62"/>
      <x:c r="D353" s="66"/>
      <x:c r="E353" s="68"/>
      <x:c r="F353" s="62"/>
      <x:c r="G353" s="62"/>
      <x:c r="H353" s="62"/>
      <x:c r="I353" s="62"/>
      <x:c r="J353" s="62"/>
      <x:c r="K353" s="62"/>
      <x:c r="L353" s="62"/>
      <x:c r="M353" s="68"/>
      <x:c r="N353" s="68"/>
      <x:c r="O353" s="68"/>
      <x:c r="P353" s="71" t="str">
        <x:f>IF(A353="","",IF(N353&gt;0,N353,M353))</x:f>
      </x:c>
      <x:c r="Q353" s="72" t="n">
        <x:f>IF(A353="",0,IF(COUNTIF($A$5:A353,A353)=1,1,0))</x:f>
        <x:v>0</x:v>
      </x:c>
      <x:c r="R353" s="64" t="str">
        <x:f>IF(A353="","",IF(F353="C353成功",IF(AND(J353&lt;&gt;"",K353&lt;&gt;"",N353&gt;0),"有证据","缺C353证据"),IF(F353="C353发货确认中",IF(AND(J353&lt;&gt;"",K353&lt;&gt;""),"有证据","缺C353证据"),IF(F353="手动完结",IF(OR(L353&lt;&gt;"",O353&lt;&gt;"",S353&lt;&gt;""),"有记录","缺手工证据"),IF(OR(F353="卖出待补仓",F353="提交结果待确认",F353="异常待处理"),"持续跟踪","检查状态")))))</x:f>
      </x:c>
      <x:c r="T353" s="64" t="str">
        <x:f>IF(A353="","",IF(COUNTIF($A$5:$A$1204,A353)&gt;1,"重复",""))</x:f>
      </x:c>
      <x:c r="U353" s="64" t="str">
        <x:f>IF(A353="","",IF(T353="重复","检查重复",IF(OR(R353="有证据",R353="有记录",R353="持续跟踪"),"可追踪","检查")))</x:f>
      </x:c>
    </x:row>
    <x:row r="354">
      <x:c r="A354" s="62"/>
      <x:c r="B354" s="62"/>
      <x:c r="C354" s="62"/>
      <x:c r="D354" s="66"/>
      <x:c r="E354" s="68"/>
      <x:c r="F354" s="62"/>
      <x:c r="G354" s="62"/>
      <x:c r="H354" s="62"/>
      <x:c r="I354" s="62"/>
      <x:c r="J354" s="62"/>
      <x:c r="K354" s="62"/>
      <x:c r="L354" s="62"/>
      <x:c r="M354" s="68"/>
      <x:c r="N354" s="68"/>
      <x:c r="O354" s="68"/>
      <x:c r="P354" s="71" t="str">
        <x:f>IF(A354="","",IF(N354&gt;0,N354,M354))</x:f>
      </x:c>
      <x:c r="Q354" s="72" t="n">
        <x:f>IF(A354="",0,IF(COUNTIF($A$5:A354,A354)=1,1,0))</x:f>
        <x:v>0</x:v>
      </x:c>
      <x:c r="R354" s="64" t="str">
        <x:f>IF(A354="","",IF(F354="C354成功",IF(AND(J354&lt;&gt;"",K354&lt;&gt;"",N354&gt;0),"有证据","缺C354证据"),IF(F354="C354发货确认中",IF(AND(J354&lt;&gt;"",K354&lt;&gt;""),"有证据","缺C354证据"),IF(F354="手动完结",IF(OR(L354&lt;&gt;"",O354&lt;&gt;"",S354&lt;&gt;""),"有记录","缺手工证据"),IF(OR(F354="卖出待补仓",F354="提交结果待确认",F354="异常待处理"),"持续跟踪","检查状态")))))</x:f>
      </x:c>
      <x:c r="T354" s="64" t="str">
        <x:f>IF(A354="","",IF(COUNTIF($A$5:$A$1204,A354)&gt;1,"重复",""))</x:f>
      </x:c>
      <x:c r="U354" s="64" t="str">
        <x:f>IF(A354="","",IF(T354="重复","检查重复",IF(OR(R354="有证据",R354="有记录",R354="持续跟踪"),"可追踪","检查")))</x:f>
      </x:c>
    </x:row>
    <x:row r="355">
      <x:c r="A355" s="62"/>
      <x:c r="B355" s="62"/>
      <x:c r="C355" s="62"/>
      <x:c r="D355" s="66"/>
      <x:c r="E355" s="68"/>
      <x:c r="F355" s="62"/>
      <x:c r="G355" s="62"/>
      <x:c r="H355" s="62"/>
      <x:c r="I355" s="62"/>
      <x:c r="J355" s="62"/>
      <x:c r="K355" s="62"/>
      <x:c r="L355" s="62"/>
      <x:c r="M355" s="68"/>
      <x:c r="N355" s="68"/>
      <x:c r="O355" s="68"/>
      <x:c r="P355" s="71" t="str">
        <x:f>IF(A355="","",IF(N355&gt;0,N355,M355))</x:f>
      </x:c>
      <x:c r="Q355" s="72" t="n">
        <x:f>IF(A355="",0,IF(COUNTIF($A$5:A355,A355)=1,1,0))</x:f>
        <x:v>0</x:v>
      </x:c>
      <x:c r="R355" s="64" t="str">
        <x:f>IF(A355="","",IF(F355="C355成功",IF(AND(J355&lt;&gt;"",K355&lt;&gt;"",N355&gt;0),"有证据","缺C355证据"),IF(F355="C355发货确认中",IF(AND(J355&lt;&gt;"",K355&lt;&gt;""),"有证据","缺C355证据"),IF(F355="手动完结",IF(OR(L355&lt;&gt;"",O355&lt;&gt;"",S355&lt;&gt;""),"有记录","缺手工证据"),IF(OR(F355="卖出待补仓",F355="提交结果待确认",F355="异常待处理"),"持续跟踪","检查状态")))))</x:f>
      </x:c>
      <x:c r="T355" s="64" t="str">
        <x:f>IF(A355="","",IF(COUNTIF($A$5:$A$1204,A355)&gt;1,"重复",""))</x:f>
      </x:c>
      <x:c r="U355" s="64" t="str">
        <x:f>IF(A355="","",IF(T355="重复","检查重复",IF(OR(R355="有证据",R355="有记录",R355="持续跟踪"),"可追踪","检查")))</x:f>
      </x:c>
    </x:row>
    <x:row r="356">
      <x:c r="A356" s="62"/>
      <x:c r="B356" s="62"/>
      <x:c r="C356" s="62"/>
      <x:c r="D356" s="66"/>
      <x:c r="E356" s="68"/>
      <x:c r="F356" s="62"/>
      <x:c r="G356" s="62"/>
      <x:c r="H356" s="62"/>
      <x:c r="I356" s="62"/>
      <x:c r="J356" s="62"/>
      <x:c r="K356" s="62"/>
      <x:c r="L356" s="62"/>
      <x:c r="M356" s="68"/>
      <x:c r="N356" s="68"/>
      <x:c r="O356" s="68"/>
      <x:c r="P356" s="71" t="str">
        <x:f>IF(A356="","",IF(N356&gt;0,N356,M356))</x:f>
      </x:c>
      <x:c r="Q356" s="72" t="n">
        <x:f>IF(A356="",0,IF(COUNTIF($A$5:A356,A356)=1,1,0))</x:f>
        <x:v>0</x:v>
      </x:c>
      <x:c r="R356" s="64" t="str">
        <x:f>IF(A356="","",IF(F356="C356成功",IF(AND(J356&lt;&gt;"",K356&lt;&gt;"",N356&gt;0),"有证据","缺C356证据"),IF(F356="C356发货确认中",IF(AND(J356&lt;&gt;"",K356&lt;&gt;""),"有证据","缺C356证据"),IF(F356="手动完结",IF(OR(L356&lt;&gt;"",O356&lt;&gt;"",S356&lt;&gt;""),"有记录","缺手工证据"),IF(OR(F356="卖出待补仓",F356="提交结果待确认",F356="异常待处理"),"持续跟踪","检查状态")))))</x:f>
      </x:c>
      <x:c r="T356" s="64" t="str">
        <x:f>IF(A356="","",IF(COUNTIF($A$5:$A$1204,A356)&gt;1,"重复",""))</x:f>
      </x:c>
      <x:c r="U356" s="64" t="str">
        <x:f>IF(A356="","",IF(T356="重复","检查重复",IF(OR(R356="有证据",R356="有记录",R356="持续跟踪"),"可追踪","检查")))</x:f>
      </x:c>
    </x:row>
    <x:row r="357">
      <x:c r="A357" s="62"/>
      <x:c r="B357" s="62"/>
      <x:c r="C357" s="62"/>
      <x:c r="D357" s="66"/>
      <x:c r="E357" s="68"/>
      <x:c r="F357" s="62"/>
      <x:c r="G357" s="62"/>
      <x:c r="H357" s="62"/>
      <x:c r="I357" s="62"/>
      <x:c r="J357" s="62"/>
      <x:c r="K357" s="62"/>
      <x:c r="L357" s="62"/>
      <x:c r="M357" s="68"/>
      <x:c r="N357" s="68"/>
      <x:c r="O357" s="68"/>
      <x:c r="P357" s="71" t="str">
        <x:f>IF(A357="","",IF(N357&gt;0,N357,M357))</x:f>
      </x:c>
      <x:c r="Q357" s="72" t="n">
        <x:f>IF(A357="",0,IF(COUNTIF($A$5:A357,A357)=1,1,0))</x:f>
        <x:v>0</x:v>
      </x:c>
      <x:c r="R357" s="64" t="str">
        <x:f>IF(A357="","",IF(F357="C357成功",IF(AND(J357&lt;&gt;"",K357&lt;&gt;"",N357&gt;0),"有证据","缺C357证据"),IF(F357="C357发货确认中",IF(AND(J357&lt;&gt;"",K357&lt;&gt;""),"有证据","缺C357证据"),IF(F357="手动完结",IF(OR(L357&lt;&gt;"",O357&lt;&gt;"",S357&lt;&gt;""),"有记录","缺手工证据"),IF(OR(F357="卖出待补仓",F357="提交结果待确认",F357="异常待处理"),"持续跟踪","检查状态")))))</x:f>
      </x:c>
      <x:c r="T357" s="64" t="str">
        <x:f>IF(A357="","",IF(COUNTIF($A$5:$A$1204,A357)&gt;1,"重复",""))</x:f>
      </x:c>
      <x:c r="U357" s="64" t="str">
        <x:f>IF(A357="","",IF(T357="重复","检查重复",IF(OR(R357="有证据",R357="有记录",R357="持续跟踪"),"可追踪","检查")))</x:f>
      </x:c>
    </x:row>
    <x:row r="358">
      <x:c r="A358" s="62"/>
      <x:c r="B358" s="62"/>
      <x:c r="C358" s="62"/>
      <x:c r="D358" s="66"/>
      <x:c r="E358" s="68"/>
      <x:c r="F358" s="62"/>
      <x:c r="G358" s="62"/>
      <x:c r="H358" s="62"/>
      <x:c r="I358" s="62"/>
      <x:c r="J358" s="62"/>
      <x:c r="K358" s="62"/>
      <x:c r="L358" s="62"/>
      <x:c r="M358" s="68"/>
      <x:c r="N358" s="68"/>
      <x:c r="O358" s="68"/>
      <x:c r="P358" s="71" t="str">
        <x:f>IF(A358="","",IF(N358&gt;0,N358,M358))</x:f>
      </x:c>
      <x:c r="Q358" s="72" t="n">
        <x:f>IF(A358="",0,IF(COUNTIF($A$5:A358,A358)=1,1,0))</x:f>
        <x:v>0</x:v>
      </x:c>
      <x:c r="R358" s="64" t="str">
        <x:f>IF(A358="","",IF(F358="C358成功",IF(AND(J358&lt;&gt;"",K358&lt;&gt;"",N358&gt;0),"有证据","缺C358证据"),IF(F358="C358发货确认中",IF(AND(J358&lt;&gt;"",K358&lt;&gt;""),"有证据","缺C358证据"),IF(F358="手动完结",IF(OR(L358&lt;&gt;"",O358&lt;&gt;"",S358&lt;&gt;""),"有记录","缺手工证据"),IF(OR(F358="卖出待补仓",F358="提交结果待确认",F358="异常待处理"),"持续跟踪","检查状态")))))</x:f>
      </x:c>
      <x:c r="T358" s="64" t="str">
        <x:f>IF(A358="","",IF(COUNTIF($A$5:$A$1204,A358)&gt;1,"重复",""))</x:f>
      </x:c>
      <x:c r="U358" s="64" t="str">
        <x:f>IF(A358="","",IF(T358="重复","检查重复",IF(OR(R358="有证据",R358="有记录",R358="持续跟踪"),"可追踪","检查")))</x:f>
      </x:c>
    </x:row>
    <x:row r="359">
      <x:c r="A359" s="62"/>
      <x:c r="B359" s="62"/>
      <x:c r="C359" s="62"/>
      <x:c r="D359" s="66"/>
      <x:c r="E359" s="68"/>
      <x:c r="F359" s="62"/>
      <x:c r="G359" s="62"/>
      <x:c r="H359" s="62"/>
      <x:c r="I359" s="62"/>
      <x:c r="J359" s="62"/>
      <x:c r="K359" s="62"/>
      <x:c r="L359" s="62"/>
      <x:c r="M359" s="68"/>
      <x:c r="N359" s="68"/>
      <x:c r="O359" s="68"/>
      <x:c r="P359" s="71" t="str">
        <x:f>IF(A359="","",IF(N359&gt;0,N359,M359))</x:f>
      </x:c>
      <x:c r="Q359" s="72" t="n">
        <x:f>IF(A359="",0,IF(COUNTIF($A$5:A359,A359)=1,1,0))</x:f>
        <x:v>0</x:v>
      </x:c>
      <x:c r="R359" s="64" t="str">
        <x:f>IF(A359="","",IF(F359="C359成功",IF(AND(J359&lt;&gt;"",K359&lt;&gt;"",N359&gt;0),"有证据","缺C359证据"),IF(F359="C359发货确认中",IF(AND(J359&lt;&gt;"",K359&lt;&gt;""),"有证据","缺C359证据"),IF(F359="手动完结",IF(OR(L359&lt;&gt;"",O359&lt;&gt;"",S359&lt;&gt;""),"有记录","缺手工证据"),IF(OR(F359="卖出待补仓",F359="提交结果待确认",F359="异常待处理"),"持续跟踪","检查状态")))))</x:f>
      </x:c>
      <x:c r="T359" s="64" t="str">
        <x:f>IF(A359="","",IF(COUNTIF($A$5:$A$1204,A359)&gt;1,"重复",""))</x:f>
      </x:c>
      <x:c r="U359" s="64" t="str">
        <x:f>IF(A359="","",IF(T359="重复","检查重复",IF(OR(R359="有证据",R359="有记录",R359="持续跟踪"),"可追踪","检查")))</x:f>
      </x:c>
    </x:row>
    <x:row r="360">
      <x:c r="A360" s="62"/>
      <x:c r="B360" s="62"/>
      <x:c r="C360" s="62"/>
      <x:c r="D360" s="66"/>
      <x:c r="E360" s="68"/>
      <x:c r="F360" s="62"/>
      <x:c r="G360" s="62"/>
      <x:c r="H360" s="62"/>
      <x:c r="I360" s="62"/>
      <x:c r="J360" s="62"/>
      <x:c r="K360" s="62"/>
      <x:c r="L360" s="62"/>
      <x:c r="M360" s="68"/>
      <x:c r="N360" s="68"/>
      <x:c r="O360" s="68"/>
      <x:c r="P360" s="71" t="str">
        <x:f>IF(A360="","",IF(N360&gt;0,N360,M360))</x:f>
      </x:c>
      <x:c r="Q360" s="72" t="n">
        <x:f>IF(A360="",0,IF(COUNTIF($A$5:A360,A360)=1,1,0))</x:f>
        <x:v>0</x:v>
      </x:c>
      <x:c r="R360" s="64" t="str">
        <x:f>IF(A360="","",IF(F360="C360成功",IF(AND(J360&lt;&gt;"",K360&lt;&gt;"",N360&gt;0),"有证据","缺C360证据"),IF(F360="C360发货确认中",IF(AND(J360&lt;&gt;"",K360&lt;&gt;""),"有证据","缺C360证据"),IF(F360="手动完结",IF(OR(L360&lt;&gt;"",O360&lt;&gt;"",S360&lt;&gt;""),"有记录","缺手工证据"),IF(OR(F360="卖出待补仓",F360="提交结果待确认",F360="异常待处理"),"持续跟踪","检查状态")))))</x:f>
      </x:c>
      <x:c r="T360" s="64" t="str">
        <x:f>IF(A360="","",IF(COUNTIF($A$5:$A$1204,A360)&gt;1,"重复",""))</x:f>
      </x:c>
      <x:c r="U360" s="64" t="str">
        <x:f>IF(A360="","",IF(T360="重复","检查重复",IF(OR(R360="有证据",R360="有记录",R360="持续跟踪"),"可追踪","检查")))</x:f>
      </x:c>
    </x:row>
    <x:row r="361">
      <x:c r="A361" s="62"/>
      <x:c r="B361" s="62"/>
      <x:c r="C361" s="62"/>
      <x:c r="D361" s="66"/>
      <x:c r="E361" s="68"/>
      <x:c r="F361" s="62"/>
      <x:c r="G361" s="62"/>
      <x:c r="H361" s="62"/>
      <x:c r="I361" s="62"/>
      <x:c r="J361" s="62"/>
      <x:c r="K361" s="62"/>
      <x:c r="L361" s="62"/>
      <x:c r="M361" s="68"/>
      <x:c r="N361" s="68"/>
      <x:c r="O361" s="68"/>
      <x:c r="P361" s="71" t="str">
        <x:f>IF(A361="","",IF(N361&gt;0,N361,M361))</x:f>
      </x:c>
      <x:c r="Q361" s="72" t="n">
        <x:f>IF(A361="",0,IF(COUNTIF($A$5:A361,A361)=1,1,0))</x:f>
        <x:v>0</x:v>
      </x:c>
      <x:c r="R361" s="64" t="str">
        <x:f>IF(A361="","",IF(F361="C361成功",IF(AND(J361&lt;&gt;"",K361&lt;&gt;"",N361&gt;0),"有证据","缺C361证据"),IF(F361="C361发货确认中",IF(AND(J361&lt;&gt;"",K361&lt;&gt;""),"有证据","缺C361证据"),IF(F361="手动完结",IF(OR(L361&lt;&gt;"",O361&lt;&gt;"",S361&lt;&gt;""),"有记录","缺手工证据"),IF(OR(F361="卖出待补仓",F361="提交结果待确认",F361="异常待处理"),"持续跟踪","检查状态")))))</x:f>
      </x:c>
      <x:c r="T361" s="64" t="str">
        <x:f>IF(A361="","",IF(COUNTIF($A$5:$A$1204,A361)&gt;1,"重复",""))</x:f>
      </x:c>
      <x:c r="U361" s="64" t="str">
        <x:f>IF(A361="","",IF(T361="重复","检查重复",IF(OR(R361="有证据",R361="有记录",R361="持续跟踪"),"可追踪","检查")))</x:f>
      </x:c>
    </x:row>
    <x:row r="362">
      <x:c r="A362" s="62"/>
      <x:c r="B362" s="62"/>
      <x:c r="C362" s="62"/>
      <x:c r="D362" s="66"/>
      <x:c r="E362" s="68"/>
      <x:c r="F362" s="62"/>
      <x:c r="G362" s="62"/>
      <x:c r="H362" s="62"/>
      <x:c r="I362" s="62"/>
      <x:c r="J362" s="62"/>
      <x:c r="K362" s="62"/>
      <x:c r="L362" s="62"/>
      <x:c r="M362" s="68"/>
      <x:c r="N362" s="68"/>
      <x:c r="O362" s="68"/>
      <x:c r="P362" s="71" t="str">
        <x:f>IF(A362="","",IF(N362&gt;0,N362,M362))</x:f>
      </x:c>
      <x:c r="Q362" s="72" t="n">
        <x:f>IF(A362="",0,IF(COUNTIF($A$5:A362,A362)=1,1,0))</x:f>
        <x:v>0</x:v>
      </x:c>
      <x:c r="R362" s="64" t="str">
        <x:f>IF(A362="","",IF(F362="C362成功",IF(AND(J362&lt;&gt;"",K362&lt;&gt;"",N362&gt;0),"有证据","缺C362证据"),IF(F362="C362发货确认中",IF(AND(J362&lt;&gt;"",K362&lt;&gt;""),"有证据","缺C362证据"),IF(F362="手动完结",IF(OR(L362&lt;&gt;"",O362&lt;&gt;"",S362&lt;&gt;""),"有记录","缺手工证据"),IF(OR(F362="卖出待补仓",F362="提交结果待确认",F362="异常待处理"),"持续跟踪","检查状态")))))</x:f>
      </x:c>
      <x:c r="T362" s="64" t="str">
        <x:f>IF(A362="","",IF(COUNTIF($A$5:$A$1204,A362)&gt;1,"重复",""))</x:f>
      </x:c>
      <x:c r="U362" s="64" t="str">
        <x:f>IF(A362="","",IF(T362="重复","检查重复",IF(OR(R362="有证据",R362="有记录",R362="持续跟踪"),"可追踪","检查")))</x:f>
      </x:c>
    </x:row>
    <x:row r="363">
      <x:c r="A363" s="62"/>
      <x:c r="B363" s="62"/>
      <x:c r="C363" s="62"/>
      <x:c r="D363" s="66"/>
      <x:c r="E363" s="68"/>
      <x:c r="F363" s="62"/>
      <x:c r="G363" s="62"/>
      <x:c r="H363" s="62"/>
      <x:c r="I363" s="62"/>
      <x:c r="J363" s="62"/>
      <x:c r="K363" s="62"/>
      <x:c r="L363" s="62"/>
      <x:c r="M363" s="68"/>
      <x:c r="N363" s="68"/>
      <x:c r="O363" s="68"/>
      <x:c r="P363" s="71" t="str">
        <x:f>IF(A363="","",IF(N363&gt;0,N363,M363))</x:f>
      </x:c>
      <x:c r="Q363" s="72" t="n">
        <x:f>IF(A363="",0,IF(COUNTIF($A$5:A363,A363)=1,1,0))</x:f>
        <x:v>0</x:v>
      </x:c>
      <x:c r="R363" s="64" t="str">
        <x:f>IF(A363="","",IF(F363="C363成功",IF(AND(J363&lt;&gt;"",K363&lt;&gt;"",N363&gt;0),"有证据","缺C363证据"),IF(F363="C363发货确认中",IF(AND(J363&lt;&gt;"",K363&lt;&gt;""),"有证据","缺C363证据"),IF(F363="手动完结",IF(OR(L363&lt;&gt;"",O363&lt;&gt;"",S363&lt;&gt;""),"有记录","缺手工证据"),IF(OR(F363="卖出待补仓",F363="提交结果待确认",F363="异常待处理"),"持续跟踪","检查状态")))))</x:f>
      </x:c>
      <x:c r="T363" s="64" t="str">
        <x:f>IF(A363="","",IF(COUNTIF($A$5:$A$1204,A363)&gt;1,"重复",""))</x:f>
      </x:c>
      <x:c r="U363" s="64" t="str">
        <x:f>IF(A363="","",IF(T363="重复","检查重复",IF(OR(R363="有证据",R363="有记录",R363="持续跟踪"),"可追踪","检查")))</x:f>
      </x:c>
    </x:row>
    <x:row r="364">
      <x:c r="A364" s="62"/>
      <x:c r="B364" s="62"/>
      <x:c r="C364" s="62"/>
      <x:c r="D364" s="66"/>
      <x:c r="E364" s="68"/>
      <x:c r="F364" s="62"/>
      <x:c r="G364" s="62"/>
      <x:c r="H364" s="62"/>
      <x:c r="I364" s="62"/>
      <x:c r="J364" s="62"/>
      <x:c r="K364" s="62"/>
      <x:c r="L364" s="62"/>
      <x:c r="M364" s="68"/>
      <x:c r="N364" s="68"/>
      <x:c r="O364" s="68"/>
      <x:c r="P364" s="71" t="str">
        <x:f>IF(A364="","",IF(N364&gt;0,N364,M364))</x:f>
      </x:c>
      <x:c r="Q364" s="72" t="n">
        <x:f>IF(A364="",0,IF(COUNTIF($A$5:A364,A364)=1,1,0))</x:f>
        <x:v>0</x:v>
      </x:c>
      <x:c r="R364" s="64" t="str">
        <x:f>IF(A364="","",IF(F364="C364成功",IF(AND(J364&lt;&gt;"",K364&lt;&gt;"",N364&gt;0),"有证据","缺C364证据"),IF(F364="C364发货确认中",IF(AND(J364&lt;&gt;"",K364&lt;&gt;""),"有证据","缺C364证据"),IF(F364="手动完结",IF(OR(L364&lt;&gt;"",O364&lt;&gt;"",S364&lt;&gt;""),"有记录","缺手工证据"),IF(OR(F364="卖出待补仓",F364="提交结果待确认",F364="异常待处理"),"持续跟踪","检查状态")))))</x:f>
      </x:c>
      <x:c r="T364" s="64" t="str">
        <x:f>IF(A364="","",IF(COUNTIF($A$5:$A$1204,A364)&gt;1,"重复",""))</x:f>
      </x:c>
      <x:c r="U364" s="64" t="str">
        <x:f>IF(A364="","",IF(T364="重复","检查重复",IF(OR(R364="有证据",R364="有记录",R364="持续跟踪"),"可追踪","检查")))</x:f>
      </x:c>
    </x:row>
    <x:row r="365">
      <x:c r="A365" s="62"/>
      <x:c r="B365" s="62"/>
      <x:c r="C365" s="62"/>
      <x:c r="D365" s="66"/>
      <x:c r="E365" s="68"/>
      <x:c r="F365" s="62"/>
      <x:c r="G365" s="62"/>
      <x:c r="H365" s="62"/>
      <x:c r="I365" s="62"/>
      <x:c r="J365" s="62"/>
      <x:c r="K365" s="62"/>
      <x:c r="L365" s="62"/>
      <x:c r="M365" s="68"/>
      <x:c r="N365" s="68"/>
      <x:c r="O365" s="68"/>
      <x:c r="P365" s="71" t="str">
        <x:f>IF(A365="","",IF(N365&gt;0,N365,M365))</x:f>
      </x:c>
      <x:c r="Q365" s="72" t="n">
        <x:f>IF(A365="",0,IF(COUNTIF($A$5:A365,A365)=1,1,0))</x:f>
        <x:v>0</x:v>
      </x:c>
      <x:c r="R365" s="64" t="str">
        <x:f>IF(A365="","",IF(F365="C365成功",IF(AND(J365&lt;&gt;"",K365&lt;&gt;"",N365&gt;0),"有证据","缺C365证据"),IF(F365="C365发货确认中",IF(AND(J365&lt;&gt;"",K365&lt;&gt;""),"有证据","缺C365证据"),IF(F365="手动完结",IF(OR(L365&lt;&gt;"",O365&lt;&gt;"",S365&lt;&gt;""),"有记录","缺手工证据"),IF(OR(F365="卖出待补仓",F365="提交结果待确认",F365="异常待处理"),"持续跟踪","检查状态")))))</x:f>
      </x:c>
      <x:c r="T365" s="64" t="str">
        <x:f>IF(A365="","",IF(COUNTIF($A$5:$A$1204,A365)&gt;1,"重复",""))</x:f>
      </x:c>
      <x:c r="U365" s="64" t="str">
        <x:f>IF(A365="","",IF(T365="重复","检查重复",IF(OR(R365="有证据",R365="有记录",R365="持续跟踪"),"可追踪","检查")))</x:f>
      </x:c>
    </x:row>
    <x:row r="366">
      <x:c r="A366" s="62"/>
      <x:c r="B366" s="62"/>
      <x:c r="C366" s="62"/>
      <x:c r="D366" s="66"/>
      <x:c r="E366" s="68"/>
      <x:c r="F366" s="62"/>
      <x:c r="G366" s="62"/>
      <x:c r="H366" s="62"/>
      <x:c r="I366" s="62"/>
      <x:c r="J366" s="62"/>
      <x:c r="K366" s="62"/>
      <x:c r="L366" s="62"/>
      <x:c r="M366" s="68"/>
      <x:c r="N366" s="68"/>
      <x:c r="O366" s="68"/>
      <x:c r="P366" s="71" t="str">
        <x:f>IF(A366="","",IF(N366&gt;0,N366,M366))</x:f>
      </x:c>
      <x:c r="Q366" s="72" t="n">
        <x:f>IF(A366="",0,IF(COUNTIF($A$5:A366,A366)=1,1,0))</x:f>
        <x:v>0</x:v>
      </x:c>
      <x:c r="R366" s="64" t="str">
        <x:f>IF(A366="","",IF(F366="C366成功",IF(AND(J366&lt;&gt;"",K366&lt;&gt;"",N366&gt;0),"有证据","缺C366证据"),IF(F366="C366发货确认中",IF(AND(J366&lt;&gt;"",K366&lt;&gt;""),"有证据","缺C366证据"),IF(F366="手动完结",IF(OR(L366&lt;&gt;"",O366&lt;&gt;"",S366&lt;&gt;""),"有记录","缺手工证据"),IF(OR(F366="卖出待补仓",F366="提交结果待确认",F366="异常待处理"),"持续跟踪","检查状态")))))</x:f>
      </x:c>
      <x:c r="T366" s="64" t="str">
        <x:f>IF(A366="","",IF(COUNTIF($A$5:$A$1204,A366)&gt;1,"重复",""))</x:f>
      </x:c>
      <x:c r="U366" s="64" t="str">
        <x:f>IF(A366="","",IF(T366="重复","检查重复",IF(OR(R366="有证据",R366="有记录",R366="持续跟踪"),"可追踪","检查")))</x:f>
      </x:c>
    </x:row>
    <x:row r="367">
      <x:c r="A367" s="62"/>
      <x:c r="B367" s="62"/>
      <x:c r="C367" s="62"/>
      <x:c r="D367" s="66"/>
      <x:c r="E367" s="68"/>
      <x:c r="F367" s="62"/>
      <x:c r="G367" s="62"/>
      <x:c r="H367" s="62"/>
      <x:c r="I367" s="62"/>
      <x:c r="J367" s="62"/>
      <x:c r="K367" s="62"/>
      <x:c r="L367" s="62"/>
      <x:c r="M367" s="68"/>
      <x:c r="N367" s="68"/>
      <x:c r="O367" s="68"/>
      <x:c r="P367" s="71" t="str">
        <x:f>IF(A367="","",IF(N367&gt;0,N367,M367))</x:f>
      </x:c>
      <x:c r="Q367" s="72" t="n">
        <x:f>IF(A367="",0,IF(COUNTIF($A$5:A367,A367)=1,1,0))</x:f>
        <x:v>0</x:v>
      </x:c>
      <x:c r="R367" s="64" t="str">
        <x:f>IF(A367="","",IF(F367="C367成功",IF(AND(J367&lt;&gt;"",K367&lt;&gt;"",N367&gt;0),"有证据","缺C367证据"),IF(F367="C367发货确认中",IF(AND(J367&lt;&gt;"",K367&lt;&gt;""),"有证据","缺C367证据"),IF(F367="手动完结",IF(OR(L367&lt;&gt;"",O367&lt;&gt;"",S367&lt;&gt;""),"有记录","缺手工证据"),IF(OR(F367="卖出待补仓",F367="提交结果待确认",F367="异常待处理"),"持续跟踪","检查状态")))))</x:f>
      </x:c>
      <x:c r="T367" s="64" t="str">
        <x:f>IF(A367="","",IF(COUNTIF($A$5:$A$1204,A367)&gt;1,"重复",""))</x:f>
      </x:c>
      <x:c r="U367" s="64" t="str">
        <x:f>IF(A367="","",IF(T367="重复","检查重复",IF(OR(R367="有证据",R367="有记录",R367="持续跟踪"),"可追踪","检查")))</x:f>
      </x:c>
    </x:row>
    <x:row r="368">
      <x:c r="A368" s="62"/>
      <x:c r="B368" s="62"/>
      <x:c r="C368" s="62"/>
      <x:c r="D368" s="66"/>
      <x:c r="E368" s="68"/>
      <x:c r="F368" s="62"/>
      <x:c r="G368" s="62"/>
      <x:c r="H368" s="62"/>
      <x:c r="I368" s="62"/>
      <x:c r="J368" s="62"/>
      <x:c r="K368" s="62"/>
      <x:c r="L368" s="62"/>
      <x:c r="M368" s="68"/>
      <x:c r="N368" s="68"/>
      <x:c r="O368" s="68"/>
      <x:c r="P368" s="71" t="str">
        <x:f>IF(A368="","",IF(N368&gt;0,N368,M368))</x:f>
      </x:c>
      <x:c r="Q368" s="72" t="n">
        <x:f>IF(A368="",0,IF(COUNTIF($A$5:A368,A368)=1,1,0))</x:f>
        <x:v>0</x:v>
      </x:c>
      <x:c r="R368" s="64" t="str">
        <x:f>IF(A368="","",IF(F368="C368成功",IF(AND(J368&lt;&gt;"",K368&lt;&gt;"",N368&gt;0),"有证据","缺C368证据"),IF(F368="C368发货确认中",IF(AND(J368&lt;&gt;"",K368&lt;&gt;""),"有证据","缺C368证据"),IF(F368="手动完结",IF(OR(L368&lt;&gt;"",O368&lt;&gt;"",S368&lt;&gt;""),"有记录","缺手工证据"),IF(OR(F368="卖出待补仓",F368="提交结果待确认",F368="异常待处理"),"持续跟踪","检查状态")))))</x:f>
      </x:c>
      <x:c r="T368" s="64" t="str">
        <x:f>IF(A368="","",IF(COUNTIF($A$5:$A$1204,A368)&gt;1,"重复",""))</x:f>
      </x:c>
      <x:c r="U368" s="64" t="str">
        <x:f>IF(A368="","",IF(T368="重复","检查重复",IF(OR(R368="有证据",R368="有记录",R368="持续跟踪"),"可追踪","检查")))</x:f>
      </x:c>
    </x:row>
    <x:row r="369">
      <x:c r="A369" s="62"/>
      <x:c r="B369" s="62"/>
      <x:c r="C369" s="62"/>
      <x:c r="D369" s="66"/>
      <x:c r="E369" s="68"/>
      <x:c r="F369" s="62"/>
      <x:c r="G369" s="62"/>
      <x:c r="H369" s="62"/>
      <x:c r="I369" s="62"/>
      <x:c r="J369" s="62"/>
      <x:c r="K369" s="62"/>
      <x:c r="L369" s="62"/>
      <x:c r="M369" s="68"/>
      <x:c r="N369" s="68"/>
      <x:c r="O369" s="68"/>
      <x:c r="P369" s="71" t="str">
        <x:f>IF(A369="","",IF(N369&gt;0,N369,M369))</x:f>
      </x:c>
      <x:c r="Q369" s="72" t="n">
        <x:f>IF(A369="",0,IF(COUNTIF($A$5:A369,A369)=1,1,0))</x:f>
        <x:v>0</x:v>
      </x:c>
      <x:c r="R369" s="64" t="str">
        <x:f>IF(A369="","",IF(F369="C369成功",IF(AND(J369&lt;&gt;"",K369&lt;&gt;"",N369&gt;0),"有证据","缺C369证据"),IF(F369="C369发货确认中",IF(AND(J369&lt;&gt;"",K369&lt;&gt;""),"有证据","缺C369证据"),IF(F369="手动完结",IF(OR(L369&lt;&gt;"",O369&lt;&gt;"",S369&lt;&gt;""),"有记录","缺手工证据"),IF(OR(F369="卖出待补仓",F369="提交结果待确认",F369="异常待处理"),"持续跟踪","检查状态")))))</x:f>
      </x:c>
      <x:c r="T369" s="64" t="str">
        <x:f>IF(A369="","",IF(COUNTIF($A$5:$A$1204,A369)&gt;1,"重复",""))</x:f>
      </x:c>
      <x:c r="U369" s="64" t="str">
        <x:f>IF(A369="","",IF(T369="重复","检查重复",IF(OR(R369="有证据",R369="有记录",R369="持续跟踪"),"可追踪","检查")))</x:f>
      </x:c>
    </x:row>
    <x:row r="370">
      <x:c r="A370" s="62"/>
      <x:c r="B370" s="62"/>
      <x:c r="C370" s="62"/>
      <x:c r="D370" s="66"/>
      <x:c r="E370" s="68"/>
      <x:c r="F370" s="62"/>
      <x:c r="G370" s="62"/>
      <x:c r="H370" s="62"/>
      <x:c r="I370" s="62"/>
      <x:c r="J370" s="62"/>
      <x:c r="K370" s="62"/>
      <x:c r="L370" s="62"/>
      <x:c r="M370" s="68"/>
      <x:c r="N370" s="68"/>
      <x:c r="O370" s="68"/>
      <x:c r="P370" s="71" t="str">
        <x:f>IF(A370="","",IF(N370&gt;0,N370,M370))</x:f>
      </x:c>
      <x:c r="Q370" s="72" t="n">
        <x:f>IF(A370="",0,IF(COUNTIF($A$5:A370,A370)=1,1,0))</x:f>
        <x:v>0</x:v>
      </x:c>
      <x:c r="R370" s="64" t="str">
        <x:f>IF(A370="","",IF(F370="C370成功",IF(AND(J370&lt;&gt;"",K370&lt;&gt;"",N370&gt;0),"有证据","缺C370证据"),IF(F370="C370发货确认中",IF(AND(J370&lt;&gt;"",K370&lt;&gt;""),"有证据","缺C370证据"),IF(F370="手动完结",IF(OR(L370&lt;&gt;"",O370&lt;&gt;"",S370&lt;&gt;""),"有记录","缺手工证据"),IF(OR(F370="卖出待补仓",F370="提交结果待确认",F370="异常待处理"),"持续跟踪","检查状态")))))</x:f>
      </x:c>
      <x:c r="T370" s="64" t="str">
        <x:f>IF(A370="","",IF(COUNTIF($A$5:$A$1204,A370)&gt;1,"重复",""))</x:f>
      </x:c>
      <x:c r="U370" s="64" t="str">
        <x:f>IF(A370="","",IF(T370="重复","检查重复",IF(OR(R370="有证据",R370="有记录",R370="持续跟踪"),"可追踪","检查")))</x:f>
      </x:c>
    </x:row>
    <x:row r="371">
      <x:c r="A371" s="62"/>
      <x:c r="B371" s="62"/>
      <x:c r="C371" s="62"/>
      <x:c r="D371" s="66"/>
      <x:c r="E371" s="68"/>
      <x:c r="F371" s="62"/>
      <x:c r="G371" s="62"/>
      <x:c r="H371" s="62"/>
      <x:c r="I371" s="62"/>
      <x:c r="J371" s="62"/>
      <x:c r="K371" s="62"/>
      <x:c r="L371" s="62"/>
      <x:c r="M371" s="68"/>
      <x:c r="N371" s="68"/>
      <x:c r="O371" s="68"/>
      <x:c r="P371" s="71" t="str">
        <x:f>IF(A371="","",IF(N371&gt;0,N371,M371))</x:f>
      </x:c>
      <x:c r="Q371" s="72" t="n">
        <x:f>IF(A371="",0,IF(COUNTIF($A$5:A371,A371)=1,1,0))</x:f>
        <x:v>0</x:v>
      </x:c>
      <x:c r="R371" s="64" t="str">
        <x:f>IF(A371="","",IF(F371="C371成功",IF(AND(J371&lt;&gt;"",K371&lt;&gt;"",N371&gt;0),"有证据","缺C371证据"),IF(F371="C371发货确认中",IF(AND(J371&lt;&gt;"",K371&lt;&gt;""),"有证据","缺C371证据"),IF(F371="手动完结",IF(OR(L371&lt;&gt;"",O371&lt;&gt;"",S371&lt;&gt;""),"有记录","缺手工证据"),IF(OR(F371="卖出待补仓",F371="提交结果待确认",F371="异常待处理"),"持续跟踪","检查状态")))))</x:f>
      </x:c>
      <x:c r="T371" s="64" t="str">
        <x:f>IF(A371="","",IF(COUNTIF($A$5:$A$1204,A371)&gt;1,"重复",""))</x:f>
      </x:c>
      <x:c r="U371" s="64" t="str">
        <x:f>IF(A371="","",IF(T371="重复","检查重复",IF(OR(R371="有证据",R371="有记录",R371="持续跟踪"),"可追踪","检查")))</x:f>
      </x:c>
    </x:row>
    <x:row r="372">
      <x:c r="A372" s="62"/>
      <x:c r="B372" s="62"/>
      <x:c r="C372" s="62"/>
      <x:c r="D372" s="66"/>
      <x:c r="E372" s="68"/>
      <x:c r="F372" s="62"/>
      <x:c r="G372" s="62"/>
      <x:c r="H372" s="62"/>
      <x:c r="I372" s="62"/>
      <x:c r="J372" s="62"/>
      <x:c r="K372" s="62"/>
      <x:c r="L372" s="62"/>
      <x:c r="M372" s="68"/>
      <x:c r="N372" s="68"/>
      <x:c r="O372" s="68"/>
      <x:c r="P372" s="71" t="str">
        <x:f>IF(A372="","",IF(N372&gt;0,N372,M372))</x:f>
      </x:c>
      <x:c r="Q372" s="72" t="n">
        <x:f>IF(A372="",0,IF(COUNTIF($A$5:A372,A372)=1,1,0))</x:f>
        <x:v>0</x:v>
      </x:c>
      <x:c r="R372" s="64" t="str">
        <x:f>IF(A372="","",IF(F372="C372成功",IF(AND(J372&lt;&gt;"",K372&lt;&gt;"",N372&gt;0),"有证据","缺C372证据"),IF(F372="C372发货确认中",IF(AND(J372&lt;&gt;"",K372&lt;&gt;""),"有证据","缺C372证据"),IF(F372="手动完结",IF(OR(L372&lt;&gt;"",O372&lt;&gt;"",S372&lt;&gt;""),"有记录","缺手工证据"),IF(OR(F372="卖出待补仓",F372="提交结果待确认",F372="异常待处理"),"持续跟踪","检查状态")))))</x:f>
      </x:c>
      <x:c r="T372" s="64" t="str">
        <x:f>IF(A372="","",IF(COUNTIF($A$5:$A$1204,A372)&gt;1,"重复",""))</x:f>
      </x:c>
      <x:c r="U372" s="64" t="str">
        <x:f>IF(A372="","",IF(T372="重复","检查重复",IF(OR(R372="有证据",R372="有记录",R372="持续跟踪"),"可追踪","检查")))</x:f>
      </x:c>
    </x:row>
    <x:row r="373">
      <x:c r="A373" s="62"/>
      <x:c r="B373" s="62"/>
      <x:c r="C373" s="62"/>
      <x:c r="D373" s="66"/>
      <x:c r="E373" s="68"/>
      <x:c r="F373" s="62"/>
      <x:c r="G373" s="62"/>
      <x:c r="H373" s="62"/>
      <x:c r="I373" s="62"/>
      <x:c r="J373" s="62"/>
      <x:c r="K373" s="62"/>
      <x:c r="L373" s="62"/>
      <x:c r="M373" s="68"/>
      <x:c r="N373" s="68"/>
      <x:c r="O373" s="68"/>
      <x:c r="P373" s="71" t="str">
        <x:f>IF(A373="","",IF(N373&gt;0,N373,M373))</x:f>
      </x:c>
      <x:c r="Q373" s="72" t="n">
        <x:f>IF(A373="",0,IF(COUNTIF($A$5:A373,A373)=1,1,0))</x:f>
        <x:v>0</x:v>
      </x:c>
      <x:c r="R373" s="64" t="str">
        <x:f>IF(A373="","",IF(F373="C373成功",IF(AND(J373&lt;&gt;"",K373&lt;&gt;"",N373&gt;0),"有证据","缺C373证据"),IF(F373="C373发货确认中",IF(AND(J373&lt;&gt;"",K373&lt;&gt;""),"有证据","缺C373证据"),IF(F373="手动完结",IF(OR(L373&lt;&gt;"",O373&lt;&gt;"",S373&lt;&gt;""),"有记录","缺手工证据"),IF(OR(F373="卖出待补仓",F373="提交结果待确认",F373="异常待处理"),"持续跟踪","检查状态")))))</x:f>
      </x:c>
      <x:c r="T373" s="64" t="str">
        <x:f>IF(A373="","",IF(COUNTIF($A$5:$A$1204,A373)&gt;1,"重复",""))</x:f>
      </x:c>
      <x:c r="U373" s="64" t="str">
        <x:f>IF(A373="","",IF(T373="重复","检查重复",IF(OR(R373="有证据",R373="有记录",R373="持续跟踪"),"可追踪","检查")))</x:f>
      </x:c>
    </x:row>
    <x:row r="374">
      <x:c r="A374" s="62"/>
      <x:c r="B374" s="62"/>
      <x:c r="C374" s="62"/>
      <x:c r="D374" s="66"/>
      <x:c r="E374" s="68"/>
      <x:c r="F374" s="62"/>
      <x:c r="G374" s="62"/>
      <x:c r="H374" s="62"/>
      <x:c r="I374" s="62"/>
      <x:c r="J374" s="62"/>
      <x:c r="K374" s="62"/>
      <x:c r="L374" s="62"/>
      <x:c r="M374" s="68"/>
      <x:c r="N374" s="68"/>
      <x:c r="O374" s="68"/>
      <x:c r="P374" s="71" t="str">
        <x:f>IF(A374="","",IF(N374&gt;0,N374,M374))</x:f>
      </x:c>
      <x:c r="Q374" s="72" t="n">
        <x:f>IF(A374="",0,IF(COUNTIF($A$5:A374,A374)=1,1,0))</x:f>
        <x:v>0</x:v>
      </x:c>
      <x:c r="R374" s="64" t="str">
        <x:f>IF(A374="","",IF(F374="C374成功",IF(AND(J374&lt;&gt;"",K374&lt;&gt;"",N374&gt;0),"有证据","缺C374证据"),IF(F374="C374发货确认中",IF(AND(J374&lt;&gt;"",K374&lt;&gt;""),"有证据","缺C374证据"),IF(F374="手动完结",IF(OR(L374&lt;&gt;"",O374&lt;&gt;"",S374&lt;&gt;""),"有记录","缺手工证据"),IF(OR(F374="卖出待补仓",F374="提交结果待确认",F374="异常待处理"),"持续跟踪","检查状态")))))</x:f>
      </x:c>
      <x:c r="T374" s="64" t="str">
        <x:f>IF(A374="","",IF(COUNTIF($A$5:$A$1204,A374)&gt;1,"重复",""))</x:f>
      </x:c>
      <x:c r="U374" s="64" t="str">
        <x:f>IF(A374="","",IF(T374="重复","检查重复",IF(OR(R374="有证据",R374="有记录",R374="持续跟踪"),"可追踪","检查")))</x:f>
      </x:c>
    </x:row>
    <x:row r="375">
      <x:c r="A375" s="62"/>
      <x:c r="B375" s="62"/>
      <x:c r="C375" s="62"/>
      <x:c r="D375" s="66"/>
      <x:c r="E375" s="68"/>
      <x:c r="F375" s="62"/>
      <x:c r="G375" s="62"/>
      <x:c r="H375" s="62"/>
      <x:c r="I375" s="62"/>
      <x:c r="J375" s="62"/>
      <x:c r="K375" s="62"/>
      <x:c r="L375" s="62"/>
      <x:c r="M375" s="68"/>
      <x:c r="N375" s="68"/>
      <x:c r="O375" s="68"/>
      <x:c r="P375" s="71" t="str">
        <x:f>IF(A375="","",IF(N375&gt;0,N375,M375))</x:f>
      </x:c>
      <x:c r="Q375" s="72" t="n">
        <x:f>IF(A375="",0,IF(COUNTIF($A$5:A375,A375)=1,1,0))</x:f>
        <x:v>0</x:v>
      </x:c>
      <x:c r="R375" s="64" t="str">
        <x:f>IF(A375="","",IF(F375="C375成功",IF(AND(J375&lt;&gt;"",K375&lt;&gt;"",N375&gt;0),"有证据","缺C375证据"),IF(F375="C375发货确认中",IF(AND(J375&lt;&gt;"",K375&lt;&gt;""),"有证据","缺C375证据"),IF(F375="手动完结",IF(OR(L375&lt;&gt;"",O375&lt;&gt;"",S375&lt;&gt;""),"有记录","缺手工证据"),IF(OR(F375="卖出待补仓",F375="提交结果待确认",F375="异常待处理"),"持续跟踪","检查状态")))))</x:f>
      </x:c>
      <x:c r="T375" s="64" t="str">
        <x:f>IF(A375="","",IF(COUNTIF($A$5:$A$1204,A375)&gt;1,"重复",""))</x:f>
      </x:c>
      <x:c r="U375" s="64" t="str">
        <x:f>IF(A375="","",IF(T375="重复","检查重复",IF(OR(R375="有证据",R375="有记录",R375="持续跟踪"),"可追踪","检查")))</x:f>
      </x:c>
    </x:row>
    <x:row r="376">
      <x:c r="A376" s="62"/>
      <x:c r="B376" s="62"/>
      <x:c r="C376" s="62"/>
      <x:c r="D376" s="66"/>
      <x:c r="E376" s="68"/>
      <x:c r="F376" s="62"/>
      <x:c r="G376" s="62"/>
      <x:c r="H376" s="62"/>
      <x:c r="I376" s="62"/>
      <x:c r="J376" s="62"/>
      <x:c r="K376" s="62"/>
      <x:c r="L376" s="62"/>
      <x:c r="M376" s="68"/>
      <x:c r="N376" s="68"/>
      <x:c r="O376" s="68"/>
      <x:c r="P376" s="71" t="str">
        <x:f>IF(A376="","",IF(N376&gt;0,N376,M376))</x:f>
      </x:c>
      <x:c r="Q376" s="72" t="n">
        <x:f>IF(A376="",0,IF(COUNTIF($A$5:A376,A376)=1,1,0))</x:f>
        <x:v>0</x:v>
      </x:c>
      <x:c r="R376" s="64" t="str">
        <x:f>IF(A376="","",IF(F376="C376成功",IF(AND(J376&lt;&gt;"",K376&lt;&gt;"",N376&gt;0),"有证据","缺C376证据"),IF(F376="C376发货确认中",IF(AND(J376&lt;&gt;"",K376&lt;&gt;""),"有证据","缺C376证据"),IF(F376="手动完结",IF(OR(L376&lt;&gt;"",O376&lt;&gt;"",S376&lt;&gt;""),"有记录","缺手工证据"),IF(OR(F376="卖出待补仓",F376="提交结果待确认",F376="异常待处理"),"持续跟踪","检查状态")))))</x:f>
      </x:c>
      <x:c r="T376" s="64" t="str">
        <x:f>IF(A376="","",IF(COUNTIF($A$5:$A$1204,A376)&gt;1,"重复",""))</x:f>
      </x:c>
      <x:c r="U376" s="64" t="str">
        <x:f>IF(A376="","",IF(T376="重复","检查重复",IF(OR(R376="有证据",R376="有记录",R376="持续跟踪"),"可追踪","检查")))</x:f>
      </x:c>
    </x:row>
    <x:row r="377">
      <x:c r="A377" s="62"/>
      <x:c r="B377" s="62"/>
      <x:c r="C377" s="62"/>
      <x:c r="D377" s="66"/>
      <x:c r="E377" s="68"/>
      <x:c r="F377" s="62"/>
      <x:c r="G377" s="62"/>
      <x:c r="H377" s="62"/>
      <x:c r="I377" s="62"/>
      <x:c r="J377" s="62"/>
      <x:c r="K377" s="62"/>
      <x:c r="L377" s="62"/>
      <x:c r="M377" s="68"/>
      <x:c r="N377" s="68"/>
      <x:c r="O377" s="68"/>
      <x:c r="P377" s="71" t="str">
        <x:f>IF(A377="","",IF(N377&gt;0,N377,M377))</x:f>
      </x:c>
      <x:c r="Q377" s="72" t="n">
        <x:f>IF(A377="",0,IF(COUNTIF($A$5:A377,A377)=1,1,0))</x:f>
        <x:v>0</x:v>
      </x:c>
      <x:c r="R377" s="64" t="str">
        <x:f>IF(A377="","",IF(F377="C377成功",IF(AND(J377&lt;&gt;"",K377&lt;&gt;"",N377&gt;0),"有证据","缺C377证据"),IF(F377="C377发货确认中",IF(AND(J377&lt;&gt;"",K377&lt;&gt;""),"有证据","缺C377证据"),IF(F377="手动完结",IF(OR(L377&lt;&gt;"",O377&lt;&gt;"",S377&lt;&gt;""),"有记录","缺手工证据"),IF(OR(F377="卖出待补仓",F377="提交结果待确认",F377="异常待处理"),"持续跟踪","检查状态")))))</x:f>
      </x:c>
      <x:c r="T377" s="64" t="str">
        <x:f>IF(A377="","",IF(COUNTIF($A$5:$A$1204,A377)&gt;1,"重复",""))</x:f>
      </x:c>
      <x:c r="U377" s="64" t="str">
        <x:f>IF(A377="","",IF(T377="重复","检查重复",IF(OR(R377="有证据",R377="有记录",R377="持续跟踪"),"可追踪","检查")))</x:f>
      </x:c>
    </x:row>
    <x:row r="378">
      <x:c r="A378" s="62"/>
      <x:c r="B378" s="62"/>
      <x:c r="C378" s="62"/>
      <x:c r="D378" s="66"/>
      <x:c r="E378" s="68"/>
      <x:c r="F378" s="62"/>
      <x:c r="G378" s="62"/>
      <x:c r="H378" s="62"/>
      <x:c r="I378" s="62"/>
      <x:c r="J378" s="62"/>
      <x:c r="K378" s="62"/>
      <x:c r="L378" s="62"/>
      <x:c r="M378" s="68"/>
      <x:c r="N378" s="68"/>
      <x:c r="O378" s="68"/>
      <x:c r="P378" s="71" t="str">
        <x:f>IF(A378="","",IF(N378&gt;0,N378,M378))</x:f>
      </x:c>
      <x:c r="Q378" s="72" t="n">
        <x:f>IF(A378="",0,IF(COUNTIF($A$5:A378,A378)=1,1,0))</x:f>
        <x:v>0</x:v>
      </x:c>
      <x:c r="R378" s="64" t="str">
        <x:f>IF(A378="","",IF(F378="C378成功",IF(AND(J378&lt;&gt;"",K378&lt;&gt;"",N378&gt;0),"有证据","缺C378证据"),IF(F378="C378发货确认中",IF(AND(J378&lt;&gt;"",K378&lt;&gt;""),"有证据","缺C378证据"),IF(F378="手动完结",IF(OR(L378&lt;&gt;"",O378&lt;&gt;"",S378&lt;&gt;""),"有记录","缺手工证据"),IF(OR(F378="卖出待补仓",F378="提交结果待确认",F378="异常待处理"),"持续跟踪","检查状态")))))</x:f>
      </x:c>
      <x:c r="T378" s="64" t="str">
        <x:f>IF(A378="","",IF(COUNTIF($A$5:$A$1204,A378)&gt;1,"重复",""))</x:f>
      </x:c>
      <x:c r="U378" s="64" t="str">
        <x:f>IF(A378="","",IF(T378="重复","检查重复",IF(OR(R378="有证据",R378="有记录",R378="持续跟踪"),"可追踪","检查")))</x:f>
      </x:c>
    </x:row>
    <x:row r="379">
      <x:c r="A379" s="62"/>
      <x:c r="B379" s="62"/>
      <x:c r="C379" s="62"/>
      <x:c r="D379" s="66"/>
      <x:c r="E379" s="68"/>
      <x:c r="F379" s="62"/>
      <x:c r="G379" s="62"/>
      <x:c r="H379" s="62"/>
      <x:c r="I379" s="62"/>
      <x:c r="J379" s="62"/>
      <x:c r="K379" s="62"/>
      <x:c r="L379" s="62"/>
      <x:c r="M379" s="68"/>
      <x:c r="N379" s="68"/>
      <x:c r="O379" s="68"/>
      <x:c r="P379" s="71" t="str">
        <x:f>IF(A379="","",IF(N379&gt;0,N379,M379))</x:f>
      </x:c>
      <x:c r="Q379" s="72" t="n">
        <x:f>IF(A379="",0,IF(COUNTIF($A$5:A379,A379)=1,1,0))</x:f>
        <x:v>0</x:v>
      </x:c>
      <x:c r="R379" s="64" t="str">
        <x:f>IF(A379="","",IF(F379="C379成功",IF(AND(J379&lt;&gt;"",K379&lt;&gt;"",N379&gt;0),"有证据","缺C379证据"),IF(F379="C379发货确认中",IF(AND(J379&lt;&gt;"",K379&lt;&gt;""),"有证据","缺C379证据"),IF(F379="手动完结",IF(OR(L379&lt;&gt;"",O379&lt;&gt;"",S379&lt;&gt;""),"有记录","缺手工证据"),IF(OR(F379="卖出待补仓",F379="提交结果待确认",F379="异常待处理"),"持续跟踪","检查状态")))))</x:f>
      </x:c>
      <x:c r="T379" s="64" t="str">
        <x:f>IF(A379="","",IF(COUNTIF($A$5:$A$1204,A379)&gt;1,"重复",""))</x:f>
      </x:c>
      <x:c r="U379" s="64" t="str">
        <x:f>IF(A379="","",IF(T379="重复","检查重复",IF(OR(R379="有证据",R379="有记录",R379="持续跟踪"),"可追踪","检查")))</x:f>
      </x:c>
    </x:row>
    <x:row r="380">
      <x:c r="A380" s="62"/>
      <x:c r="B380" s="62"/>
      <x:c r="C380" s="62"/>
      <x:c r="D380" s="66"/>
      <x:c r="E380" s="68"/>
      <x:c r="F380" s="62"/>
      <x:c r="G380" s="62"/>
      <x:c r="H380" s="62"/>
      <x:c r="I380" s="62"/>
      <x:c r="J380" s="62"/>
      <x:c r="K380" s="62"/>
      <x:c r="L380" s="62"/>
      <x:c r="M380" s="68"/>
      <x:c r="N380" s="68"/>
      <x:c r="O380" s="68"/>
      <x:c r="P380" s="71" t="str">
        <x:f>IF(A380="","",IF(N380&gt;0,N380,M380))</x:f>
      </x:c>
      <x:c r="Q380" s="72" t="n">
        <x:f>IF(A380="",0,IF(COUNTIF($A$5:A380,A380)=1,1,0))</x:f>
        <x:v>0</x:v>
      </x:c>
      <x:c r="R380" s="64" t="str">
        <x:f>IF(A380="","",IF(F380="C380成功",IF(AND(J380&lt;&gt;"",K380&lt;&gt;"",N380&gt;0),"有证据","缺C380证据"),IF(F380="C380发货确认中",IF(AND(J380&lt;&gt;"",K380&lt;&gt;""),"有证据","缺C380证据"),IF(F380="手动完结",IF(OR(L380&lt;&gt;"",O380&lt;&gt;"",S380&lt;&gt;""),"有记录","缺手工证据"),IF(OR(F380="卖出待补仓",F380="提交结果待确认",F380="异常待处理"),"持续跟踪","检查状态")))))</x:f>
      </x:c>
      <x:c r="T380" s="64" t="str">
        <x:f>IF(A380="","",IF(COUNTIF($A$5:$A$1204,A380)&gt;1,"重复",""))</x:f>
      </x:c>
      <x:c r="U380" s="64" t="str">
        <x:f>IF(A380="","",IF(T380="重复","检查重复",IF(OR(R380="有证据",R380="有记录",R380="持续跟踪"),"可追踪","检查")))</x:f>
      </x:c>
    </x:row>
    <x:row r="381">
      <x:c r="A381" s="62"/>
      <x:c r="B381" s="62"/>
      <x:c r="C381" s="62"/>
      <x:c r="D381" s="66"/>
      <x:c r="E381" s="68"/>
      <x:c r="F381" s="62"/>
      <x:c r="G381" s="62"/>
      <x:c r="H381" s="62"/>
      <x:c r="I381" s="62"/>
      <x:c r="J381" s="62"/>
      <x:c r="K381" s="62"/>
      <x:c r="L381" s="62"/>
      <x:c r="M381" s="68"/>
      <x:c r="N381" s="68"/>
      <x:c r="O381" s="68"/>
      <x:c r="P381" s="71" t="str">
        <x:f>IF(A381="","",IF(N381&gt;0,N381,M381))</x:f>
      </x:c>
      <x:c r="Q381" s="72" t="n">
        <x:f>IF(A381="",0,IF(COUNTIF($A$5:A381,A381)=1,1,0))</x:f>
        <x:v>0</x:v>
      </x:c>
      <x:c r="R381" s="64" t="str">
        <x:f>IF(A381="","",IF(F381="C381成功",IF(AND(J381&lt;&gt;"",K381&lt;&gt;"",N381&gt;0),"有证据","缺C381证据"),IF(F381="C381发货确认中",IF(AND(J381&lt;&gt;"",K381&lt;&gt;""),"有证据","缺C381证据"),IF(F381="手动完结",IF(OR(L381&lt;&gt;"",O381&lt;&gt;"",S381&lt;&gt;""),"有记录","缺手工证据"),IF(OR(F381="卖出待补仓",F381="提交结果待确认",F381="异常待处理"),"持续跟踪","检查状态")))))</x:f>
      </x:c>
      <x:c r="T381" s="64" t="str">
        <x:f>IF(A381="","",IF(COUNTIF($A$5:$A$1204,A381)&gt;1,"重复",""))</x:f>
      </x:c>
      <x:c r="U381" s="64" t="str">
        <x:f>IF(A381="","",IF(T381="重复","检查重复",IF(OR(R381="有证据",R381="有记录",R381="持续跟踪"),"可追踪","检查")))</x:f>
      </x:c>
    </x:row>
    <x:row r="382">
      <x:c r="A382" s="62"/>
      <x:c r="B382" s="62"/>
      <x:c r="C382" s="62"/>
      <x:c r="D382" s="66"/>
      <x:c r="E382" s="68"/>
      <x:c r="F382" s="62"/>
      <x:c r="G382" s="62"/>
      <x:c r="H382" s="62"/>
      <x:c r="I382" s="62"/>
      <x:c r="J382" s="62"/>
      <x:c r="K382" s="62"/>
      <x:c r="L382" s="62"/>
      <x:c r="M382" s="68"/>
      <x:c r="N382" s="68"/>
      <x:c r="O382" s="68"/>
      <x:c r="P382" s="71" t="str">
        <x:f>IF(A382="","",IF(N382&gt;0,N382,M382))</x:f>
      </x:c>
      <x:c r="Q382" s="72" t="n">
        <x:f>IF(A382="",0,IF(COUNTIF($A$5:A382,A382)=1,1,0))</x:f>
        <x:v>0</x:v>
      </x:c>
      <x:c r="R382" s="64" t="str">
        <x:f>IF(A382="","",IF(F382="C382成功",IF(AND(J382&lt;&gt;"",K382&lt;&gt;"",N382&gt;0),"有证据","缺C382证据"),IF(F382="C382发货确认中",IF(AND(J382&lt;&gt;"",K382&lt;&gt;""),"有证据","缺C382证据"),IF(F382="手动完结",IF(OR(L382&lt;&gt;"",O382&lt;&gt;"",S382&lt;&gt;""),"有记录","缺手工证据"),IF(OR(F382="卖出待补仓",F382="提交结果待确认",F382="异常待处理"),"持续跟踪","检查状态")))))</x:f>
      </x:c>
      <x:c r="T382" s="64" t="str">
        <x:f>IF(A382="","",IF(COUNTIF($A$5:$A$1204,A382)&gt;1,"重复",""))</x:f>
      </x:c>
      <x:c r="U382" s="64" t="str">
        <x:f>IF(A382="","",IF(T382="重复","检查重复",IF(OR(R382="有证据",R382="有记录",R382="持续跟踪"),"可追踪","检查")))</x:f>
      </x:c>
    </x:row>
    <x:row r="383">
      <x:c r="A383" s="62"/>
      <x:c r="B383" s="62"/>
      <x:c r="C383" s="62"/>
      <x:c r="D383" s="66"/>
      <x:c r="E383" s="68"/>
      <x:c r="F383" s="62"/>
      <x:c r="G383" s="62"/>
      <x:c r="H383" s="62"/>
      <x:c r="I383" s="62"/>
      <x:c r="J383" s="62"/>
      <x:c r="K383" s="62"/>
      <x:c r="L383" s="62"/>
      <x:c r="M383" s="68"/>
      <x:c r="N383" s="68"/>
      <x:c r="O383" s="68"/>
      <x:c r="P383" s="71" t="str">
        <x:f>IF(A383="","",IF(N383&gt;0,N383,M383))</x:f>
      </x:c>
      <x:c r="Q383" s="72" t="n">
        <x:f>IF(A383="",0,IF(COUNTIF($A$5:A383,A383)=1,1,0))</x:f>
        <x:v>0</x:v>
      </x:c>
      <x:c r="R383" s="64" t="str">
        <x:f>IF(A383="","",IF(F383="C383成功",IF(AND(J383&lt;&gt;"",K383&lt;&gt;"",N383&gt;0),"有证据","缺C383证据"),IF(F383="C383发货确认中",IF(AND(J383&lt;&gt;"",K383&lt;&gt;""),"有证据","缺C383证据"),IF(F383="手动完结",IF(OR(L383&lt;&gt;"",O383&lt;&gt;"",S383&lt;&gt;""),"有记录","缺手工证据"),IF(OR(F383="卖出待补仓",F383="提交结果待确认",F383="异常待处理"),"持续跟踪","检查状态")))))</x:f>
      </x:c>
      <x:c r="T383" s="64" t="str">
        <x:f>IF(A383="","",IF(COUNTIF($A$5:$A$1204,A383)&gt;1,"重复",""))</x:f>
      </x:c>
      <x:c r="U383" s="64" t="str">
        <x:f>IF(A383="","",IF(T383="重复","检查重复",IF(OR(R383="有证据",R383="有记录",R383="持续跟踪"),"可追踪","检查")))</x:f>
      </x:c>
    </x:row>
    <x:row r="384">
      <x:c r="A384" s="62"/>
      <x:c r="B384" s="62"/>
      <x:c r="C384" s="62"/>
      <x:c r="D384" s="66"/>
      <x:c r="E384" s="68"/>
      <x:c r="F384" s="62"/>
      <x:c r="G384" s="62"/>
      <x:c r="H384" s="62"/>
      <x:c r="I384" s="62"/>
      <x:c r="J384" s="62"/>
      <x:c r="K384" s="62"/>
      <x:c r="L384" s="62"/>
      <x:c r="M384" s="68"/>
      <x:c r="N384" s="68"/>
      <x:c r="O384" s="68"/>
      <x:c r="P384" s="71" t="str">
        <x:f>IF(A384="","",IF(N384&gt;0,N384,M384))</x:f>
      </x:c>
      <x:c r="Q384" s="72" t="n">
        <x:f>IF(A384="",0,IF(COUNTIF($A$5:A384,A384)=1,1,0))</x:f>
        <x:v>0</x:v>
      </x:c>
      <x:c r="R384" s="64" t="str">
        <x:f>IF(A384="","",IF(F384="C384成功",IF(AND(J384&lt;&gt;"",K384&lt;&gt;"",N384&gt;0),"有证据","缺C384证据"),IF(F384="C384发货确认中",IF(AND(J384&lt;&gt;"",K384&lt;&gt;""),"有证据","缺C384证据"),IF(F384="手动完结",IF(OR(L384&lt;&gt;"",O384&lt;&gt;"",S384&lt;&gt;""),"有记录","缺手工证据"),IF(OR(F384="卖出待补仓",F384="提交结果待确认",F384="异常待处理"),"持续跟踪","检查状态")))))</x:f>
      </x:c>
      <x:c r="T384" s="64" t="str">
        <x:f>IF(A384="","",IF(COUNTIF($A$5:$A$1204,A384)&gt;1,"重复",""))</x:f>
      </x:c>
      <x:c r="U384" s="64" t="str">
        <x:f>IF(A384="","",IF(T384="重复","检查重复",IF(OR(R384="有证据",R384="有记录",R384="持续跟踪"),"可追踪","检查")))</x:f>
      </x:c>
    </x:row>
    <x:row r="385">
      <x:c r="A385" s="62"/>
      <x:c r="B385" s="62"/>
      <x:c r="C385" s="62"/>
      <x:c r="D385" s="66"/>
      <x:c r="E385" s="68"/>
      <x:c r="F385" s="62"/>
      <x:c r="G385" s="62"/>
      <x:c r="H385" s="62"/>
      <x:c r="I385" s="62"/>
      <x:c r="J385" s="62"/>
      <x:c r="K385" s="62"/>
      <x:c r="L385" s="62"/>
      <x:c r="M385" s="68"/>
      <x:c r="N385" s="68"/>
      <x:c r="O385" s="68"/>
      <x:c r="P385" s="71" t="str">
        <x:f>IF(A385="","",IF(N385&gt;0,N385,M385))</x:f>
      </x:c>
      <x:c r="Q385" s="72" t="n">
        <x:f>IF(A385="",0,IF(COUNTIF($A$5:A385,A385)=1,1,0))</x:f>
        <x:v>0</x:v>
      </x:c>
      <x:c r="R385" s="64" t="str">
        <x:f>IF(A385="","",IF(F385="C385成功",IF(AND(J385&lt;&gt;"",K385&lt;&gt;"",N385&gt;0),"有证据","缺C385证据"),IF(F385="C385发货确认中",IF(AND(J385&lt;&gt;"",K385&lt;&gt;""),"有证据","缺C385证据"),IF(F385="手动完结",IF(OR(L385&lt;&gt;"",O385&lt;&gt;"",S385&lt;&gt;""),"有记录","缺手工证据"),IF(OR(F385="卖出待补仓",F385="提交结果待确认",F385="异常待处理"),"持续跟踪","检查状态")))))</x:f>
      </x:c>
      <x:c r="T385" s="64" t="str">
        <x:f>IF(A385="","",IF(COUNTIF($A$5:$A$1204,A385)&gt;1,"重复",""))</x:f>
      </x:c>
      <x:c r="U385" s="64" t="str">
        <x:f>IF(A385="","",IF(T385="重复","检查重复",IF(OR(R385="有证据",R385="有记录",R385="持续跟踪"),"可追踪","检查")))</x:f>
      </x:c>
    </x:row>
    <x:row r="386">
      <x:c r="A386" s="62"/>
      <x:c r="B386" s="62"/>
      <x:c r="C386" s="62"/>
      <x:c r="D386" s="66"/>
      <x:c r="E386" s="68"/>
      <x:c r="F386" s="62"/>
      <x:c r="G386" s="62"/>
      <x:c r="H386" s="62"/>
      <x:c r="I386" s="62"/>
      <x:c r="J386" s="62"/>
      <x:c r="K386" s="62"/>
      <x:c r="L386" s="62"/>
      <x:c r="M386" s="68"/>
      <x:c r="N386" s="68"/>
      <x:c r="O386" s="68"/>
      <x:c r="P386" s="71" t="str">
        <x:f>IF(A386="","",IF(N386&gt;0,N386,M386))</x:f>
      </x:c>
      <x:c r="Q386" s="72" t="n">
        <x:f>IF(A386="",0,IF(COUNTIF($A$5:A386,A386)=1,1,0))</x:f>
        <x:v>0</x:v>
      </x:c>
      <x:c r="R386" s="64" t="str">
        <x:f>IF(A386="","",IF(F386="C386成功",IF(AND(J386&lt;&gt;"",K386&lt;&gt;"",N386&gt;0),"有证据","缺C386证据"),IF(F386="C386发货确认中",IF(AND(J386&lt;&gt;"",K386&lt;&gt;""),"有证据","缺C386证据"),IF(F386="手动完结",IF(OR(L386&lt;&gt;"",O386&lt;&gt;"",S386&lt;&gt;""),"有记录","缺手工证据"),IF(OR(F386="卖出待补仓",F386="提交结果待确认",F386="异常待处理"),"持续跟踪","检查状态")))))</x:f>
      </x:c>
      <x:c r="T386" s="64" t="str">
        <x:f>IF(A386="","",IF(COUNTIF($A$5:$A$1204,A386)&gt;1,"重复",""))</x:f>
      </x:c>
      <x:c r="U386" s="64" t="str">
        <x:f>IF(A386="","",IF(T386="重复","检查重复",IF(OR(R386="有证据",R386="有记录",R386="持续跟踪"),"可追踪","检查")))</x:f>
      </x:c>
    </x:row>
    <x:row r="387">
      <x:c r="A387" s="62"/>
      <x:c r="B387" s="62"/>
      <x:c r="C387" s="62"/>
      <x:c r="D387" s="66"/>
      <x:c r="E387" s="68"/>
      <x:c r="F387" s="62"/>
      <x:c r="G387" s="62"/>
      <x:c r="H387" s="62"/>
      <x:c r="I387" s="62"/>
      <x:c r="J387" s="62"/>
      <x:c r="K387" s="62"/>
      <x:c r="L387" s="62"/>
      <x:c r="M387" s="68"/>
      <x:c r="N387" s="68"/>
      <x:c r="O387" s="68"/>
      <x:c r="P387" s="71" t="str">
        <x:f>IF(A387="","",IF(N387&gt;0,N387,M387))</x:f>
      </x:c>
      <x:c r="Q387" s="72" t="n">
        <x:f>IF(A387="",0,IF(COUNTIF($A$5:A387,A387)=1,1,0))</x:f>
        <x:v>0</x:v>
      </x:c>
      <x:c r="R387" s="64" t="str">
        <x:f>IF(A387="","",IF(F387="C387成功",IF(AND(J387&lt;&gt;"",K387&lt;&gt;"",N387&gt;0),"有证据","缺C387证据"),IF(F387="C387发货确认中",IF(AND(J387&lt;&gt;"",K387&lt;&gt;""),"有证据","缺C387证据"),IF(F387="手动完结",IF(OR(L387&lt;&gt;"",O387&lt;&gt;"",S387&lt;&gt;""),"有记录","缺手工证据"),IF(OR(F387="卖出待补仓",F387="提交结果待确认",F387="异常待处理"),"持续跟踪","检查状态")))))</x:f>
      </x:c>
      <x:c r="T387" s="64" t="str">
        <x:f>IF(A387="","",IF(COUNTIF($A$5:$A$1204,A387)&gt;1,"重复",""))</x:f>
      </x:c>
      <x:c r="U387" s="64" t="str">
        <x:f>IF(A387="","",IF(T387="重复","检查重复",IF(OR(R387="有证据",R387="有记录",R387="持续跟踪"),"可追踪","检查")))</x:f>
      </x:c>
    </x:row>
    <x:row r="388">
      <x:c r="A388" s="62"/>
      <x:c r="B388" s="62"/>
      <x:c r="C388" s="62"/>
      <x:c r="D388" s="66"/>
      <x:c r="E388" s="68"/>
      <x:c r="F388" s="62"/>
      <x:c r="G388" s="62"/>
      <x:c r="H388" s="62"/>
      <x:c r="I388" s="62"/>
      <x:c r="J388" s="62"/>
      <x:c r="K388" s="62"/>
      <x:c r="L388" s="62"/>
      <x:c r="M388" s="68"/>
      <x:c r="N388" s="68"/>
      <x:c r="O388" s="68"/>
      <x:c r="P388" s="71" t="str">
        <x:f>IF(A388="","",IF(N388&gt;0,N388,M388))</x:f>
      </x:c>
      <x:c r="Q388" s="72" t="n">
        <x:f>IF(A388="",0,IF(COUNTIF($A$5:A388,A388)=1,1,0))</x:f>
        <x:v>0</x:v>
      </x:c>
      <x:c r="R388" s="64" t="str">
        <x:f>IF(A388="","",IF(F388="C388成功",IF(AND(J388&lt;&gt;"",K388&lt;&gt;"",N388&gt;0),"有证据","缺C388证据"),IF(F388="C388发货确认中",IF(AND(J388&lt;&gt;"",K388&lt;&gt;""),"有证据","缺C388证据"),IF(F388="手动完结",IF(OR(L388&lt;&gt;"",O388&lt;&gt;"",S388&lt;&gt;""),"有记录","缺手工证据"),IF(OR(F388="卖出待补仓",F388="提交结果待确认",F388="异常待处理"),"持续跟踪","检查状态")))))</x:f>
      </x:c>
      <x:c r="T388" s="64" t="str">
        <x:f>IF(A388="","",IF(COUNTIF($A$5:$A$1204,A388)&gt;1,"重复",""))</x:f>
      </x:c>
      <x:c r="U388" s="64" t="str">
        <x:f>IF(A388="","",IF(T388="重复","检查重复",IF(OR(R388="有证据",R388="有记录",R388="持续跟踪"),"可追踪","检查")))</x:f>
      </x:c>
    </x:row>
    <x:row r="389">
      <x:c r="A389" s="62"/>
      <x:c r="B389" s="62"/>
      <x:c r="C389" s="62"/>
      <x:c r="D389" s="66"/>
      <x:c r="E389" s="68"/>
      <x:c r="F389" s="62"/>
      <x:c r="G389" s="62"/>
      <x:c r="H389" s="62"/>
      <x:c r="I389" s="62"/>
      <x:c r="J389" s="62"/>
      <x:c r="K389" s="62"/>
      <x:c r="L389" s="62"/>
      <x:c r="M389" s="68"/>
      <x:c r="N389" s="68"/>
      <x:c r="O389" s="68"/>
      <x:c r="P389" s="71" t="str">
        <x:f>IF(A389="","",IF(N389&gt;0,N389,M389))</x:f>
      </x:c>
      <x:c r="Q389" s="72" t="n">
        <x:f>IF(A389="",0,IF(COUNTIF($A$5:A389,A389)=1,1,0))</x:f>
        <x:v>0</x:v>
      </x:c>
      <x:c r="R389" s="64" t="str">
        <x:f>IF(A389="","",IF(F389="C389成功",IF(AND(J389&lt;&gt;"",K389&lt;&gt;"",N389&gt;0),"有证据","缺C389证据"),IF(F389="C389发货确认中",IF(AND(J389&lt;&gt;"",K389&lt;&gt;""),"有证据","缺C389证据"),IF(F389="手动完结",IF(OR(L389&lt;&gt;"",O389&lt;&gt;"",S389&lt;&gt;""),"有记录","缺手工证据"),IF(OR(F389="卖出待补仓",F389="提交结果待确认",F389="异常待处理"),"持续跟踪","检查状态")))))</x:f>
      </x:c>
      <x:c r="T389" s="64" t="str">
        <x:f>IF(A389="","",IF(COUNTIF($A$5:$A$1204,A389)&gt;1,"重复",""))</x:f>
      </x:c>
      <x:c r="U389" s="64" t="str">
        <x:f>IF(A389="","",IF(T389="重复","检查重复",IF(OR(R389="有证据",R389="有记录",R389="持续跟踪"),"可追踪","检查")))</x:f>
      </x:c>
    </x:row>
    <x:row r="390">
      <x:c r="A390" s="62"/>
      <x:c r="B390" s="62"/>
      <x:c r="C390" s="62"/>
      <x:c r="D390" s="66"/>
      <x:c r="E390" s="68"/>
      <x:c r="F390" s="62"/>
      <x:c r="G390" s="62"/>
      <x:c r="H390" s="62"/>
      <x:c r="I390" s="62"/>
      <x:c r="J390" s="62"/>
      <x:c r="K390" s="62"/>
      <x:c r="L390" s="62"/>
      <x:c r="M390" s="68"/>
      <x:c r="N390" s="68"/>
      <x:c r="O390" s="68"/>
      <x:c r="P390" s="71" t="str">
        <x:f>IF(A390="","",IF(N390&gt;0,N390,M390))</x:f>
      </x:c>
      <x:c r="Q390" s="72" t="n">
        <x:f>IF(A390="",0,IF(COUNTIF($A$5:A390,A390)=1,1,0))</x:f>
        <x:v>0</x:v>
      </x:c>
      <x:c r="R390" s="64" t="str">
        <x:f>IF(A390="","",IF(F390="C390成功",IF(AND(J390&lt;&gt;"",K390&lt;&gt;"",N390&gt;0),"有证据","缺C390证据"),IF(F390="C390发货确认中",IF(AND(J390&lt;&gt;"",K390&lt;&gt;""),"有证据","缺C390证据"),IF(F390="手动完结",IF(OR(L390&lt;&gt;"",O390&lt;&gt;"",S390&lt;&gt;""),"有记录","缺手工证据"),IF(OR(F390="卖出待补仓",F390="提交结果待确认",F390="异常待处理"),"持续跟踪","检查状态")))))</x:f>
      </x:c>
      <x:c r="T390" s="64" t="str">
        <x:f>IF(A390="","",IF(COUNTIF($A$5:$A$1204,A390)&gt;1,"重复",""))</x:f>
      </x:c>
      <x:c r="U390" s="64" t="str">
        <x:f>IF(A390="","",IF(T390="重复","检查重复",IF(OR(R390="有证据",R390="有记录",R390="持续跟踪"),"可追踪","检查")))</x:f>
      </x:c>
    </x:row>
    <x:row r="391">
      <x:c r="A391" s="62"/>
      <x:c r="B391" s="62"/>
      <x:c r="C391" s="62"/>
      <x:c r="D391" s="66"/>
      <x:c r="E391" s="68"/>
      <x:c r="F391" s="62"/>
      <x:c r="G391" s="62"/>
      <x:c r="H391" s="62"/>
      <x:c r="I391" s="62"/>
      <x:c r="J391" s="62"/>
      <x:c r="K391" s="62"/>
      <x:c r="L391" s="62"/>
      <x:c r="M391" s="68"/>
      <x:c r="N391" s="68"/>
      <x:c r="O391" s="68"/>
      <x:c r="P391" s="71" t="str">
        <x:f>IF(A391="","",IF(N391&gt;0,N391,M391))</x:f>
      </x:c>
      <x:c r="Q391" s="72" t="n">
        <x:f>IF(A391="",0,IF(COUNTIF($A$5:A391,A391)=1,1,0))</x:f>
        <x:v>0</x:v>
      </x:c>
      <x:c r="R391" s="64" t="str">
        <x:f>IF(A391="","",IF(F391="C391成功",IF(AND(J391&lt;&gt;"",K391&lt;&gt;"",N391&gt;0),"有证据","缺C391证据"),IF(F391="C391发货确认中",IF(AND(J391&lt;&gt;"",K391&lt;&gt;""),"有证据","缺C391证据"),IF(F391="手动完结",IF(OR(L391&lt;&gt;"",O391&lt;&gt;"",S391&lt;&gt;""),"有记录","缺手工证据"),IF(OR(F391="卖出待补仓",F391="提交结果待确认",F391="异常待处理"),"持续跟踪","检查状态")))))</x:f>
      </x:c>
      <x:c r="T391" s="64" t="str">
        <x:f>IF(A391="","",IF(COUNTIF($A$5:$A$1204,A391)&gt;1,"重复",""))</x:f>
      </x:c>
      <x:c r="U391" s="64" t="str">
        <x:f>IF(A391="","",IF(T391="重复","检查重复",IF(OR(R391="有证据",R391="有记录",R391="持续跟踪"),"可追踪","检查")))</x:f>
      </x:c>
    </x:row>
    <x:row r="392">
      <x:c r="A392" s="62"/>
      <x:c r="B392" s="62"/>
      <x:c r="C392" s="62"/>
      <x:c r="D392" s="66"/>
      <x:c r="E392" s="68"/>
      <x:c r="F392" s="62"/>
      <x:c r="G392" s="62"/>
      <x:c r="H392" s="62"/>
      <x:c r="I392" s="62"/>
      <x:c r="J392" s="62"/>
      <x:c r="K392" s="62"/>
      <x:c r="L392" s="62"/>
      <x:c r="M392" s="68"/>
      <x:c r="N392" s="68"/>
      <x:c r="O392" s="68"/>
      <x:c r="P392" s="71" t="str">
        <x:f>IF(A392="","",IF(N392&gt;0,N392,M392))</x:f>
      </x:c>
      <x:c r="Q392" s="72" t="n">
        <x:f>IF(A392="",0,IF(COUNTIF($A$5:A392,A392)=1,1,0))</x:f>
        <x:v>0</x:v>
      </x:c>
      <x:c r="R392" s="64" t="str">
        <x:f>IF(A392="","",IF(F392="C392成功",IF(AND(J392&lt;&gt;"",K392&lt;&gt;"",N392&gt;0),"有证据","缺C392证据"),IF(F392="C392发货确认中",IF(AND(J392&lt;&gt;"",K392&lt;&gt;""),"有证据","缺C392证据"),IF(F392="手动完结",IF(OR(L392&lt;&gt;"",O392&lt;&gt;"",S392&lt;&gt;""),"有记录","缺手工证据"),IF(OR(F392="卖出待补仓",F392="提交结果待确认",F392="异常待处理"),"持续跟踪","检查状态")))))</x:f>
      </x:c>
      <x:c r="T392" s="64" t="str">
        <x:f>IF(A392="","",IF(COUNTIF($A$5:$A$1204,A392)&gt;1,"重复",""))</x:f>
      </x:c>
      <x:c r="U392" s="64" t="str">
        <x:f>IF(A392="","",IF(T392="重复","检查重复",IF(OR(R392="有证据",R392="有记录",R392="持续跟踪"),"可追踪","检查")))</x:f>
      </x:c>
    </x:row>
    <x:row r="393">
      <x:c r="A393" s="62"/>
      <x:c r="B393" s="62"/>
      <x:c r="C393" s="62"/>
      <x:c r="D393" s="66"/>
      <x:c r="E393" s="68"/>
      <x:c r="F393" s="62"/>
      <x:c r="G393" s="62"/>
      <x:c r="H393" s="62"/>
      <x:c r="I393" s="62"/>
      <x:c r="J393" s="62"/>
      <x:c r="K393" s="62"/>
      <x:c r="L393" s="62"/>
      <x:c r="M393" s="68"/>
      <x:c r="N393" s="68"/>
      <x:c r="O393" s="68"/>
      <x:c r="P393" s="71" t="str">
        <x:f>IF(A393="","",IF(N393&gt;0,N393,M393))</x:f>
      </x:c>
      <x:c r="Q393" s="72" t="n">
        <x:f>IF(A393="",0,IF(COUNTIF($A$5:A393,A393)=1,1,0))</x:f>
        <x:v>0</x:v>
      </x:c>
      <x:c r="R393" s="64" t="str">
        <x:f>IF(A393="","",IF(F393="C393成功",IF(AND(J393&lt;&gt;"",K393&lt;&gt;"",N393&gt;0),"有证据","缺C393证据"),IF(F393="C393发货确认中",IF(AND(J393&lt;&gt;"",K393&lt;&gt;""),"有证据","缺C393证据"),IF(F393="手动完结",IF(OR(L393&lt;&gt;"",O393&lt;&gt;"",S393&lt;&gt;""),"有记录","缺手工证据"),IF(OR(F393="卖出待补仓",F393="提交结果待确认",F393="异常待处理"),"持续跟踪","检查状态")))))</x:f>
      </x:c>
      <x:c r="T393" s="64" t="str">
        <x:f>IF(A393="","",IF(COUNTIF($A$5:$A$1204,A393)&gt;1,"重复",""))</x:f>
      </x:c>
      <x:c r="U393" s="64" t="str">
        <x:f>IF(A393="","",IF(T393="重复","检查重复",IF(OR(R393="有证据",R393="有记录",R393="持续跟踪"),"可追踪","检查")))</x:f>
      </x:c>
    </x:row>
    <x:row r="394">
      <x:c r="A394" s="62"/>
      <x:c r="B394" s="62"/>
      <x:c r="C394" s="62"/>
      <x:c r="D394" s="66"/>
      <x:c r="E394" s="68"/>
      <x:c r="F394" s="62"/>
      <x:c r="G394" s="62"/>
      <x:c r="H394" s="62"/>
      <x:c r="I394" s="62"/>
      <x:c r="J394" s="62"/>
      <x:c r="K394" s="62"/>
      <x:c r="L394" s="62"/>
      <x:c r="M394" s="68"/>
      <x:c r="N394" s="68"/>
      <x:c r="O394" s="68"/>
      <x:c r="P394" s="71" t="str">
        <x:f>IF(A394="","",IF(N394&gt;0,N394,M394))</x:f>
      </x:c>
      <x:c r="Q394" s="72" t="n">
        <x:f>IF(A394="",0,IF(COUNTIF($A$5:A394,A394)=1,1,0))</x:f>
        <x:v>0</x:v>
      </x:c>
      <x:c r="R394" s="64" t="str">
        <x:f>IF(A394="","",IF(F394="C394成功",IF(AND(J394&lt;&gt;"",K394&lt;&gt;"",N394&gt;0),"有证据","缺C394证据"),IF(F394="C394发货确认中",IF(AND(J394&lt;&gt;"",K394&lt;&gt;""),"有证据","缺C394证据"),IF(F394="手动完结",IF(OR(L394&lt;&gt;"",O394&lt;&gt;"",S394&lt;&gt;""),"有记录","缺手工证据"),IF(OR(F394="卖出待补仓",F394="提交结果待确认",F394="异常待处理"),"持续跟踪","检查状态")))))</x:f>
      </x:c>
      <x:c r="T394" s="64" t="str">
        <x:f>IF(A394="","",IF(COUNTIF($A$5:$A$1204,A394)&gt;1,"重复",""))</x:f>
      </x:c>
      <x:c r="U394" s="64" t="str">
        <x:f>IF(A394="","",IF(T394="重复","检查重复",IF(OR(R394="有证据",R394="有记录",R394="持续跟踪"),"可追踪","检查")))</x:f>
      </x:c>
    </x:row>
    <x:row r="395">
      <x:c r="A395" s="62"/>
      <x:c r="B395" s="62"/>
      <x:c r="C395" s="62"/>
      <x:c r="D395" s="66"/>
      <x:c r="E395" s="68"/>
      <x:c r="F395" s="62"/>
      <x:c r="G395" s="62"/>
      <x:c r="H395" s="62"/>
      <x:c r="I395" s="62"/>
      <x:c r="J395" s="62"/>
      <x:c r="K395" s="62"/>
      <x:c r="L395" s="62"/>
      <x:c r="M395" s="68"/>
      <x:c r="N395" s="68"/>
      <x:c r="O395" s="68"/>
      <x:c r="P395" s="71" t="str">
        <x:f>IF(A395="","",IF(N395&gt;0,N395,M395))</x:f>
      </x:c>
      <x:c r="Q395" s="72" t="n">
        <x:f>IF(A395="",0,IF(COUNTIF($A$5:A395,A395)=1,1,0))</x:f>
        <x:v>0</x:v>
      </x:c>
      <x:c r="R395" s="64" t="str">
        <x:f>IF(A395="","",IF(F395="C395成功",IF(AND(J395&lt;&gt;"",K395&lt;&gt;"",N395&gt;0),"有证据","缺C395证据"),IF(F395="C395发货确认中",IF(AND(J395&lt;&gt;"",K395&lt;&gt;""),"有证据","缺C395证据"),IF(F395="手动完结",IF(OR(L395&lt;&gt;"",O395&lt;&gt;"",S395&lt;&gt;""),"有记录","缺手工证据"),IF(OR(F395="卖出待补仓",F395="提交结果待确认",F395="异常待处理"),"持续跟踪","检查状态")))))</x:f>
      </x:c>
      <x:c r="T395" s="64" t="str">
        <x:f>IF(A395="","",IF(COUNTIF($A$5:$A$1204,A395)&gt;1,"重复",""))</x:f>
      </x:c>
      <x:c r="U395" s="64" t="str">
        <x:f>IF(A395="","",IF(T395="重复","检查重复",IF(OR(R395="有证据",R395="有记录",R395="持续跟踪"),"可追踪","检查")))</x:f>
      </x:c>
    </x:row>
    <x:row r="396">
      <x:c r="A396" s="62"/>
      <x:c r="B396" s="62"/>
      <x:c r="C396" s="62"/>
      <x:c r="D396" s="66"/>
      <x:c r="E396" s="68"/>
      <x:c r="F396" s="62"/>
      <x:c r="G396" s="62"/>
      <x:c r="H396" s="62"/>
      <x:c r="I396" s="62"/>
      <x:c r="J396" s="62"/>
      <x:c r="K396" s="62"/>
      <x:c r="L396" s="62"/>
      <x:c r="M396" s="68"/>
      <x:c r="N396" s="68"/>
      <x:c r="O396" s="68"/>
      <x:c r="P396" s="71" t="str">
        <x:f>IF(A396="","",IF(N396&gt;0,N396,M396))</x:f>
      </x:c>
      <x:c r="Q396" s="72" t="n">
        <x:f>IF(A396="",0,IF(COUNTIF($A$5:A396,A396)=1,1,0))</x:f>
        <x:v>0</x:v>
      </x:c>
      <x:c r="R396" s="64" t="str">
        <x:f>IF(A396="","",IF(F396="C396成功",IF(AND(J396&lt;&gt;"",K396&lt;&gt;"",N396&gt;0),"有证据","缺C396证据"),IF(F396="C396发货确认中",IF(AND(J396&lt;&gt;"",K396&lt;&gt;""),"有证据","缺C396证据"),IF(F396="手动完结",IF(OR(L396&lt;&gt;"",O396&lt;&gt;"",S396&lt;&gt;""),"有记录","缺手工证据"),IF(OR(F396="卖出待补仓",F396="提交结果待确认",F396="异常待处理"),"持续跟踪","检查状态")))))</x:f>
      </x:c>
      <x:c r="T396" s="64" t="str">
        <x:f>IF(A396="","",IF(COUNTIF($A$5:$A$1204,A396)&gt;1,"重复",""))</x:f>
      </x:c>
      <x:c r="U396" s="64" t="str">
        <x:f>IF(A396="","",IF(T396="重复","检查重复",IF(OR(R396="有证据",R396="有记录",R396="持续跟踪"),"可追踪","检查")))</x:f>
      </x:c>
    </x:row>
    <x:row r="397">
      <x:c r="A397" s="62"/>
      <x:c r="B397" s="62"/>
      <x:c r="C397" s="62"/>
      <x:c r="D397" s="66"/>
      <x:c r="E397" s="68"/>
      <x:c r="F397" s="62"/>
      <x:c r="G397" s="62"/>
      <x:c r="H397" s="62"/>
      <x:c r="I397" s="62"/>
      <x:c r="J397" s="62"/>
      <x:c r="K397" s="62"/>
      <x:c r="L397" s="62"/>
      <x:c r="M397" s="68"/>
      <x:c r="N397" s="68"/>
      <x:c r="O397" s="68"/>
      <x:c r="P397" s="71" t="str">
        <x:f>IF(A397="","",IF(N397&gt;0,N397,M397))</x:f>
      </x:c>
      <x:c r="Q397" s="72" t="n">
        <x:f>IF(A397="",0,IF(COUNTIF($A$5:A397,A397)=1,1,0))</x:f>
        <x:v>0</x:v>
      </x:c>
      <x:c r="R397" s="64" t="str">
        <x:f>IF(A397="","",IF(F397="C397成功",IF(AND(J397&lt;&gt;"",K397&lt;&gt;"",N397&gt;0),"有证据","缺C397证据"),IF(F397="C397发货确认中",IF(AND(J397&lt;&gt;"",K397&lt;&gt;""),"有证据","缺C397证据"),IF(F397="手动完结",IF(OR(L397&lt;&gt;"",O397&lt;&gt;"",S397&lt;&gt;""),"有记录","缺手工证据"),IF(OR(F397="卖出待补仓",F397="提交结果待确认",F397="异常待处理"),"持续跟踪","检查状态")))))</x:f>
      </x:c>
      <x:c r="T397" s="64" t="str">
        <x:f>IF(A397="","",IF(COUNTIF($A$5:$A$1204,A397)&gt;1,"重复",""))</x:f>
      </x:c>
      <x:c r="U397" s="64" t="str">
        <x:f>IF(A397="","",IF(T397="重复","检查重复",IF(OR(R397="有证据",R397="有记录",R397="持续跟踪"),"可追踪","检查")))</x:f>
      </x:c>
    </x:row>
    <x:row r="398">
      <x:c r="A398" s="62"/>
      <x:c r="B398" s="62"/>
      <x:c r="C398" s="62"/>
      <x:c r="D398" s="66"/>
      <x:c r="E398" s="68"/>
      <x:c r="F398" s="62"/>
      <x:c r="G398" s="62"/>
      <x:c r="H398" s="62"/>
      <x:c r="I398" s="62"/>
      <x:c r="J398" s="62"/>
      <x:c r="K398" s="62"/>
      <x:c r="L398" s="62"/>
      <x:c r="M398" s="68"/>
      <x:c r="N398" s="68"/>
      <x:c r="O398" s="68"/>
      <x:c r="P398" s="71" t="str">
        <x:f>IF(A398="","",IF(N398&gt;0,N398,M398))</x:f>
      </x:c>
      <x:c r="Q398" s="72" t="n">
        <x:f>IF(A398="",0,IF(COUNTIF($A$5:A398,A398)=1,1,0))</x:f>
        <x:v>0</x:v>
      </x:c>
      <x:c r="R398" s="64" t="str">
        <x:f>IF(A398="","",IF(F398="C398成功",IF(AND(J398&lt;&gt;"",K398&lt;&gt;"",N398&gt;0),"有证据","缺C398证据"),IF(F398="C398发货确认中",IF(AND(J398&lt;&gt;"",K398&lt;&gt;""),"有证据","缺C398证据"),IF(F398="手动完结",IF(OR(L398&lt;&gt;"",O398&lt;&gt;"",S398&lt;&gt;""),"有记录","缺手工证据"),IF(OR(F398="卖出待补仓",F398="提交结果待确认",F398="异常待处理"),"持续跟踪","检查状态")))))</x:f>
      </x:c>
      <x:c r="T398" s="64" t="str">
        <x:f>IF(A398="","",IF(COUNTIF($A$5:$A$1204,A398)&gt;1,"重复",""))</x:f>
      </x:c>
      <x:c r="U398" s="64" t="str">
        <x:f>IF(A398="","",IF(T398="重复","检查重复",IF(OR(R398="有证据",R398="有记录",R398="持续跟踪"),"可追踪","检查")))</x:f>
      </x:c>
    </x:row>
    <x:row r="399">
      <x:c r="A399" s="62"/>
      <x:c r="B399" s="62"/>
      <x:c r="C399" s="62"/>
      <x:c r="D399" s="66"/>
      <x:c r="E399" s="68"/>
      <x:c r="F399" s="62"/>
      <x:c r="G399" s="62"/>
      <x:c r="H399" s="62"/>
      <x:c r="I399" s="62"/>
      <x:c r="J399" s="62"/>
      <x:c r="K399" s="62"/>
      <x:c r="L399" s="62"/>
      <x:c r="M399" s="68"/>
      <x:c r="N399" s="68"/>
      <x:c r="O399" s="68"/>
      <x:c r="P399" s="71" t="str">
        <x:f>IF(A399="","",IF(N399&gt;0,N399,M399))</x:f>
      </x:c>
      <x:c r="Q399" s="72" t="n">
        <x:f>IF(A399="",0,IF(COUNTIF($A$5:A399,A399)=1,1,0))</x:f>
        <x:v>0</x:v>
      </x:c>
      <x:c r="R399" s="64" t="str">
        <x:f>IF(A399="","",IF(F399="C399成功",IF(AND(J399&lt;&gt;"",K399&lt;&gt;"",N399&gt;0),"有证据","缺C399证据"),IF(F399="C399发货确认中",IF(AND(J399&lt;&gt;"",K399&lt;&gt;""),"有证据","缺C399证据"),IF(F399="手动完结",IF(OR(L399&lt;&gt;"",O399&lt;&gt;"",S399&lt;&gt;""),"有记录","缺手工证据"),IF(OR(F399="卖出待补仓",F399="提交结果待确认",F399="异常待处理"),"持续跟踪","检查状态")))))</x:f>
      </x:c>
      <x:c r="T399" s="64" t="str">
        <x:f>IF(A399="","",IF(COUNTIF($A$5:$A$1204,A399)&gt;1,"重复",""))</x:f>
      </x:c>
      <x:c r="U399" s="64" t="str">
        <x:f>IF(A399="","",IF(T399="重复","检查重复",IF(OR(R399="有证据",R399="有记录",R399="持续跟踪"),"可追踪","检查")))</x:f>
      </x:c>
    </x:row>
    <x:row r="400">
      <x:c r="A400" s="62"/>
      <x:c r="B400" s="62"/>
      <x:c r="C400" s="62"/>
      <x:c r="D400" s="66"/>
      <x:c r="E400" s="68"/>
      <x:c r="F400" s="62"/>
      <x:c r="G400" s="62"/>
      <x:c r="H400" s="62"/>
      <x:c r="I400" s="62"/>
      <x:c r="J400" s="62"/>
      <x:c r="K400" s="62"/>
      <x:c r="L400" s="62"/>
      <x:c r="M400" s="68"/>
      <x:c r="N400" s="68"/>
      <x:c r="O400" s="68"/>
      <x:c r="P400" s="71" t="str">
        <x:f>IF(A400="","",IF(N400&gt;0,N400,M400))</x:f>
      </x:c>
      <x:c r="Q400" s="72" t="n">
        <x:f>IF(A400="",0,IF(COUNTIF($A$5:A400,A400)=1,1,0))</x:f>
        <x:v>0</x:v>
      </x:c>
      <x:c r="R400" s="64" t="str">
        <x:f>IF(A400="","",IF(F400="C400成功",IF(AND(J400&lt;&gt;"",K400&lt;&gt;"",N400&gt;0),"有证据","缺C400证据"),IF(F400="C400发货确认中",IF(AND(J400&lt;&gt;"",K400&lt;&gt;""),"有证据","缺C400证据"),IF(F400="手动完结",IF(OR(L400&lt;&gt;"",O400&lt;&gt;"",S400&lt;&gt;""),"有记录","缺手工证据"),IF(OR(F400="卖出待补仓",F400="提交结果待确认",F400="异常待处理"),"持续跟踪","检查状态")))))</x:f>
      </x:c>
      <x:c r="T400" s="64" t="str">
        <x:f>IF(A400="","",IF(COUNTIF($A$5:$A$1204,A400)&gt;1,"重复",""))</x:f>
      </x:c>
      <x:c r="U400" s="64" t="str">
        <x:f>IF(A400="","",IF(T400="重复","检查重复",IF(OR(R400="有证据",R400="有记录",R400="持续跟踪"),"可追踪","检查")))</x:f>
      </x:c>
    </x:row>
    <x:row r="401">
      <x:c r="A401" s="62"/>
      <x:c r="B401" s="62"/>
      <x:c r="C401" s="62"/>
      <x:c r="D401" s="66"/>
      <x:c r="E401" s="68"/>
      <x:c r="F401" s="62"/>
      <x:c r="G401" s="62"/>
      <x:c r="H401" s="62"/>
      <x:c r="I401" s="62"/>
      <x:c r="J401" s="62"/>
      <x:c r="K401" s="62"/>
      <x:c r="L401" s="62"/>
      <x:c r="M401" s="68"/>
      <x:c r="N401" s="68"/>
      <x:c r="O401" s="68"/>
      <x:c r="P401" s="71" t="str">
        <x:f>IF(A401="","",IF(N401&gt;0,N401,M401))</x:f>
      </x:c>
      <x:c r="Q401" s="72" t="n">
        <x:f>IF(A401="",0,IF(COUNTIF($A$5:A401,A401)=1,1,0))</x:f>
        <x:v>0</x:v>
      </x:c>
      <x:c r="R401" s="64" t="str">
        <x:f>IF(A401="","",IF(F401="C401成功",IF(AND(J401&lt;&gt;"",K401&lt;&gt;"",N401&gt;0),"有证据","缺C401证据"),IF(F401="C401发货确认中",IF(AND(J401&lt;&gt;"",K401&lt;&gt;""),"有证据","缺C401证据"),IF(F401="手动完结",IF(OR(L401&lt;&gt;"",O401&lt;&gt;"",S401&lt;&gt;""),"有记录","缺手工证据"),IF(OR(F401="卖出待补仓",F401="提交结果待确认",F401="异常待处理"),"持续跟踪","检查状态")))))</x:f>
      </x:c>
      <x:c r="T401" s="64" t="str">
        <x:f>IF(A401="","",IF(COUNTIF($A$5:$A$1204,A401)&gt;1,"重复",""))</x:f>
      </x:c>
      <x:c r="U401" s="64" t="str">
        <x:f>IF(A401="","",IF(T401="重复","检查重复",IF(OR(R401="有证据",R401="有记录",R401="持续跟踪"),"可追踪","检查")))</x:f>
      </x:c>
    </x:row>
    <x:row r="402">
      <x:c r="A402" s="62"/>
      <x:c r="B402" s="62"/>
      <x:c r="C402" s="62"/>
      <x:c r="D402" s="66"/>
      <x:c r="E402" s="68"/>
      <x:c r="F402" s="62"/>
      <x:c r="G402" s="62"/>
      <x:c r="H402" s="62"/>
      <x:c r="I402" s="62"/>
      <x:c r="J402" s="62"/>
      <x:c r="K402" s="62"/>
      <x:c r="L402" s="62"/>
      <x:c r="M402" s="68"/>
      <x:c r="N402" s="68"/>
      <x:c r="O402" s="68"/>
      <x:c r="P402" s="71" t="str">
        <x:f>IF(A402="","",IF(N402&gt;0,N402,M402))</x:f>
      </x:c>
      <x:c r="Q402" s="72" t="n">
        <x:f>IF(A402="",0,IF(COUNTIF($A$5:A402,A402)=1,1,0))</x:f>
        <x:v>0</x:v>
      </x:c>
      <x:c r="R402" s="64" t="str">
        <x:f>IF(A402="","",IF(F402="C402成功",IF(AND(J402&lt;&gt;"",K402&lt;&gt;"",N402&gt;0),"有证据","缺C402证据"),IF(F402="C402发货确认中",IF(AND(J402&lt;&gt;"",K402&lt;&gt;""),"有证据","缺C402证据"),IF(F402="手动完结",IF(OR(L402&lt;&gt;"",O402&lt;&gt;"",S402&lt;&gt;""),"有记录","缺手工证据"),IF(OR(F402="卖出待补仓",F402="提交结果待确认",F402="异常待处理"),"持续跟踪","检查状态")))))</x:f>
      </x:c>
      <x:c r="T402" s="64" t="str">
        <x:f>IF(A402="","",IF(COUNTIF($A$5:$A$1204,A402)&gt;1,"重复",""))</x:f>
      </x:c>
      <x:c r="U402" s="64" t="str">
        <x:f>IF(A402="","",IF(T402="重复","检查重复",IF(OR(R402="有证据",R402="有记录",R402="持续跟踪"),"可追踪","检查")))</x:f>
      </x:c>
    </x:row>
    <x:row r="403">
      <x:c r="A403" s="62"/>
      <x:c r="B403" s="62"/>
      <x:c r="C403" s="62"/>
      <x:c r="D403" s="66"/>
      <x:c r="E403" s="68"/>
      <x:c r="F403" s="62"/>
      <x:c r="G403" s="62"/>
      <x:c r="H403" s="62"/>
      <x:c r="I403" s="62"/>
      <x:c r="J403" s="62"/>
      <x:c r="K403" s="62"/>
      <x:c r="L403" s="62"/>
      <x:c r="M403" s="68"/>
      <x:c r="N403" s="68"/>
      <x:c r="O403" s="68"/>
      <x:c r="P403" s="71" t="str">
        <x:f>IF(A403="","",IF(N403&gt;0,N403,M403))</x:f>
      </x:c>
      <x:c r="Q403" s="72" t="n">
        <x:f>IF(A403="",0,IF(COUNTIF($A$5:A403,A403)=1,1,0))</x:f>
        <x:v>0</x:v>
      </x:c>
      <x:c r="R403" s="64" t="str">
        <x:f>IF(A403="","",IF(F403="C403成功",IF(AND(J403&lt;&gt;"",K403&lt;&gt;"",N403&gt;0),"有证据","缺C403证据"),IF(F403="C403发货确认中",IF(AND(J403&lt;&gt;"",K403&lt;&gt;""),"有证据","缺C403证据"),IF(F403="手动完结",IF(OR(L403&lt;&gt;"",O403&lt;&gt;"",S403&lt;&gt;""),"有记录","缺手工证据"),IF(OR(F403="卖出待补仓",F403="提交结果待确认",F403="异常待处理"),"持续跟踪","检查状态")))))</x:f>
      </x:c>
      <x:c r="T403" s="64" t="str">
        <x:f>IF(A403="","",IF(COUNTIF($A$5:$A$1204,A403)&gt;1,"重复",""))</x:f>
      </x:c>
      <x:c r="U403" s="64" t="str">
        <x:f>IF(A403="","",IF(T403="重复","检查重复",IF(OR(R403="有证据",R403="有记录",R403="持续跟踪"),"可追踪","检查")))</x:f>
      </x:c>
    </x:row>
    <x:row r="404">
      <x:c r="A404" s="62"/>
      <x:c r="B404" s="62"/>
      <x:c r="C404" s="62"/>
      <x:c r="D404" s="66"/>
      <x:c r="E404" s="68"/>
      <x:c r="F404" s="62"/>
      <x:c r="G404" s="62"/>
      <x:c r="H404" s="62"/>
      <x:c r="I404" s="62"/>
      <x:c r="J404" s="62"/>
      <x:c r="K404" s="62"/>
      <x:c r="L404" s="62"/>
      <x:c r="M404" s="68"/>
      <x:c r="N404" s="68"/>
      <x:c r="O404" s="68"/>
      <x:c r="P404" s="71" t="str">
        <x:f>IF(A404="","",IF(N404&gt;0,N404,M404))</x:f>
      </x:c>
      <x:c r="Q404" s="72" t="n">
        <x:f>IF(A404="",0,IF(COUNTIF($A$5:A404,A404)=1,1,0))</x:f>
        <x:v>0</x:v>
      </x:c>
      <x:c r="R404" s="64" t="str">
        <x:f>IF(A404="","",IF(F404="C404成功",IF(AND(J404&lt;&gt;"",K404&lt;&gt;"",N404&gt;0),"有证据","缺C404证据"),IF(F404="C404发货确认中",IF(AND(J404&lt;&gt;"",K404&lt;&gt;""),"有证据","缺C404证据"),IF(F404="手动完结",IF(OR(L404&lt;&gt;"",O404&lt;&gt;"",S404&lt;&gt;""),"有记录","缺手工证据"),IF(OR(F404="卖出待补仓",F404="提交结果待确认",F404="异常待处理"),"持续跟踪","检查状态")))))</x:f>
      </x:c>
      <x:c r="T404" s="64" t="str">
        <x:f>IF(A404="","",IF(COUNTIF($A$5:$A$1204,A404)&gt;1,"重复",""))</x:f>
      </x:c>
      <x:c r="U404" s="64" t="str">
        <x:f>IF(A404="","",IF(T404="重复","检查重复",IF(OR(R404="有证据",R404="有记录",R404="持续跟踪"),"可追踪","检查")))</x:f>
      </x:c>
    </x:row>
    <x:row r="405">
      <x:c r="A405" s="62"/>
      <x:c r="B405" s="62"/>
      <x:c r="C405" s="62"/>
      <x:c r="D405" s="66"/>
      <x:c r="E405" s="68"/>
      <x:c r="F405" s="62"/>
      <x:c r="G405" s="62"/>
      <x:c r="H405" s="62"/>
      <x:c r="I405" s="62"/>
      <x:c r="J405" s="62"/>
      <x:c r="K405" s="62"/>
      <x:c r="L405" s="62"/>
      <x:c r="M405" s="68"/>
      <x:c r="N405" s="68"/>
      <x:c r="O405" s="68"/>
      <x:c r="P405" s="71" t="str">
        <x:f>IF(A405="","",IF(N405&gt;0,N405,M405))</x:f>
      </x:c>
      <x:c r="Q405" s="72" t="n">
        <x:f>IF(A405="",0,IF(COUNTIF($A$5:A405,A405)=1,1,0))</x:f>
        <x:v>0</x:v>
      </x:c>
      <x:c r="R405" s="64" t="str">
        <x:f>IF(A405="","",IF(F405="C405成功",IF(AND(J405&lt;&gt;"",K405&lt;&gt;"",N405&gt;0),"有证据","缺C405证据"),IF(F405="C405发货确认中",IF(AND(J405&lt;&gt;"",K405&lt;&gt;""),"有证据","缺C405证据"),IF(F405="手动完结",IF(OR(L405&lt;&gt;"",O405&lt;&gt;"",S405&lt;&gt;""),"有记录","缺手工证据"),IF(OR(F405="卖出待补仓",F405="提交结果待确认",F405="异常待处理"),"持续跟踪","检查状态")))))</x:f>
      </x:c>
      <x:c r="T405" s="64" t="str">
        <x:f>IF(A405="","",IF(COUNTIF($A$5:$A$1204,A405)&gt;1,"重复",""))</x:f>
      </x:c>
      <x:c r="U405" s="64" t="str">
        <x:f>IF(A405="","",IF(T405="重复","检查重复",IF(OR(R405="有证据",R405="有记录",R405="持续跟踪"),"可追踪","检查")))</x:f>
      </x:c>
    </x:row>
    <x:row r="406">
      <x:c r="A406" s="62"/>
      <x:c r="B406" s="62"/>
      <x:c r="C406" s="62"/>
      <x:c r="D406" s="66"/>
      <x:c r="E406" s="68"/>
      <x:c r="F406" s="62"/>
      <x:c r="G406" s="62"/>
      <x:c r="H406" s="62"/>
      <x:c r="I406" s="62"/>
      <x:c r="J406" s="62"/>
      <x:c r="K406" s="62"/>
      <x:c r="L406" s="62"/>
      <x:c r="M406" s="68"/>
      <x:c r="N406" s="68"/>
      <x:c r="O406" s="68"/>
      <x:c r="P406" s="71" t="str">
        <x:f>IF(A406="","",IF(N406&gt;0,N406,M406))</x:f>
      </x:c>
      <x:c r="Q406" s="72" t="n">
        <x:f>IF(A406="",0,IF(COUNTIF($A$5:A406,A406)=1,1,0))</x:f>
        <x:v>0</x:v>
      </x:c>
      <x:c r="R406" s="64" t="str">
        <x:f>IF(A406="","",IF(F406="C406成功",IF(AND(J406&lt;&gt;"",K406&lt;&gt;"",N406&gt;0),"有证据","缺C406证据"),IF(F406="C406发货确认中",IF(AND(J406&lt;&gt;"",K406&lt;&gt;""),"有证据","缺C406证据"),IF(F406="手动完结",IF(OR(L406&lt;&gt;"",O406&lt;&gt;"",S406&lt;&gt;""),"有记录","缺手工证据"),IF(OR(F406="卖出待补仓",F406="提交结果待确认",F406="异常待处理"),"持续跟踪","检查状态")))))</x:f>
      </x:c>
      <x:c r="T406" s="64" t="str">
        <x:f>IF(A406="","",IF(COUNTIF($A$5:$A$1204,A406)&gt;1,"重复",""))</x:f>
      </x:c>
      <x:c r="U406" s="64" t="str">
        <x:f>IF(A406="","",IF(T406="重复","检查重复",IF(OR(R406="有证据",R406="有记录",R406="持续跟踪"),"可追踪","检查")))</x:f>
      </x:c>
    </x:row>
    <x:row r="407">
      <x:c r="A407" s="62"/>
      <x:c r="B407" s="62"/>
      <x:c r="C407" s="62"/>
      <x:c r="D407" s="66"/>
      <x:c r="E407" s="68"/>
      <x:c r="F407" s="62"/>
      <x:c r="G407" s="62"/>
      <x:c r="H407" s="62"/>
      <x:c r="I407" s="62"/>
      <x:c r="J407" s="62"/>
      <x:c r="K407" s="62"/>
      <x:c r="L407" s="62"/>
      <x:c r="M407" s="68"/>
      <x:c r="N407" s="68"/>
      <x:c r="O407" s="68"/>
      <x:c r="P407" s="71" t="str">
        <x:f>IF(A407="","",IF(N407&gt;0,N407,M407))</x:f>
      </x:c>
      <x:c r="Q407" s="72" t="n">
        <x:f>IF(A407="",0,IF(COUNTIF($A$5:A407,A407)=1,1,0))</x:f>
        <x:v>0</x:v>
      </x:c>
      <x:c r="R407" s="64" t="str">
        <x:f>IF(A407="","",IF(F407="C407成功",IF(AND(J407&lt;&gt;"",K407&lt;&gt;"",N407&gt;0),"有证据","缺C407证据"),IF(F407="C407发货确认中",IF(AND(J407&lt;&gt;"",K407&lt;&gt;""),"有证据","缺C407证据"),IF(F407="手动完结",IF(OR(L407&lt;&gt;"",O407&lt;&gt;"",S407&lt;&gt;""),"有记录","缺手工证据"),IF(OR(F407="卖出待补仓",F407="提交结果待确认",F407="异常待处理"),"持续跟踪","检查状态")))))</x:f>
      </x:c>
      <x:c r="T407" s="64" t="str">
        <x:f>IF(A407="","",IF(COUNTIF($A$5:$A$1204,A407)&gt;1,"重复",""))</x:f>
      </x:c>
      <x:c r="U407" s="64" t="str">
        <x:f>IF(A407="","",IF(T407="重复","检查重复",IF(OR(R407="有证据",R407="有记录",R407="持续跟踪"),"可追踪","检查")))</x:f>
      </x:c>
    </x:row>
    <x:row r="408">
      <x:c r="A408" s="62"/>
      <x:c r="B408" s="62"/>
      <x:c r="C408" s="62"/>
      <x:c r="D408" s="66"/>
      <x:c r="E408" s="68"/>
      <x:c r="F408" s="62"/>
      <x:c r="G408" s="62"/>
      <x:c r="H408" s="62"/>
      <x:c r="I408" s="62"/>
      <x:c r="J408" s="62"/>
      <x:c r="K408" s="62"/>
      <x:c r="L408" s="62"/>
      <x:c r="M408" s="68"/>
      <x:c r="N408" s="68"/>
      <x:c r="O408" s="68"/>
      <x:c r="P408" s="71" t="str">
        <x:f>IF(A408="","",IF(N408&gt;0,N408,M408))</x:f>
      </x:c>
      <x:c r="Q408" s="72" t="n">
        <x:f>IF(A408="",0,IF(COUNTIF($A$5:A408,A408)=1,1,0))</x:f>
        <x:v>0</x:v>
      </x:c>
      <x:c r="R408" s="64" t="str">
        <x:f>IF(A408="","",IF(F408="C408成功",IF(AND(J408&lt;&gt;"",K408&lt;&gt;"",N408&gt;0),"有证据","缺C408证据"),IF(F408="C408发货确认中",IF(AND(J408&lt;&gt;"",K408&lt;&gt;""),"有证据","缺C408证据"),IF(F408="手动完结",IF(OR(L408&lt;&gt;"",O408&lt;&gt;"",S408&lt;&gt;""),"有记录","缺手工证据"),IF(OR(F408="卖出待补仓",F408="提交结果待确认",F408="异常待处理"),"持续跟踪","检查状态")))))</x:f>
      </x:c>
      <x:c r="T408" s="64" t="str">
        <x:f>IF(A408="","",IF(COUNTIF($A$5:$A$1204,A408)&gt;1,"重复",""))</x:f>
      </x:c>
      <x:c r="U408" s="64" t="str">
        <x:f>IF(A408="","",IF(T408="重复","检查重复",IF(OR(R408="有证据",R408="有记录",R408="持续跟踪"),"可追踪","检查")))</x:f>
      </x:c>
    </x:row>
    <x:row r="409">
      <x:c r="A409" s="62"/>
      <x:c r="B409" s="62"/>
      <x:c r="C409" s="62"/>
      <x:c r="D409" s="66"/>
      <x:c r="E409" s="68"/>
      <x:c r="F409" s="62"/>
      <x:c r="G409" s="62"/>
      <x:c r="H409" s="62"/>
      <x:c r="I409" s="62"/>
      <x:c r="J409" s="62"/>
      <x:c r="K409" s="62"/>
      <x:c r="L409" s="62"/>
      <x:c r="M409" s="68"/>
      <x:c r="N409" s="68"/>
      <x:c r="O409" s="68"/>
      <x:c r="P409" s="71" t="str">
        <x:f>IF(A409="","",IF(N409&gt;0,N409,M409))</x:f>
      </x:c>
      <x:c r="Q409" s="72" t="n">
        <x:f>IF(A409="",0,IF(COUNTIF($A$5:A409,A409)=1,1,0))</x:f>
        <x:v>0</x:v>
      </x:c>
      <x:c r="R409" s="64" t="str">
        <x:f>IF(A409="","",IF(F409="C409成功",IF(AND(J409&lt;&gt;"",K409&lt;&gt;"",N409&gt;0),"有证据","缺C409证据"),IF(F409="C409发货确认中",IF(AND(J409&lt;&gt;"",K409&lt;&gt;""),"有证据","缺C409证据"),IF(F409="手动完结",IF(OR(L409&lt;&gt;"",O409&lt;&gt;"",S409&lt;&gt;""),"有记录","缺手工证据"),IF(OR(F409="卖出待补仓",F409="提交结果待确认",F409="异常待处理"),"持续跟踪","检查状态")))))</x:f>
      </x:c>
      <x:c r="T409" s="64" t="str">
        <x:f>IF(A409="","",IF(COUNTIF($A$5:$A$1204,A409)&gt;1,"重复",""))</x:f>
      </x:c>
      <x:c r="U409" s="64" t="str">
        <x:f>IF(A409="","",IF(T409="重复","检查重复",IF(OR(R409="有证据",R409="有记录",R409="持续跟踪"),"可追踪","检查")))</x:f>
      </x:c>
    </x:row>
    <x:row r="410">
      <x:c r="A410" s="62"/>
      <x:c r="B410" s="62"/>
      <x:c r="C410" s="62"/>
      <x:c r="D410" s="66"/>
      <x:c r="E410" s="68"/>
      <x:c r="F410" s="62"/>
      <x:c r="G410" s="62"/>
      <x:c r="H410" s="62"/>
      <x:c r="I410" s="62"/>
      <x:c r="J410" s="62"/>
      <x:c r="K410" s="62"/>
      <x:c r="L410" s="62"/>
      <x:c r="M410" s="68"/>
      <x:c r="N410" s="68"/>
      <x:c r="O410" s="68"/>
      <x:c r="P410" s="71" t="str">
        <x:f>IF(A410="","",IF(N410&gt;0,N410,M410))</x:f>
      </x:c>
      <x:c r="Q410" s="72" t="n">
        <x:f>IF(A410="",0,IF(COUNTIF($A$5:A410,A410)=1,1,0))</x:f>
        <x:v>0</x:v>
      </x:c>
      <x:c r="R410" s="64" t="str">
        <x:f>IF(A410="","",IF(F410="C410成功",IF(AND(J410&lt;&gt;"",K410&lt;&gt;"",N410&gt;0),"有证据","缺C410证据"),IF(F410="C410发货确认中",IF(AND(J410&lt;&gt;"",K410&lt;&gt;""),"有证据","缺C410证据"),IF(F410="手动完结",IF(OR(L410&lt;&gt;"",O410&lt;&gt;"",S410&lt;&gt;""),"有记录","缺手工证据"),IF(OR(F410="卖出待补仓",F410="提交结果待确认",F410="异常待处理"),"持续跟踪","检查状态")))))</x:f>
      </x:c>
      <x:c r="T410" s="64" t="str">
        <x:f>IF(A410="","",IF(COUNTIF($A$5:$A$1204,A410)&gt;1,"重复",""))</x:f>
      </x:c>
      <x:c r="U410" s="64" t="str">
        <x:f>IF(A410="","",IF(T410="重复","检查重复",IF(OR(R410="有证据",R410="有记录",R410="持续跟踪"),"可追踪","检查")))</x:f>
      </x:c>
    </x:row>
    <x:row r="411">
      <x:c r="A411" s="62"/>
      <x:c r="B411" s="62"/>
      <x:c r="C411" s="62"/>
      <x:c r="D411" s="66"/>
      <x:c r="E411" s="68"/>
      <x:c r="F411" s="62"/>
      <x:c r="G411" s="62"/>
      <x:c r="H411" s="62"/>
      <x:c r="I411" s="62"/>
      <x:c r="J411" s="62"/>
      <x:c r="K411" s="62"/>
      <x:c r="L411" s="62"/>
      <x:c r="M411" s="68"/>
      <x:c r="N411" s="68"/>
      <x:c r="O411" s="68"/>
      <x:c r="P411" s="71" t="str">
        <x:f>IF(A411="","",IF(N411&gt;0,N411,M411))</x:f>
      </x:c>
      <x:c r="Q411" s="72" t="n">
        <x:f>IF(A411="",0,IF(COUNTIF($A$5:A411,A411)=1,1,0))</x:f>
        <x:v>0</x:v>
      </x:c>
      <x:c r="R411" s="64" t="str">
        <x:f>IF(A411="","",IF(F411="C411成功",IF(AND(J411&lt;&gt;"",K411&lt;&gt;"",N411&gt;0),"有证据","缺C411证据"),IF(F411="C411发货确认中",IF(AND(J411&lt;&gt;"",K411&lt;&gt;""),"有证据","缺C411证据"),IF(F411="手动完结",IF(OR(L411&lt;&gt;"",O411&lt;&gt;"",S411&lt;&gt;""),"有记录","缺手工证据"),IF(OR(F411="卖出待补仓",F411="提交结果待确认",F411="异常待处理"),"持续跟踪","检查状态")))))</x:f>
      </x:c>
      <x:c r="T411" s="64" t="str">
        <x:f>IF(A411="","",IF(COUNTIF($A$5:$A$1204,A411)&gt;1,"重复",""))</x:f>
      </x:c>
      <x:c r="U411" s="64" t="str">
        <x:f>IF(A411="","",IF(T411="重复","检查重复",IF(OR(R411="有证据",R411="有记录",R411="持续跟踪"),"可追踪","检查")))</x:f>
      </x:c>
    </x:row>
    <x:row r="412">
      <x:c r="A412" s="62"/>
      <x:c r="B412" s="62"/>
      <x:c r="C412" s="62"/>
      <x:c r="D412" s="66"/>
      <x:c r="E412" s="68"/>
      <x:c r="F412" s="62"/>
      <x:c r="G412" s="62"/>
      <x:c r="H412" s="62"/>
      <x:c r="I412" s="62"/>
      <x:c r="J412" s="62"/>
      <x:c r="K412" s="62"/>
      <x:c r="L412" s="62"/>
      <x:c r="M412" s="68"/>
      <x:c r="N412" s="68"/>
      <x:c r="O412" s="68"/>
      <x:c r="P412" s="71" t="str">
        <x:f>IF(A412="","",IF(N412&gt;0,N412,M412))</x:f>
      </x:c>
      <x:c r="Q412" s="72" t="n">
        <x:f>IF(A412="",0,IF(COUNTIF($A$5:A412,A412)=1,1,0))</x:f>
        <x:v>0</x:v>
      </x:c>
      <x:c r="R412" s="64" t="str">
        <x:f>IF(A412="","",IF(F412="C412成功",IF(AND(J412&lt;&gt;"",K412&lt;&gt;"",N412&gt;0),"有证据","缺C412证据"),IF(F412="C412发货确认中",IF(AND(J412&lt;&gt;"",K412&lt;&gt;""),"有证据","缺C412证据"),IF(F412="手动完结",IF(OR(L412&lt;&gt;"",O412&lt;&gt;"",S412&lt;&gt;""),"有记录","缺手工证据"),IF(OR(F412="卖出待补仓",F412="提交结果待确认",F412="异常待处理"),"持续跟踪","检查状态")))))</x:f>
      </x:c>
      <x:c r="T412" s="64" t="str">
        <x:f>IF(A412="","",IF(COUNTIF($A$5:$A$1204,A412)&gt;1,"重复",""))</x:f>
      </x:c>
      <x:c r="U412" s="64" t="str">
        <x:f>IF(A412="","",IF(T412="重复","检查重复",IF(OR(R412="有证据",R412="有记录",R412="持续跟踪"),"可追踪","检查")))</x:f>
      </x:c>
    </x:row>
    <x:row r="413">
      <x:c r="A413" s="62"/>
      <x:c r="B413" s="62"/>
      <x:c r="C413" s="62"/>
      <x:c r="D413" s="66"/>
      <x:c r="E413" s="68"/>
      <x:c r="F413" s="62"/>
      <x:c r="G413" s="62"/>
      <x:c r="H413" s="62"/>
      <x:c r="I413" s="62"/>
      <x:c r="J413" s="62"/>
      <x:c r="K413" s="62"/>
      <x:c r="L413" s="62"/>
      <x:c r="M413" s="68"/>
      <x:c r="N413" s="68"/>
      <x:c r="O413" s="68"/>
      <x:c r="P413" s="71" t="str">
        <x:f>IF(A413="","",IF(N413&gt;0,N413,M413))</x:f>
      </x:c>
      <x:c r="Q413" s="72" t="n">
        <x:f>IF(A413="",0,IF(COUNTIF($A$5:A413,A413)=1,1,0))</x:f>
        <x:v>0</x:v>
      </x:c>
      <x:c r="R413" s="64" t="str">
        <x:f>IF(A413="","",IF(F413="C413成功",IF(AND(J413&lt;&gt;"",K413&lt;&gt;"",N413&gt;0),"有证据","缺C413证据"),IF(F413="C413发货确认中",IF(AND(J413&lt;&gt;"",K413&lt;&gt;""),"有证据","缺C413证据"),IF(F413="手动完结",IF(OR(L413&lt;&gt;"",O413&lt;&gt;"",S413&lt;&gt;""),"有记录","缺手工证据"),IF(OR(F413="卖出待补仓",F413="提交结果待确认",F413="异常待处理"),"持续跟踪","检查状态")))))</x:f>
      </x:c>
      <x:c r="T413" s="64" t="str">
        <x:f>IF(A413="","",IF(COUNTIF($A$5:$A$1204,A413)&gt;1,"重复",""))</x:f>
      </x:c>
      <x:c r="U413" s="64" t="str">
        <x:f>IF(A413="","",IF(T413="重复","检查重复",IF(OR(R413="有证据",R413="有记录",R413="持续跟踪"),"可追踪","检查")))</x:f>
      </x:c>
    </x:row>
    <x:row r="414">
      <x:c r="A414" s="62"/>
      <x:c r="B414" s="62"/>
      <x:c r="C414" s="62"/>
      <x:c r="D414" s="66"/>
      <x:c r="E414" s="68"/>
      <x:c r="F414" s="62"/>
      <x:c r="G414" s="62"/>
      <x:c r="H414" s="62"/>
      <x:c r="I414" s="62"/>
      <x:c r="J414" s="62"/>
      <x:c r="K414" s="62"/>
      <x:c r="L414" s="62"/>
      <x:c r="M414" s="68"/>
      <x:c r="N414" s="68"/>
      <x:c r="O414" s="68"/>
      <x:c r="P414" s="71" t="str">
        <x:f>IF(A414="","",IF(N414&gt;0,N414,M414))</x:f>
      </x:c>
      <x:c r="Q414" s="72" t="n">
        <x:f>IF(A414="",0,IF(COUNTIF($A$5:A414,A414)=1,1,0))</x:f>
        <x:v>0</x:v>
      </x:c>
      <x:c r="R414" s="64" t="str">
        <x:f>IF(A414="","",IF(F414="C414成功",IF(AND(J414&lt;&gt;"",K414&lt;&gt;"",N414&gt;0),"有证据","缺C414证据"),IF(F414="C414发货确认中",IF(AND(J414&lt;&gt;"",K414&lt;&gt;""),"有证据","缺C414证据"),IF(F414="手动完结",IF(OR(L414&lt;&gt;"",O414&lt;&gt;"",S414&lt;&gt;""),"有记录","缺手工证据"),IF(OR(F414="卖出待补仓",F414="提交结果待确认",F414="异常待处理"),"持续跟踪","检查状态")))))</x:f>
      </x:c>
      <x:c r="T414" s="64" t="str">
        <x:f>IF(A414="","",IF(COUNTIF($A$5:$A$1204,A414)&gt;1,"重复",""))</x:f>
      </x:c>
      <x:c r="U414" s="64" t="str">
        <x:f>IF(A414="","",IF(T414="重复","检查重复",IF(OR(R414="有证据",R414="有记录",R414="持续跟踪"),"可追踪","检查")))</x:f>
      </x:c>
    </x:row>
    <x:row r="415">
      <x:c r="A415" s="62"/>
      <x:c r="B415" s="62"/>
      <x:c r="C415" s="62"/>
      <x:c r="D415" s="66"/>
      <x:c r="E415" s="68"/>
      <x:c r="F415" s="62"/>
      <x:c r="G415" s="62"/>
      <x:c r="H415" s="62"/>
      <x:c r="I415" s="62"/>
      <x:c r="J415" s="62"/>
      <x:c r="K415" s="62"/>
      <x:c r="L415" s="62"/>
      <x:c r="M415" s="68"/>
      <x:c r="N415" s="68"/>
      <x:c r="O415" s="68"/>
      <x:c r="P415" s="71" t="str">
        <x:f>IF(A415="","",IF(N415&gt;0,N415,M415))</x:f>
      </x:c>
      <x:c r="Q415" s="72" t="n">
        <x:f>IF(A415="",0,IF(COUNTIF($A$5:A415,A415)=1,1,0))</x:f>
        <x:v>0</x:v>
      </x:c>
      <x:c r="R415" s="64" t="str">
        <x:f>IF(A415="","",IF(F415="C415成功",IF(AND(J415&lt;&gt;"",K415&lt;&gt;"",N415&gt;0),"有证据","缺C415证据"),IF(F415="C415发货确认中",IF(AND(J415&lt;&gt;"",K415&lt;&gt;""),"有证据","缺C415证据"),IF(F415="手动完结",IF(OR(L415&lt;&gt;"",O415&lt;&gt;"",S415&lt;&gt;""),"有记录","缺手工证据"),IF(OR(F415="卖出待补仓",F415="提交结果待确认",F415="异常待处理"),"持续跟踪","检查状态")))))</x:f>
      </x:c>
      <x:c r="T415" s="64" t="str">
        <x:f>IF(A415="","",IF(COUNTIF($A$5:$A$1204,A415)&gt;1,"重复",""))</x:f>
      </x:c>
      <x:c r="U415" s="64" t="str">
        <x:f>IF(A415="","",IF(T415="重复","检查重复",IF(OR(R415="有证据",R415="有记录",R415="持续跟踪"),"可追踪","检查")))</x:f>
      </x:c>
    </x:row>
    <x:row r="416">
      <x:c r="A416" s="62"/>
      <x:c r="B416" s="62"/>
      <x:c r="C416" s="62"/>
      <x:c r="D416" s="66"/>
      <x:c r="E416" s="68"/>
      <x:c r="F416" s="62"/>
      <x:c r="G416" s="62"/>
      <x:c r="H416" s="62"/>
      <x:c r="I416" s="62"/>
      <x:c r="J416" s="62"/>
      <x:c r="K416" s="62"/>
      <x:c r="L416" s="62"/>
      <x:c r="M416" s="68"/>
      <x:c r="N416" s="68"/>
      <x:c r="O416" s="68"/>
      <x:c r="P416" s="71" t="str">
        <x:f>IF(A416="","",IF(N416&gt;0,N416,M416))</x:f>
      </x:c>
      <x:c r="Q416" s="72" t="n">
        <x:f>IF(A416="",0,IF(COUNTIF($A$5:A416,A416)=1,1,0))</x:f>
        <x:v>0</x:v>
      </x:c>
      <x:c r="R416" s="64" t="str">
        <x:f>IF(A416="","",IF(F416="C416成功",IF(AND(J416&lt;&gt;"",K416&lt;&gt;"",N416&gt;0),"有证据","缺C416证据"),IF(F416="C416发货确认中",IF(AND(J416&lt;&gt;"",K416&lt;&gt;""),"有证据","缺C416证据"),IF(F416="手动完结",IF(OR(L416&lt;&gt;"",O416&lt;&gt;"",S416&lt;&gt;""),"有记录","缺手工证据"),IF(OR(F416="卖出待补仓",F416="提交结果待确认",F416="异常待处理"),"持续跟踪","检查状态")))))</x:f>
      </x:c>
      <x:c r="T416" s="64" t="str">
        <x:f>IF(A416="","",IF(COUNTIF($A$5:$A$1204,A416)&gt;1,"重复",""))</x:f>
      </x:c>
      <x:c r="U416" s="64" t="str">
        <x:f>IF(A416="","",IF(T416="重复","检查重复",IF(OR(R416="有证据",R416="有记录",R416="持续跟踪"),"可追踪","检查")))</x:f>
      </x:c>
    </x:row>
    <x:row r="417">
      <x:c r="A417" s="62"/>
      <x:c r="B417" s="62"/>
      <x:c r="C417" s="62"/>
      <x:c r="D417" s="66"/>
      <x:c r="E417" s="68"/>
      <x:c r="F417" s="62"/>
      <x:c r="G417" s="62"/>
      <x:c r="H417" s="62"/>
      <x:c r="I417" s="62"/>
      <x:c r="J417" s="62"/>
      <x:c r="K417" s="62"/>
      <x:c r="L417" s="62"/>
      <x:c r="M417" s="68"/>
      <x:c r="N417" s="68"/>
      <x:c r="O417" s="68"/>
      <x:c r="P417" s="71" t="str">
        <x:f>IF(A417="","",IF(N417&gt;0,N417,M417))</x:f>
      </x:c>
      <x:c r="Q417" s="72" t="n">
        <x:f>IF(A417="",0,IF(COUNTIF($A$5:A417,A417)=1,1,0))</x:f>
        <x:v>0</x:v>
      </x:c>
      <x:c r="R417" s="64" t="str">
        <x:f>IF(A417="","",IF(F417="C417成功",IF(AND(J417&lt;&gt;"",K417&lt;&gt;"",N417&gt;0),"有证据","缺C417证据"),IF(F417="C417发货确认中",IF(AND(J417&lt;&gt;"",K417&lt;&gt;""),"有证据","缺C417证据"),IF(F417="手动完结",IF(OR(L417&lt;&gt;"",O417&lt;&gt;"",S417&lt;&gt;""),"有记录","缺手工证据"),IF(OR(F417="卖出待补仓",F417="提交结果待确认",F417="异常待处理"),"持续跟踪","检查状态")))))</x:f>
      </x:c>
      <x:c r="T417" s="64" t="str">
        <x:f>IF(A417="","",IF(COUNTIF($A$5:$A$1204,A417)&gt;1,"重复",""))</x:f>
      </x:c>
      <x:c r="U417" s="64" t="str">
        <x:f>IF(A417="","",IF(T417="重复","检查重复",IF(OR(R417="有证据",R417="有记录",R417="持续跟踪"),"可追踪","检查")))</x:f>
      </x:c>
    </x:row>
    <x:row r="418">
      <x:c r="A418" s="62"/>
      <x:c r="B418" s="62"/>
      <x:c r="C418" s="62"/>
      <x:c r="D418" s="66"/>
      <x:c r="E418" s="68"/>
      <x:c r="F418" s="62"/>
      <x:c r="G418" s="62"/>
      <x:c r="H418" s="62"/>
      <x:c r="I418" s="62"/>
      <x:c r="J418" s="62"/>
      <x:c r="K418" s="62"/>
      <x:c r="L418" s="62"/>
      <x:c r="M418" s="68"/>
      <x:c r="N418" s="68"/>
      <x:c r="O418" s="68"/>
      <x:c r="P418" s="71" t="str">
        <x:f>IF(A418="","",IF(N418&gt;0,N418,M418))</x:f>
      </x:c>
      <x:c r="Q418" s="72" t="n">
        <x:f>IF(A418="",0,IF(COUNTIF($A$5:A418,A418)=1,1,0))</x:f>
        <x:v>0</x:v>
      </x:c>
      <x:c r="R418" s="64" t="str">
        <x:f>IF(A418="","",IF(F418="C418成功",IF(AND(J418&lt;&gt;"",K418&lt;&gt;"",N418&gt;0),"有证据","缺C418证据"),IF(F418="C418发货确认中",IF(AND(J418&lt;&gt;"",K418&lt;&gt;""),"有证据","缺C418证据"),IF(F418="手动完结",IF(OR(L418&lt;&gt;"",O418&lt;&gt;"",S418&lt;&gt;""),"有记录","缺手工证据"),IF(OR(F418="卖出待补仓",F418="提交结果待确认",F418="异常待处理"),"持续跟踪","检查状态")))))</x:f>
      </x:c>
      <x:c r="T418" s="64" t="str">
        <x:f>IF(A418="","",IF(COUNTIF($A$5:$A$1204,A418)&gt;1,"重复",""))</x:f>
      </x:c>
      <x:c r="U418" s="64" t="str">
        <x:f>IF(A418="","",IF(T418="重复","检查重复",IF(OR(R418="有证据",R418="有记录",R418="持续跟踪"),"可追踪","检查")))</x:f>
      </x:c>
    </x:row>
    <x:row r="419">
      <x:c r="A419" s="62"/>
      <x:c r="B419" s="62"/>
      <x:c r="C419" s="62"/>
      <x:c r="D419" s="66"/>
      <x:c r="E419" s="68"/>
      <x:c r="F419" s="62"/>
      <x:c r="G419" s="62"/>
      <x:c r="H419" s="62"/>
      <x:c r="I419" s="62"/>
      <x:c r="J419" s="62"/>
      <x:c r="K419" s="62"/>
      <x:c r="L419" s="62"/>
      <x:c r="M419" s="68"/>
      <x:c r="N419" s="68"/>
      <x:c r="O419" s="68"/>
      <x:c r="P419" s="71" t="str">
        <x:f>IF(A419="","",IF(N419&gt;0,N419,M419))</x:f>
      </x:c>
      <x:c r="Q419" s="72" t="n">
        <x:f>IF(A419="",0,IF(COUNTIF($A$5:A419,A419)=1,1,0))</x:f>
        <x:v>0</x:v>
      </x:c>
      <x:c r="R419" s="64" t="str">
        <x:f>IF(A419="","",IF(F419="C419成功",IF(AND(J419&lt;&gt;"",K419&lt;&gt;"",N419&gt;0),"有证据","缺C419证据"),IF(F419="C419发货确认中",IF(AND(J419&lt;&gt;"",K419&lt;&gt;""),"有证据","缺C419证据"),IF(F419="手动完结",IF(OR(L419&lt;&gt;"",O419&lt;&gt;"",S419&lt;&gt;""),"有记录","缺手工证据"),IF(OR(F419="卖出待补仓",F419="提交结果待确认",F419="异常待处理"),"持续跟踪","检查状态")))))</x:f>
      </x:c>
      <x:c r="T419" s="64" t="str">
        <x:f>IF(A419="","",IF(COUNTIF($A$5:$A$1204,A419)&gt;1,"重复",""))</x:f>
      </x:c>
      <x:c r="U419" s="64" t="str">
        <x:f>IF(A419="","",IF(T419="重复","检查重复",IF(OR(R419="有证据",R419="有记录",R419="持续跟踪"),"可追踪","检查")))</x:f>
      </x:c>
    </x:row>
    <x:row r="420">
      <x:c r="A420" s="62"/>
      <x:c r="B420" s="62"/>
      <x:c r="C420" s="62"/>
      <x:c r="D420" s="66"/>
      <x:c r="E420" s="68"/>
      <x:c r="F420" s="62"/>
      <x:c r="G420" s="62"/>
      <x:c r="H420" s="62"/>
      <x:c r="I420" s="62"/>
      <x:c r="J420" s="62"/>
      <x:c r="K420" s="62"/>
      <x:c r="L420" s="62"/>
      <x:c r="M420" s="68"/>
      <x:c r="N420" s="68"/>
      <x:c r="O420" s="68"/>
      <x:c r="P420" s="71" t="str">
        <x:f>IF(A420="","",IF(N420&gt;0,N420,M420))</x:f>
      </x:c>
      <x:c r="Q420" s="72" t="n">
        <x:f>IF(A420="",0,IF(COUNTIF($A$5:A420,A420)=1,1,0))</x:f>
        <x:v>0</x:v>
      </x:c>
      <x:c r="R420" s="64" t="str">
        <x:f>IF(A420="","",IF(F420="C420成功",IF(AND(J420&lt;&gt;"",K420&lt;&gt;"",N420&gt;0),"有证据","缺C420证据"),IF(F420="C420发货确认中",IF(AND(J420&lt;&gt;"",K420&lt;&gt;""),"有证据","缺C420证据"),IF(F420="手动完结",IF(OR(L420&lt;&gt;"",O420&lt;&gt;"",S420&lt;&gt;""),"有记录","缺手工证据"),IF(OR(F420="卖出待补仓",F420="提交结果待确认",F420="异常待处理"),"持续跟踪","检查状态")))))</x:f>
      </x:c>
      <x:c r="T420" s="64" t="str">
        <x:f>IF(A420="","",IF(COUNTIF($A$5:$A$1204,A420)&gt;1,"重复",""))</x:f>
      </x:c>
      <x:c r="U420" s="64" t="str">
        <x:f>IF(A420="","",IF(T420="重复","检查重复",IF(OR(R420="有证据",R420="有记录",R420="持续跟踪"),"可追踪","检查")))</x:f>
      </x:c>
    </x:row>
    <x:row r="421">
      <x:c r="A421" s="62"/>
      <x:c r="B421" s="62"/>
      <x:c r="C421" s="62"/>
      <x:c r="D421" s="66"/>
      <x:c r="E421" s="68"/>
      <x:c r="F421" s="62"/>
      <x:c r="G421" s="62"/>
      <x:c r="H421" s="62"/>
      <x:c r="I421" s="62"/>
      <x:c r="J421" s="62"/>
      <x:c r="K421" s="62"/>
      <x:c r="L421" s="62"/>
      <x:c r="M421" s="68"/>
      <x:c r="N421" s="68"/>
      <x:c r="O421" s="68"/>
      <x:c r="P421" s="71" t="str">
        <x:f>IF(A421="","",IF(N421&gt;0,N421,M421))</x:f>
      </x:c>
      <x:c r="Q421" s="72" t="n">
        <x:f>IF(A421="",0,IF(COUNTIF($A$5:A421,A421)=1,1,0))</x:f>
        <x:v>0</x:v>
      </x:c>
      <x:c r="R421" s="64" t="str">
        <x:f>IF(A421="","",IF(F421="C421成功",IF(AND(J421&lt;&gt;"",K421&lt;&gt;"",N421&gt;0),"有证据","缺C421证据"),IF(F421="C421发货确认中",IF(AND(J421&lt;&gt;"",K421&lt;&gt;""),"有证据","缺C421证据"),IF(F421="手动完结",IF(OR(L421&lt;&gt;"",O421&lt;&gt;"",S421&lt;&gt;""),"有记录","缺手工证据"),IF(OR(F421="卖出待补仓",F421="提交结果待确认",F421="异常待处理"),"持续跟踪","检查状态")))))</x:f>
      </x:c>
      <x:c r="T421" s="64" t="str">
        <x:f>IF(A421="","",IF(COUNTIF($A$5:$A$1204,A421)&gt;1,"重复",""))</x:f>
      </x:c>
      <x:c r="U421" s="64" t="str">
        <x:f>IF(A421="","",IF(T421="重复","检查重复",IF(OR(R421="有证据",R421="有记录",R421="持续跟踪"),"可追踪","检查")))</x:f>
      </x:c>
    </x:row>
    <x:row r="422">
      <x:c r="A422" s="62"/>
      <x:c r="B422" s="62"/>
      <x:c r="C422" s="62"/>
      <x:c r="D422" s="66"/>
      <x:c r="E422" s="68"/>
      <x:c r="F422" s="62"/>
      <x:c r="G422" s="62"/>
      <x:c r="H422" s="62"/>
      <x:c r="I422" s="62"/>
      <x:c r="J422" s="62"/>
      <x:c r="K422" s="62"/>
      <x:c r="L422" s="62"/>
      <x:c r="M422" s="68"/>
      <x:c r="N422" s="68"/>
      <x:c r="O422" s="68"/>
      <x:c r="P422" s="71" t="str">
        <x:f>IF(A422="","",IF(N422&gt;0,N422,M422))</x:f>
      </x:c>
      <x:c r="Q422" s="72" t="n">
        <x:f>IF(A422="",0,IF(COUNTIF($A$5:A422,A422)=1,1,0))</x:f>
        <x:v>0</x:v>
      </x:c>
      <x:c r="R422" s="64" t="str">
        <x:f>IF(A422="","",IF(F422="C422成功",IF(AND(J422&lt;&gt;"",K422&lt;&gt;"",N422&gt;0),"有证据","缺C422证据"),IF(F422="C422发货确认中",IF(AND(J422&lt;&gt;"",K422&lt;&gt;""),"有证据","缺C422证据"),IF(F422="手动完结",IF(OR(L422&lt;&gt;"",O422&lt;&gt;"",S422&lt;&gt;""),"有记录","缺手工证据"),IF(OR(F422="卖出待补仓",F422="提交结果待确认",F422="异常待处理"),"持续跟踪","检查状态")))))</x:f>
      </x:c>
      <x:c r="T422" s="64" t="str">
        <x:f>IF(A422="","",IF(COUNTIF($A$5:$A$1204,A422)&gt;1,"重复",""))</x:f>
      </x:c>
      <x:c r="U422" s="64" t="str">
        <x:f>IF(A422="","",IF(T422="重复","检查重复",IF(OR(R422="有证据",R422="有记录",R422="持续跟踪"),"可追踪","检查")))</x:f>
      </x:c>
    </x:row>
    <x:row r="423">
      <x:c r="A423" s="62"/>
      <x:c r="B423" s="62"/>
      <x:c r="C423" s="62"/>
      <x:c r="D423" s="66"/>
      <x:c r="E423" s="68"/>
      <x:c r="F423" s="62"/>
      <x:c r="G423" s="62"/>
      <x:c r="H423" s="62"/>
      <x:c r="I423" s="62"/>
      <x:c r="J423" s="62"/>
      <x:c r="K423" s="62"/>
      <x:c r="L423" s="62"/>
      <x:c r="M423" s="68"/>
      <x:c r="N423" s="68"/>
      <x:c r="O423" s="68"/>
      <x:c r="P423" s="71" t="str">
        <x:f>IF(A423="","",IF(N423&gt;0,N423,M423))</x:f>
      </x:c>
      <x:c r="Q423" s="72" t="n">
        <x:f>IF(A423="",0,IF(COUNTIF($A$5:A423,A423)=1,1,0))</x:f>
        <x:v>0</x:v>
      </x:c>
      <x:c r="R423" s="64" t="str">
        <x:f>IF(A423="","",IF(F423="C423成功",IF(AND(J423&lt;&gt;"",K423&lt;&gt;"",N423&gt;0),"有证据","缺C423证据"),IF(F423="C423发货确认中",IF(AND(J423&lt;&gt;"",K423&lt;&gt;""),"有证据","缺C423证据"),IF(F423="手动完结",IF(OR(L423&lt;&gt;"",O423&lt;&gt;"",S423&lt;&gt;""),"有记录","缺手工证据"),IF(OR(F423="卖出待补仓",F423="提交结果待确认",F423="异常待处理"),"持续跟踪","检查状态")))))</x:f>
      </x:c>
      <x:c r="T423" s="64" t="str">
        <x:f>IF(A423="","",IF(COUNTIF($A$5:$A$1204,A423)&gt;1,"重复",""))</x:f>
      </x:c>
      <x:c r="U423" s="64" t="str">
        <x:f>IF(A423="","",IF(T423="重复","检查重复",IF(OR(R423="有证据",R423="有记录",R423="持续跟踪"),"可追踪","检查")))</x:f>
      </x:c>
    </x:row>
    <x:row r="424">
      <x:c r="A424" s="62"/>
      <x:c r="B424" s="62"/>
      <x:c r="C424" s="62"/>
      <x:c r="D424" s="66"/>
      <x:c r="E424" s="68"/>
      <x:c r="F424" s="62"/>
      <x:c r="G424" s="62"/>
      <x:c r="H424" s="62"/>
      <x:c r="I424" s="62"/>
      <x:c r="J424" s="62"/>
      <x:c r="K424" s="62"/>
      <x:c r="L424" s="62"/>
      <x:c r="M424" s="68"/>
      <x:c r="N424" s="68"/>
      <x:c r="O424" s="68"/>
      <x:c r="P424" s="71" t="str">
        <x:f>IF(A424="","",IF(N424&gt;0,N424,M424))</x:f>
      </x:c>
      <x:c r="Q424" s="72" t="n">
        <x:f>IF(A424="",0,IF(COUNTIF($A$5:A424,A424)=1,1,0))</x:f>
        <x:v>0</x:v>
      </x:c>
      <x:c r="R424" s="64" t="str">
        <x:f>IF(A424="","",IF(F424="C424成功",IF(AND(J424&lt;&gt;"",K424&lt;&gt;"",N424&gt;0),"有证据","缺C424证据"),IF(F424="C424发货确认中",IF(AND(J424&lt;&gt;"",K424&lt;&gt;""),"有证据","缺C424证据"),IF(F424="手动完结",IF(OR(L424&lt;&gt;"",O424&lt;&gt;"",S424&lt;&gt;""),"有记录","缺手工证据"),IF(OR(F424="卖出待补仓",F424="提交结果待确认",F424="异常待处理"),"持续跟踪","检查状态")))))</x:f>
      </x:c>
      <x:c r="T424" s="64" t="str">
        <x:f>IF(A424="","",IF(COUNTIF($A$5:$A$1204,A424)&gt;1,"重复",""))</x:f>
      </x:c>
      <x:c r="U424" s="64" t="str">
        <x:f>IF(A424="","",IF(T424="重复","检查重复",IF(OR(R424="有证据",R424="有记录",R424="持续跟踪"),"可追踪","检查")))</x:f>
      </x:c>
    </x:row>
    <x:row r="425">
      <x:c r="A425" s="62"/>
      <x:c r="B425" s="62"/>
      <x:c r="C425" s="62"/>
      <x:c r="D425" s="66"/>
      <x:c r="E425" s="68"/>
      <x:c r="F425" s="62"/>
      <x:c r="G425" s="62"/>
      <x:c r="H425" s="62"/>
      <x:c r="I425" s="62"/>
      <x:c r="J425" s="62"/>
      <x:c r="K425" s="62"/>
      <x:c r="L425" s="62"/>
      <x:c r="M425" s="68"/>
      <x:c r="N425" s="68"/>
      <x:c r="O425" s="68"/>
      <x:c r="P425" s="71" t="str">
        <x:f>IF(A425="","",IF(N425&gt;0,N425,M425))</x:f>
      </x:c>
      <x:c r="Q425" s="72" t="n">
        <x:f>IF(A425="",0,IF(COUNTIF($A$5:A425,A425)=1,1,0))</x:f>
        <x:v>0</x:v>
      </x:c>
      <x:c r="R425" s="64" t="str">
        <x:f>IF(A425="","",IF(F425="C425成功",IF(AND(J425&lt;&gt;"",K425&lt;&gt;"",N425&gt;0),"有证据","缺C425证据"),IF(F425="C425发货确认中",IF(AND(J425&lt;&gt;"",K425&lt;&gt;""),"有证据","缺C425证据"),IF(F425="手动完结",IF(OR(L425&lt;&gt;"",O425&lt;&gt;"",S425&lt;&gt;""),"有记录","缺手工证据"),IF(OR(F425="卖出待补仓",F425="提交结果待确认",F425="异常待处理"),"持续跟踪","检查状态")))))</x:f>
      </x:c>
      <x:c r="T425" s="64" t="str">
        <x:f>IF(A425="","",IF(COUNTIF($A$5:$A$1204,A425)&gt;1,"重复",""))</x:f>
      </x:c>
      <x:c r="U425" s="64" t="str">
        <x:f>IF(A425="","",IF(T425="重复","检查重复",IF(OR(R425="有证据",R425="有记录",R425="持续跟踪"),"可追踪","检查")))</x:f>
      </x:c>
    </x:row>
    <x:row r="426">
      <x:c r="A426" s="62"/>
      <x:c r="B426" s="62"/>
      <x:c r="C426" s="62"/>
      <x:c r="D426" s="66"/>
      <x:c r="E426" s="68"/>
      <x:c r="F426" s="62"/>
      <x:c r="G426" s="62"/>
      <x:c r="H426" s="62"/>
      <x:c r="I426" s="62"/>
      <x:c r="J426" s="62"/>
      <x:c r="K426" s="62"/>
      <x:c r="L426" s="62"/>
      <x:c r="M426" s="68"/>
      <x:c r="N426" s="68"/>
      <x:c r="O426" s="68"/>
      <x:c r="P426" s="71" t="str">
        <x:f>IF(A426="","",IF(N426&gt;0,N426,M426))</x:f>
      </x:c>
      <x:c r="Q426" s="72" t="n">
        <x:f>IF(A426="",0,IF(COUNTIF($A$5:A426,A426)=1,1,0))</x:f>
        <x:v>0</x:v>
      </x:c>
      <x:c r="R426" s="64" t="str">
        <x:f>IF(A426="","",IF(F426="C426成功",IF(AND(J426&lt;&gt;"",K426&lt;&gt;"",N426&gt;0),"有证据","缺C426证据"),IF(F426="C426发货确认中",IF(AND(J426&lt;&gt;"",K426&lt;&gt;""),"有证据","缺C426证据"),IF(F426="手动完结",IF(OR(L426&lt;&gt;"",O426&lt;&gt;"",S426&lt;&gt;""),"有记录","缺手工证据"),IF(OR(F426="卖出待补仓",F426="提交结果待确认",F426="异常待处理"),"持续跟踪","检查状态")))))</x:f>
      </x:c>
      <x:c r="T426" s="64" t="str">
        <x:f>IF(A426="","",IF(COUNTIF($A$5:$A$1204,A426)&gt;1,"重复",""))</x:f>
      </x:c>
      <x:c r="U426" s="64" t="str">
        <x:f>IF(A426="","",IF(T426="重复","检查重复",IF(OR(R426="有证据",R426="有记录",R426="持续跟踪"),"可追踪","检查")))</x:f>
      </x:c>
    </x:row>
    <x:row r="427">
      <x:c r="A427" s="62"/>
      <x:c r="B427" s="62"/>
      <x:c r="C427" s="62"/>
      <x:c r="D427" s="66"/>
      <x:c r="E427" s="68"/>
      <x:c r="F427" s="62"/>
      <x:c r="G427" s="62"/>
      <x:c r="H427" s="62"/>
      <x:c r="I427" s="62"/>
      <x:c r="J427" s="62"/>
      <x:c r="K427" s="62"/>
      <x:c r="L427" s="62"/>
      <x:c r="M427" s="68"/>
      <x:c r="N427" s="68"/>
      <x:c r="O427" s="68"/>
      <x:c r="P427" s="71" t="str">
        <x:f>IF(A427="","",IF(N427&gt;0,N427,M427))</x:f>
      </x:c>
      <x:c r="Q427" s="72" t="n">
        <x:f>IF(A427="",0,IF(COUNTIF($A$5:A427,A427)=1,1,0))</x:f>
        <x:v>0</x:v>
      </x:c>
      <x:c r="R427" s="64" t="str">
        <x:f>IF(A427="","",IF(F427="C427成功",IF(AND(J427&lt;&gt;"",K427&lt;&gt;"",N427&gt;0),"有证据","缺C427证据"),IF(F427="C427发货确认中",IF(AND(J427&lt;&gt;"",K427&lt;&gt;""),"有证据","缺C427证据"),IF(F427="手动完结",IF(OR(L427&lt;&gt;"",O427&lt;&gt;"",S427&lt;&gt;""),"有记录","缺手工证据"),IF(OR(F427="卖出待补仓",F427="提交结果待确认",F427="异常待处理"),"持续跟踪","检查状态")))))</x:f>
      </x:c>
      <x:c r="T427" s="64" t="str">
        <x:f>IF(A427="","",IF(COUNTIF($A$5:$A$1204,A427)&gt;1,"重复",""))</x:f>
      </x:c>
      <x:c r="U427" s="64" t="str">
        <x:f>IF(A427="","",IF(T427="重复","检查重复",IF(OR(R427="有证据",R427="有记录",R427="持续跟踪"),"可追踪","检查")))</x:f>
      </x:c>
    </x:row>
    <x:row r="428">
      <x:c r="A428" s="62"/>
      <x:c r="B428" s="62"/>
      <x:c r="C428" s="62"/>
      <x:c r="D428" s="66"/>
      <x:c r="E428" s="68"/>
      <x:c r="F428" s="62"/>
      <x:c r="G428" s="62"/>
      <x:c r="H428" s="62"/>
      <x:c r="I428" s="62"/>
      <x:c r="J428" s="62"/>
      <x:c r="K428" s="62"/>
      <x:c r="L428" s="62"/>
      <x:c r="M428" s="68"/>
      <x:c r="N428" s="68"/>
      <x:c r="O428" s="68"/>
      <x:c r="P428" s="71" t="str">
        <x:f>IF(A428="","",IF(N428&gt;0,N428,M428))</x:f>
      </x:c>
      <x:c r="Q428" s="72" t="n">
        <x:f>IF(A428="",0,IF(COUNTIF($A$5:A428,A428)=1,1,0))</x:f>
        <x:v>0</x:v>
      </x:c>
      <x:c r="R428" s="64" t="str">
        <x:f>IF(A428="","",IF(F428="C428成功",IF(AND(J428&lt;&gt;"",K428&lt;&gt;"",N428&gt;0),"有证据","缺C428证据"),IF(F428="C428发货确认中",IF(AND(J428&lt;&gt;"",K428&lt;&gt;""),"有证据","缺C428证据"),IF(F428="手动完结",IF(OR(L428&lt;&gt;"",O428&lt;&gt;"",S428&lt;&gt;""),"有记录","缺手工证据"),IF(OR(F428="卖出待补仓",F428="提交结果待确认",F428="异常待处理"),"持续跟踪","检查状态")))))</x:f>
      </x:c>
      <x:c r="T428" s="64" t="str">
        <x:f>IF(A428="","",IF(COUNTIF($A$5:$A$1204,A428)&gt;1,"重复",""))</x:f>
      </x:c>
      <x:c r="U428" s="64" t="str">
        <x:f>IF(A428="","",IF(T428="重复","检查重复",IF(OR(R428="有证据",R428="有记录",R428="持续跟踪"),"可追踪","检查")))</x:f>
      </x:c>
    </x:row>
    <x:row r="429">
      <x:c r="A429" s="62"/>
      <x:c r="B429" s="62"/>
      <x:c r="C429" s="62"/>
      <x:c r="D429" s="66"/>
      <x:c r="E429" s="68"/>
      <x:c r="F429" s="62"/>
      <x:c r="G429" s="62"/>
      <x:c r="H429" s="62"/>
      <x:c r="I429" s="62"/>
      <x:c r="J429" s="62"/>
      <x:c r="K429" s="62"/>
      <x:c r="L429" s="62"/>
      <x:c r="M429" s="68"/>
      <x:c r="N429" s="68"/>
      <x:c r="O429" s="68"/>
      <x:c r="P429" s="71" t="str">
        <x:f>IF(A429="","",IF(N429&gt;0,N429,M429))</x:f>
      </x:c>
      <x:c r="Q429" s="72" t="n">
        <x:f>IF(A429="",0,IF(COUNTIF($A$5:A429,A429)=1,1,0))</x:f>
        <x:v>0</x:v>
      </x:c>
      <x:c r="R429" s="64" t="str">
        <x:f>IF(A429="","",IF(F429="C429成功",IF(AND(J429&lt;&gt;"",K429&lt;&gt;"",N429&gt;0),"有证据","缺C429证据"),IF(F429="C429发货确认中",IF(AND(J429&lt;&gt;"",K429&lt;&gt;""),"有证据","缺C429证据"),IF(F429="手动完结",IF(OR(L429&lt;&gt;"",O429&lt;&gt;"",S429&lt;&gt;""),"有记录","缺手工证据"),IF(OR(F429="卖出待补仓",F429="提交结果待确认",F429="异常待处理"),"持续跟踪","检查状态")))))</x:f>
      </x:c>
      <x:c r="T429" s="64" t="str">
        <x:f>IF(A429="","",IF(COUNTIF($A$5:$A$1204,A429)&gt;1,"重复",""))</x:f>
      </x:c>
      <x:c r="U429" s="64" t="str">
        <x:f>IF(A429="","",IF(T429="重复","检查重复",IF(OR(R429="有证据",R429="有记录",R429="持续跟踪"),"可追踪","检查")))</x:f>
      </x:c>
    </x:row>
    <x:row r="430">
      <x:c r="A430" s="62"/>
      <x:c r="B430" s="62"/>
      <x:c r="C430" s="62"/>
      <x:c r="D430" s="66"/>
      <x:c r="E430" s="68"/>
      <x:c r="F430" s="62"/>
      <x:c r="G430" s="62"/>
      <x:c r="H430" s="62"/>
      <x:c r="I430" s="62"/>
      <x:c r="J430" s="62"/>
      <x:c r="K430" s="62"/>
      <x:c r="L430" s="62"/>
      <x:c r="M430" s="68"/>
      <x:c r="N430" s="68"/>
      <x:c r="O430" s="68"/>
      <x:c r="P430" s="71" t="str">
        <x:f>IF(A430="","",IF(N430&gt;0,N430,M430))</x:f>
      </x:c>
      <x:c r="Q430" s="72" t="n">
        <x:f>IF(A430="",0,IF(COUNTIF($A$5:A430,A430)=1,1,0))</x:f>
        <x:v>0</x:v>
      </x:c>
      <x:c r="R430" s="64" t="str">
        <x:f>IF(A430="","",IF(F430="C430成功",IF(AND(J430&lt;&gt;"",K430&lt;&gt;"",N430&gt;0),"有证据","缺C430证据"),IF(F430="C430发货确认中",IF(AND(J430&lt;&gt;"",K430&lt;&gt;""),"有证据","缺C430证据"),IF(F430="手动完结",IF(OR(L430&lt;&gt;"",O430&lt;&gt;"",S430&lt;&gt;""),"有记录","缺手工证据"),IF(OR(F430="卖出待补仓",F430="提交结果待确认",F430="异常待处理"),"持续跟踪","检查状态")))))</x:f>
      </x:c>
      <x:c r="T430" s="64" t="str">
        <x:f>IF(A430="","",IF(COUNTIF($A$5:$A$1204,A430)&gt;1,"重复",""))</x:f>
      </x:c>
      <x:c r="U430" s="64" t="str">
        <x:f>IF(A430="","",IF(T430="重复","检查重复",IF(OR(R430="有证据",R430="有记录",R430="持续跟踪"),"可追踪","检查")))</x:f>
      </x:c>
    </x:row>
    <x:row r="431">
      <x:c r="A431" s="62"/>
      <x:c r="B431" s="62"/>
      <x:c r="C431" s="62"/>
      <x:c r="D431" s="66"/>
      <x:c r="E431" s="68"/>
      <x:c r="F431" s="62"/>
      <x:c r="G431" s="62"/>
      <x:c r="H431" s="62"/>
      <x:c r="I431" s="62"/>
      <x:c r="J431" s="62"/>
      <x:c r="K431" s="62"/>
      <x:c r="L431" s="62"/>
      <x:c r="M431" s="68"/>
      <x:c r="N431" s="68"/>
      <x:c r="O431" s="68"/>
      <x:c r="P431" s="71" t="str">
        <x:f>IF(A431="","",IF(N431&gt;0,N431,M431))</x:f>
      </x:c>
      <x:c r="Q431" s="72" t="n">
        <x:f>IF(A431="",0,IF(COUNTIF($A$5:A431,A431)=1,1,0))</x:f>
        <x:v>0</x:v>
      </x:c>
      <x:c r="R431" s="64" t="str">
        <x:f>IF(A431="","",IF(F431="C431成功",IF(AND(J431&lt;&gt;"",K431&lt;&gt;"",N431&gt;0),"有证据","缺C431证据"),IF(F431="C431发货确认中",IF(AND(J431&lt;&gt;"",K431&lt;&gt;""),"有证据","缺C431证据"),IF(F431="手动完结",IF(OR(L431&lt;&gt;"",O431&lt;&gt;"",S431&lt;&gt;""),"有记录","缺手工证据"),IF(OR(F431="卖出待补仓",F431="提交结果待确认",F431="异常待处理"),"持续跟踪","检查状态")))))</x:f>
      </x:c>
      <x:c r="T431" s="64" t="str">
        <x:f>IF(A431="","",IF(COUNTIF($A$5:$A$1204,A431)&gt;1,"重复",""))</x:f>
      </x:c>
      <x:c r="U431" s="64" t="str">
        <x:f>IF(A431="","",IF(T431="重复","检查重复",IF(OR(R431="有证据",R431="有记录",R431="持续跟踪"),"可追踪","检查")))</x:f>
      </x:c>
    </x:row>
    <x:row r="432">
      <x:c r="A432" s="62"/>
      <x:c r="B432" s="62"/>
      <x:c r="C432" s="62"/>
      <x:c r="D432" s="66"/>
      <x:c r="E432" s="68"/>
      <x:c r="F432" s="62"/>
      <x:c r="G432" s="62"/>
      <x:c r="H432" s="62"/>
      <x:c r="I432" s="62"/>
      <x:c r="J432" s="62"/>
      <x:c r="K432" s="62"/>
      <x:c r="L432" s="62"/>
      <x:c r="M432" s="68"/>
      <x:c r="N432" s="68"/>
      <x:c r="O432" s="68"/>
      <x:c r="P432" s="71" t="str">
        <x:f>IF(A432="","",IF(N432&gt;0,N432,M432))</x:f>
      </x:c>
      <x:c r="Q432" s="72" t="n">
        <x:f>IF(A432="",0,IF(COUNTIF($A$5:A432,A432)=1,1,0))</x:f>
        <x:v>0</x:v>
      </x:c>
      <x:c r="R432" s="64" t="str">
        <x:f>IF(A432="","",IF(F432="C432成功",IF(AND(J432&lt;&gt;"",K432&lt;&gt;"",N432&gt;0),"有证据","缺C432证据"),IF(F432="C432发货确认中",IF(AND(J432&lt;&gt;"",K432&lt;&gt;""),"有证据","缺C432证据"),IF(F432="手动完结",IF(OR(L432&lt;&gt;"",O432&lt;&gt;"",S432&lt;&gt;""),"有记录","缺手工证据"),IF(OR(F432="卖出待补仓",F432="提交结果待确认",F432="异常待处理"),"持续跟踪","检查状态")))))</x:f>
      </x:c>
      <x:c r="T432" s="64" t="str">
        <x:f>IF(A432="","",IF(COUNTIF($A$5:$A$1204,A432)&gt;1,"重复",""))</x:f>
      </x:c>
      <x:c r="U432" s="64" t="str">
        <x:f>IF(A432="","",IF(T432="重复","检查重复",IF(OR(R432="有证据",R432="有记录",R432="持续跟踪"),"可追踪","检查")))</x:f>
      </x:c>
    </x:row>
    <x:row r="433">
      <x:c r="A433" s="62"/>
      <x:c r="B433" s="62"/>
      <x:c r="C433" s="62"/>
      <x:c r="D433" s="66"/>
      <x:c r="E433" s="68"/>
      <x:c r="F433" s="62"/>
      <x:c r="G433" s="62"/>
      <x:c r="H433" s="62"/>
      <x:c r="I433" s="62"/>
      <x:c r="J433" s="62"/>
      <x:c r="K433" s="62"/>
      <x:c r="L433" s="62"/>
      <x:c r="M433" s="68"/>
      <x:c r="N433" s="68"/>
      <x:c r="O433" s="68"/>
      <x:c r="P433" s="71" t="str">
        <x:f>IF(A433="","",IF(N433&gt;0,N433,M433))</x:f>
      </x:c>
      <x:c r="Q433" s="72" t="n">
        <x:f>IF(A433="",0,IF(COUNTIF($A$5:A433,A433)=1,1,0))</x:f>
        <x:v>0</x:v>
      </x:c>
      <x:c r="R433" s="64" t="str">
        <x:f>IF(A433="","",IF(F433="C433成功",IF(AND(J433&lt;&gt;"",K433&lt;&gt;"",N433&gt;0),"有证据","缺C433证据"),IF(F433="C433发货确认中",IF(AND(J433&lt;&gt;"",K433&lt;&gt;""),"有证据","缺C433证据"),IF(F433="手动完结",IF(OR(L433&lt;&gt;"",O433&lt;&gt;"",S433&lt;&gt;""),"有记录","缺手工证据"),IF(OR(F433="卖出待补仓",F433="提交结果待确认",F433="异常待处理"),"持续跟踪","检查状态")))))</x:f>
      </x:c>
      <x:c r="T433" s="64" t="str">
        <x:f>IF(A433="","",IF(COUNTIF($A$5:$A$1204,A433)&gt;1,"重复",""))</x:f>
      </x:c>
      <x:c r="U433" s="64" t="str">
        <x:f>IF(A433="","",IF(T433="重复","检查重复",IF(OR(R433="有证据",R433="有记录",R433="持续跟踪"),"可追踪","检查")))</x:f>
      </x:c>
    </x:row>
    <x:row r="434">
      <x:c r="A434" s="62"/>
      <x:c r="B434" s="62"/>
      <x:c r="C434" s="62"/>
      <x:c r="D434" s="66"/>
      <x:c r="E434" s="68"/>
      <x:c r="F434" s="62"/>
      <x:c r="G434" s="62"/>
      <x:c r="H434" s="62"/>
      <x:c r="I434" s="62"/>
      <x:c r="J434" s="62"/>
      <x:c r="K434" s="62"/>
      <x:c r="L434" s="62"/>
      <x:c r="M434" s="68"/>
      <x:c r="N434" s="68"/>
      <x:c r="O434" s="68"/>
      <x:c r="P434" s="71" t="str">
        <x:f>IF(A434="","",IF(N434&gt;0,N434,M434))</x:f>
      </x:c>
      <x:c r="Q434" s="72" t="n">
        <x:f>IF(A434="",0,IF(COUNTIF($A$5:A434,A434)=1,1,0))</x:f>
        <x:v>0</x:v>
      </x:c>
      <x:c r="R434" s="64" t="str">
        <x:f>IF(A434="","",IF(F434="C434成功",IF(AND(J434&lt;&gt;"",K434&lt;&gt;"",N434&gt;0),"有证据","缺C434证据"),IF(F434="C434发货确认中",IF(AND(J434&lt;&gt;"",K434&lt;&gt;""),"有证据","缺C434证据"),IF(F434="手动完结",IF(OR(L434&lt;&gt;"",O434&lt;&gt;"",S434&lt;&gt;""),"有记录","缺手工证据"),IF(OR(F434="卖出待补仓",F434="提交结果待确认",F434="异常待处理"),"持续跟踪","检查状态")))))</x:f>
      </x:c>
      <x:c r="T434" s="64" t="str">
        <x:f>IF(A434="","",IF(COUNTIF($A$5:$A$1204,A434)&gt;1,"重复",""))</x:f>
      </x:c>
      <x:c r="U434" s="64" t="str">
        <x:f>IF(A434="","",IF(T434="重复","检查重复",IF(OR(R434="有证据",R434="有记录",R434="持续跟踪"),"可追踪","检查")))</x:f>
      </x:c>
    </x:row>
    <x:row r="435">
      <x:c r="A435" s="62"/>
      <x:c r="B435" s="62"/>
      <x:c r="C435" s="62"/>
      <x:c r="D435" s="66"/>
      <x:c r="E435" s="68"/>
      <x:c r="F435" s="62"/>
      <x:c r="G435" s="62"/>
      <x:c r="H435" s="62"/>
      <x:c r="I435" s="62"/>
      <x:c r="J435" s="62"/>
      <x:c r="K435" s="62"/>
      <x:c r="L435" s="62"/>
      <x:c r="M435" s="68"/>
      <x:c r="N435" s="68"/>
      <x:c r="O435" s="68"/>
      <x:c r="P435" s="71" t="str">
        <x:f>IF(A435="","",IF(N435&gt;0,N435,M435))</x:f>
      </x:c>
      <x:c r="Q435" s="72" t="n">
        <x:f>IF(A435="",0,IF(COUNTIF($A$5:A435,A435)=1,1,0))</x:f>
        <x:v>0</x:v>
      </x:c>
      <x:c r="R435" s="64" t="str">
        <x:f>IF(A435="","",IF(F435="C435成功",IF(AND(J435&lt;&gt;"",K435&lt;&gt;"",N435&gt;0),"有证据","缺C435证据"),IF(F435="C435发货确认中",IF(AND(J435&lt;&gt;"",K435&lt;&gt;""),"有证据","缺C435证据"),IF(F435="手动完结",IF(OR(L435&lt;&gt;"",O435&lt;&gt;"",S435&lt;&gt;""),"有记录","缺手工证据"),IF(OR(F435="卖出待补仓",F435="提交结果待确认",F435="异常待处理"),"持续跟踪","检查状态")))))</x:f>
      </x:c>
      <x:c r="T435" s="64" t="str">
        <x:f>IF(A435="","",IF(COUNTIF($A$5:$A$1204,A435)&gt;1,"重复",""))</x:f>
      </x:c>
      <x:c r="U435" s="64" t="str">
        <x:f>IF(A435="","",IF(T435="重复","检查重复",IF(OR(R435="有证据",R435="有记录",R435="持续跟踪"),"可追踪","检查")))</x:f>
      </x:c>
    </x:row>
    <x:row r="436">
      <x:c r="A436" s="62"/>
      <x:c r="B436" s="62"/>
      <x:c r="C436" s="62"/>
      <x:c r="D436" s="66"/>
      <x:c r="E436" s="68"/>
      <x:c r="F436" s="62"/>
      <x:c r="G436" s="62"/>
      <x:c r="H436" s="62"/>
      <x:c r="I436" s="62"/>
      <x:c r="J436" s="62"/>
      <x:c r="K436" s="62"/>
      <x:c r="L436" s="62"/>
      <x:c r="M436" s="68"/>
      <x:c r="N436" s="68"/>
      <x:c r="O436" s="68"/>
      <x:c r="P436" s="71" t="str">
        <x:f>IF(A436="","",IF(N436&gt;0,N436,M436))</x:f>
      </x:c>
      <x:c r="Q436" s="72" t="n">
        <x:f>IF(A436="",0,IF(COUNTIF($A$5:A436,A436)=1,1,0))</x:f>
        <x:v>0</x:v>
      </x:c>
      <x:c r="R436" s="64" t="str">
        <x:f>IF(A436="","",IF(F436="C436成功",IF(AND(J436&lt;&gt;"",K436&lt;&gt;"",N436&gt;0),"有证据","缺C436证据"),IF(F436="C436发货确认中",IF(AND(J436&lt;&gt;"",K436&lt;&gt;""),"有证据","缺C436证据"),IF(F436="手动完结",IF(OR(L436&lt;&gt;"",O436&lt;&gt;"",S436&lt;&gt;""),"有记录","缺手工证据"),IF(OR(F436="卖出待补仓",F436="提交结果待确认",F436="异常待处理"),"持续跟踪","检查状态")))))</x:f>
      </x:c>
      <x:c r="T436" s="64" t="str">
        <x:f>IF(A436="","",IF(COUNTIF($A$5:$A$1204,A436)&gt;1,"重复",""))</x:f>
      </x:c>
      <x:c r="U436" s="64" t="str">
        <x:f>IF(A436="","",IF(T436="重复","检查重复",IF(OR(R436="有证据",R436="有记录",R436="持续跟踪"),"可追踪","检查")))</x:f>
      </x:c>
    </x:row>
    <x:row r="437">
      <x:c r="A437" s="62"/>
      <x:c r="B437" s="62"/>
      <x:c r="C437" s="62"/>
      <x:c r="D437" s="66"/>
      <x:c r="E437" s="68"/>
      <x:c r="F437" s="62"/>
      <x:c r="G437" s="62"/>
      <x:c r="H437" s="62"/>
      <x:c r="I437" s="62"/>
      <x:c r="J437" s="62"/>
      <x:c r="K437" s="62"/>
      <x:c r="L437" s="62"/>
      <x:c r="M437" s="68"/>
      <x:c r="N437" s="68"/>
      <x:c r="O437" s="68"/>
      <x:c r="P437" s="71" t="str">
        <x:f>IF(A437="","",IF(N437&gt;0,N437,M437))</x:f>
      </x:c>
      <x:c r="Q437" s="72" t="n">
        <x:f>IF(A437="",0,IF(COUNTIF($A$5:A437,A437)=1,1,0))</x:f>
        <x:v>0</x:v>
      </x:c>
      <x:c r="R437" s="64" t="str">
        <x:f>IF(A437="","",IF(F437="C437成功",IF(AND(J437&lt;&gt;"",K437&lt;&gt;"",N437&gt;0),"有证据","缺C437证据"),IF(F437="C437发货确认中",IF(AND(J437&lt;&gt;"",K437&lt;&gt;""),"有证据","缺C437证据"),IF(F437="手动完结",IF(OR(L437&lt;&gt;"",O437&lt;&gt;"",S437&lt;&gt;""),"有记录","缺手工证据"),IF(OR(F437="卖出待补仓",F437="提交结果待确认",F437="异常待处理"),"持续跟踪","检查状态")))))</x:f>
      </x:c>
      <x:c r="T437" s="64" t="str">
        <x:f>IF(A437="","",IF(COUNTIF($A$5:$A$1204,A437)&gt;1,"重复",""))</x:f>
      </x:c>
      <x:c r="U437" s="64" t="str">
        <x:f>IF(A437="","",IF(T437="重复","检查重复",IF(OR(R437="有证据",R437="有记录",R437="持续跟踪"),"可追踪","检查")))</x:f>
      </x:c>
    </x:row>
    <x:row r="438">
      <x:c r="A438" s="62"/>
      <x:c r="B438" s="62"/>
      <x:c r="C438" s="62"/>
      <x:c r="D438" s="66"/>
      <x:c r="E438" s="68"/>
      <x:c r="F438" s="62"/>
      <x:c r="G438" s="62"/>
      <x:c r="H438" s="62"/>
      <x:c r="I438" s="62"/>
      <x:c r="J438" s="62"/>
      <x:c r="K438" s="62"/>
      <x:c r="L438" s="62"/>
      <x:c r="M438" s="68"/>
      <x:c r="N438" s="68"/>
      <x:c r="O438" s="68"/>
      <x:c r="P438" s="71" t="str">
        <x:f>IF(A438="","",IF(N438&gt;0,N438,M438))</x:f>
      </x:c>
      <x:c r="Q438" s="72" t="n">
        <x:f>IF(A438="",0,IF(COUNTIF($A$5:A438,A438)=1,1,0))</x:f>
        <x:v>0</x:v>
      </x:c>
      <x:c r="R438" s="64" t="str">
        <x:f>IF(A438="","",IF(F438="C438成功",IF(AND(J438&lt;&gt;"",K438&lt;&gt;"",N438&gt;0),"有证据","缺C438证据"),IF(F438="C438发货确认中",IF(AND(J438&lt;&gt;"",K438&lt;&gt;""),"有证据","缺C438证据"),IF(F438="手动完结",IF(OR(L438&lt;&gt;"",O438&lt;&gt;"",S438&lt;&gt;""),"有记录","缺手工证据"),IF(OR(F438="卖出待补仓",F438="提交结果待确认",F438="异常待处理"),"持续跟踪","检查状态")))))</x:f>
      </x:c>
      <x:c r="T438" s="64" t="str">
        <x:f>IF(A438="","",IF(COUNTIF($A$5:$A$1204,A438)&gt;1,"重复",""))</x:f>
      </x:c>
      <x:c r="U438" s="64" t="str">
        <x:f>IF(A438="","",IF(T438="重复","检查重复",IF(OR(R438="有证据",R438="有记录",R438="持续跟踪"),"可追踪","检查")))</x:f>
      </x:c>
    </x:row>
    <x:row r="439">
      <x:c r="A439" s="62"/>
      <x:c r="B439" s="62"/>
      <x:c r="C439" s="62"/>
      <x:c r="D439" s="66"/>
      <x:c r="E439" s="68"/>
      <x:c r="F439" s="62"/>
      <x:c r="G439" s="62"/>
      <x:c r="H439" s="62"/>
      <x:c r="I439" s="62"/>
      <x:c r="J439" s="62"/>
      <x:c r="K439" s="62"/>
      <x:c r="L439" s="62"/>
      <x:c r="M439" s="68"/>
      <x:c r="N439" s="68"/>
      <x:c r="O439" s="68"/>
      <x:c r="P439" s="71" t="str">
        <x:f>IF(A439="","",IF(N439&gt;0,N439,M439))</x:f>
      </x:c>
      <x:c r="Q439" s="72" t="n">
        <x:f>IF(A439="",0,IF(COUNTIF($A$5:A439,A439)=1,1,0))</x:f>
        <x:v>0</x:v>
      </x:c>
      <x:c r="R439" s="64" t="str">
        <x:f>IF(A439="","",IF(F439="C439成功",IF(AND(J439&lt;&gt;"",K439&lt;&gt;"",N439&gt;0),"有证据","缺C439证据"),IF(F439="C439发货确认中",IF(AND(J439&lt;&gt;"",K439&lt;&gt;""),"有证据","缺C439证据"),IF(F439="手动完结",IF(OR(L439&lt;&gt;"",O439&lt;&gt;"",S439&lt;&gt;""),"有记录","缺手工证据"),IF(OR(F439="卖出待补仓",F439="提交结果待确认",F439="异常待处理"),"持续跟踪","检查状态")))))</x:f>
      </x:c>
      <x:c r="T439" s="64" t="str">
        <x:f>IF(A439="","",IF(COUNTIF($A$5:$A$1204,A439)&gt;1,"重复",""))</x:f>
      </x:c>
      <x:c r="U439" s="64" t="str">
        <x:f>IF(A439="","",IF(T439="重复","检查重复",IF(OR(R439="有证据",R439="有记录",R439="持续跟踪"),"可追踪","检查")))</x:f>
      </x:c>
    </x:row>
    <x:row r="440">
      <x:c r="A440" s="62"/>
      <x:c r="B440" s="62"/>
      <x:c r="C440" s="62"/>
      <x:c r="D440" s="66"/>
      <x:c r="E440" s="68"/>
      <x:c r="F440" s="62"/>
      <x:c r="G440" s="62"/>
      <x:c r="H440" s="62"/>
      <x:c r="I440" s="62"/>
      <x:c r="J440" s="62"/>
      <x:c r="K440" s="62"/>
      <x:c r="L440" s="62"/>
      <x:c r="M440" s="68"/>
      <x:c r="N440" s="68"/>
      <x:c r="O440" s="68"/>
      <x:c r="P440" s="71" t="str">
        <x:f>IF(A440="","",IF(N440&gt;0,N440,M440))</x:f>
      </x:c>
      <x:c r="Q440" s="72" t="n">
        <x:f>IF(A440="",0,IF(COUNTIF($A$5:A440,A440)=1,1,0))</x:f>
        <x:v>0</x:v>
      </x:c>
      <x:c r="R440" s="64" t="str">
        <x:f>IF(A440="","",IF(F440="C440成功",IF(AND(J440&lt;&gt;"",K440&lt;&gt;"",N440&gt;0),"有证据","缺C440证据"),IF(F440="C440发货确认中",IF(AND(J440&lt;&gt;"",K440&lt;&gt;""),"有证据","缺C440证据"),IF(F440="手动完结",IF(OR(L440&lt;&gt;"",O440&lt;&gt;"",S440&lt;&gt;""),"有记录","缺手工证据"),IF(OR(F440="卖出待补仓",F440="提交结果待确认",F440="异常待处理"),"持续跟踪","检查状态")))))</x:f>
      </x:c>
      <x:c r="T440" s="64" t="str">
        <x:f>IF(A440="","",IF(COUNTIF($A$5:$A$1204,A440)&gt;1,"重复",""))</x:f>
      </x:c>
      <x:c r="U440" s="64" t="str">
        <x:f>IF(A440="","",IF(T440="重复","检查重复",IF(OR(R440="有证据",R440="有记录",R440="持续跟踪"),"可追踪","检查")))</x:f>
      </x:c>
    </x:row>
    <x:row r="441">
      <x:c r="A441" s="62"/>
      <x:c r="B441" s="62"/>
      <x:c r="C441" s="62"/>
      <x:c r="D441" s="66"/>
      <x:c r="E441" s="68"/>
      <x:c r="F441" s="62"/>
      <x:c r="G441" s="62"/>
      <x:c r="H441" s="62"/>
      <x:c r="I441" s="62"/>
      <x:c r="J441" s="62"/>
      <x:c r="K441" s="62"/>
      <x:c r="L441" s="62"/>
      <x:c r="M441" s="68"/>
      <x:c r="N441" s="68"/>
      <x:c r="O441" s="68"/>
      <x:c r="P441" s="71" t="str">
        <x:f>IF(A441="","",IF(N441&gt;0,N441,M441))</x:f>
      </x:c>
      <x:c r="Q441" s="72" t="n">
        <x:f>IF(A441="",0,IF(COUNTIF($A$5:A441,A441)=1,1,0))</x:f>
        <x:v>0</x:v>
      </x:c>
      <x:c r="R441" s="64" t="str">
        <x:f>IF(A441="","",IF(F441="C441成功",IF(AND(J441&lt;&gt;"",K441&lt;&gt;"",N441&gt;0),"有证据","缺C441证据"),IF(F441="C441发货确认中",IF(AND(J441&lt;&gt;"",K441&lt;&gt;""),"有证据","缺C441证据"),IF(F441="手动完结",IF(OR(L441&lt;&gt;"",O441&lt;&gt;"",S441&lt;&gt;""),"有记录","缺手工证据"),IF(OR(F441="卖出待补仓",F441="提交结果待确认",F441="异常待处理"),"持续跟踪","检查状态")))))</x:f>
      </x:c>
      <x:c r="T441" s="64" t="str">
        <x:f>IF(A441="","",IF(COUNTIF($A$5:$A$1204,A441)&gt;1,"重复",""))</x:f>
      </x:c>
      <x:c r="U441" s="64" t="str">
        <x:f>IF(A441="","",IF(T441="重复","检查重复",IF(OR(R441="有证据",R441="有记录",R441="持续跟踪"),"可追踪","检查")))</x:f>
      </x:c>
    </x:row>
    <x:row r="442">
      <x:c r="A442" s="62"/>
      <x:c r="B442" s="62"/>
      <x:c r="C442" s="62"/>
      <x:c r="D442" s="66"/>
      <x:c r="E442" s="68"/>
      <x:c r="F442" s="62"/>
      <x:c r="G442" s="62"/>
      <x:c r="H442" s="62"/>
      <x:c r="I442" s="62"/>
      <x:c r="J442" s="62"/>
      <x:c r="K442" s="62"/>
      <x:c r="L442" s="62"/>
      <x:c r="M442" s="68"/>
      <x:c r="N442" s="68"/>
      <x:c r="O442" s="68"/>
      <x:c r="P442" s="71" t="str">
        <x:f>IF(A442="","",IF(N442&gt;0,N442,M442))</x:f>
      </x:c>
      <x:c r="Q442" s="72" t="n">
        <x:f>IF(A442="",0,IF(COUNTIF($A$5:A442,A442)=1,1,0))</x:f>
        <x:v>0</x:v>
      </x:c>
      <x:c r="R442" s="64" t="str">
        <x:f>IF(A442="","",IF(F442="C442成功",IF(AND(J442&lt;&gt;"",K442&lt;&gt;"",N442&gt;0),"有证据","缺C442证据"),IF(F442="C442发货确认中",IF(AND(J442&lt;&gt;"",K442&lt;&gt;""),"有证据","缺C442证据"),IF(F442="手动完结",IF(OR(L442&lt;&gt;"",O442&lt;&gt;"",S442&lt;&gt;""),"有记录","缺手工证据"),IF(OR(F442="卖出待补仓",F442="提交结果待确认",F442="异常待处理"),"持续跟踪","检查状态")))))</x:f>
      </x:c>
      <x:c r="T442" s="64" t="str">
        <x:f>IF(A442="","",IF(COUNTIF($A$5:$A$1204,A442)&gt;1,"重复",""))</x:f>
      </x:c>
      <x:c r="U442" s="64" t="str">
        <x:f>IF(A442="","",IF(T442="重复","检查重复",IF(OR(R442="有证据",R442="有记录",R442="持续跟踪"),"可追踪","检查")))</x:f>
      </x:c>
    </x:row>
    <x:row r="443">
      <x:c r="A443" s="62"/>
      <x:c r="B443" s="62"/>
      <x:c r="C443" s="62"/>
      <x:c r="D443" s="66"/>
      <x:c r="E443" s="68"/>
      <x:c r="F443" s="62"/>
      <x:c r="G443" s="62"/>
      <x:c r="H443" s="62"/>
      <x:c r="I443" s="62"/>
      <x:c r="J443" s="62"/>
      <x:c r="K443" s="62"/>
      <x:c r="L443" s="62"/>
      <x:c r="M443" s="68"/>
      <x:c r="N443" s="68"/>
      <x:c r="O443" s="68"/>
      <x:c r="P443" s="71" t="str">
        <x:f>IF(A443="","",IF(N443&gt;0,N443,M443))</x:f>
      </x:c>
      <x:c r="Q443" s="72" t="n">
        <x:f>IF(A443="",0,IF(COUNTIF($A$5:A443,A443)=1,1,0))</x:f>
        <x:v>0</x:v>
      </x:c>
      <x:c r="R443" s="64" t="str">
        <x:f>IF(A443="","",IF(F443="C443成功",IF(AND(J443&lt;&gt;"",K443&lt;&gt;"",N443&gt;0),"有证据","缺C443证据"),IF(F443="C443发货确认中",IF(AND(J443&lt;&gt;"",K443&lt;&gt;""),"有证据","缺C443证据"),IF(F443="手动完结",IF(OR(L443&lt;&gt;"",O443&lt;&gt;"",S443&lt;&gt;""),"有记录","缺手工证据"),IF(OR(F443="卖出待补仓",F443="提交结果待确认",F443="异常待处理"),"持续跟踪","检查状态")))))</x:f>
      </x:c>
      <x:c r="T443" s="64" t="str">
        <x:f>IF(A443="","",IF(COUNTIF($A$5:$A$1204,A443)&gt;1,"重复",""))</x:f>
      </x:c>
      <x:c r="U443" s="64" t="str">
        <x:f>IF(A443="","",IF(T443="重复","检查重复",IF(OR(R443="有证据",R443="有记录",R443="持续跟踪"),"可追踪","检查")))</x:f>
      </x:c>
    </x:row>
    <x:row r="444">
      <x:c r="A444" s="62"/>
      <x:c r="B444" s="62"/>
      <x:c r="C444" s="62"/>
      <x:c r="D444" s="66"/>
      <x:c r="E444" s="68"/>
      <x:c r="F444" s="62"/>
      <x:c r="G444" s="62"/>
      <x:c r="H444" s="62"/>
      <x:c r="I444" s="62"/>
      <x:c r="J444" s="62"/>
      <x:c r="K444" s="62"/>
      <x:c r="L444" s="62"/>
      <x:c r="M444" s="68"/>
      <x:c r="N444" s="68"/>
      <x:c r="O444" s="68"/>
      <x:c r="P444" s="71" t="str">
        <x:f>IF(A444="","",IF(N444&gt;0,N444,M444))</x:f>
      </x:c>
      <x:c r="Q444" s="72" t="n">
        <x:f>IF(A444="",0,IF(COUNTIF($A$5:A444,A444)=1,1,0))</x:f>
        <x:v>0</x:v>
      </x:c>
      <x:c r="R444" s="64" t="str">
        <x:f>IF(A444="","",IF(F444="C444成功",IF(AND(J444&lt;&gt;"",K444&lt;&gt;"",N444&gt;0),"有证据","缺C444证据"),IF(F444="C444发货确认中",IF(AND(J444&lt;&gt;"",K444&lt;&gt;""),"有证据","缺C444证据"),IF(F444="手动完结",IF(OR(L444&lt;&gt;"",O444&lt;&gt;"",S444&lt;&gt;""),"有记录","缺手工证据"),IF(OR(F444="卖出待补仓",F444="提交结果待确认",F444="异常待处理"),"持续跟踪","检查状态")))))</x:f>
      </x:c>
      <x:c r="T444" s="64" t="str">
        <x:f>IF(A444="","",IF(COUNTIF($A$5:$A$1204,A444)&gt;1,"重复",""))</x:f>
      </x:c>
      <x:c r="U444" s="64" t="str">
        <x:f>IF(A444="","",IF(T444="重复","检查重复",IF(OR(R444="有证据",R444="有记录",R444="持续跟踪"),"可追踪","检查")))</x:f>
      </x:c>
    </x:row>
    <x:row r="445">
      <x:c r="A445" s="62"/>
      <x:c r="B445" s="62"/>
      <x:c r="C445" s="62"/>
      <x:c r="D445" s="66"/>
      <x:c r="E445" s="68"/>
      <x:c r="F445" s="62"/>
      <x:c r="G445" s="62"/>
      <x:c r="H445" s="62"/>
      <x:c r="I445" s="62"/>
      <x:c r="J445" s="62"/>
      <x:c r="K445" s="62"/>
      <x:c r="L445" s="62"/>
      <x:c r="M445" s="68"/>
      <x:c r="N445" s="68"/>
      <x:c r="O445" s="68"/>
      <x:c r="P445" s="71" t="str">
        <x:f>IF(A445="","",IF(N445&gt;0,N445,M445))</x:f>
      </x:c>
      <x:c r="Q445" s="72" t="n">
        <x:f>IF(A445="",0,IF(COUNTIF($A$5:A445,A445)=1,1,0))</x:f>
        <x:v>0</x:v>
      </x:c>
      <x:c r="R445" s="64" t="str">
        <x:f>IF(A445="","",IF(F445="C445成功",IF(AND(J445&lt;&gt;"",K445&lt;&gt;"",N445&gt;0),"有证据","缺C445证据"),IF(F445="C445发货确认中",IF(AND(J445&lt;&gt;"",K445&lt;&gt;""),"有证据","缺C445证据"),IF(F445="手动完结",IF(OR(L445&lt;&gt;"",O445&lt;&gt;"",S445&lt;&gt;""),"有记录","缺手工证据"),IF(OR(F445="卖出待补仓",F445="提交结果待确认",F445="异常待处理"),"持续跟踪","检查状态")))))</x:f>
      </x:c>
      <x:c r="T445" s="64" t="str">
        <x:f>IF(A445="","",IF(COUNTIF($A$5:$A$1204,A445)&gt;1,"重复",""))</x:f>
      </x:c>
      <x:c r="U445" s="64" t="str">
        <x:f>IF(A445="","",IF(T445="重复","检查重复",IF(OR(R445="有证据",R445="有记录",R445="持续跟踪"),"可追踪","检查")))</x:f>
      </x:c>
    </x:row>
    <x:row r="446">
      <x:c r="A446" s="62"/>
      <x:c r="B446" s="62"/>
      <x:c r="C446" s="62"/>
      <x:c r="D446" s="66"/>
      <x:c r="E446" s="68"/>
      <x:c r="F446" s="62"/>
      <x:c r="G446" s="62"/>
      <x:c r="H446" s="62"/>
      <x:c r="I446" s="62"/>
      <x:c r="J446" s="62"/>
      <x:c r="K446" s="62"/>
      <x:c r="L446" s="62"/>
      <x:c r="M446" s="68"/>
      <x:c r="N446" s="68"/>
      <x:c r="O446" s="68"/>
      <x:c r="P446" s="71" t="str">
        <x:f>IF(A446="","",IF(N446&gt;0,N446,M446))</x:f>
      </x:c>
      <x:c r="Q446" s="72" t="n">
        <x:f>IF(A446="",0,IF(COUNTIF($A$5:A446,A446)=1,1,0))</x:f>
        <x:v>0</x:v>
      </x:c>
      <x:c r="R446" s="64" t="str">
        <x:f>IF(A446="","",IF(F446="C446成功",IF(AND(J446&lt;&gt;"",K446&lt;&gt;"",N446&gt;0),"有证据","缺C446证据"),IF(F446="C446发货确认中",IF(AND(J446&lt;&gt;"",K446&lt;&gt;""),"有证据","缺C446证据"),IF(F446="手动完结",IF(OR(L446&lt;&gt;"",O446&lt;&gt;"",S446&lt;&gt;""),"有记录","缺手工证据"),IF(OR(F446="卖出待补仓",F446="提交结果待确认",F446="异常待处理"),"持续跟踪","检查状态")))))</x:f>
      </x:c>
      <x:c r="T446" s="64" t="str">
        <x:f>IF(A446="","",IF(COUNTIF($A$5:$A$1204,A446)&gt;1,"重复",""))</x:f>
      </x:c>
      <x:c r="U446" s="64" t="str">
        <x:f>IF(A446="","",IF(T446="重复","检查重复",IF(OR(R446="有证据",R446="有记录",R446="持续跟踪"),"可追踪","检查")))</x:f>
      </x:c>
    </x:row>
    <x:row r="447">
      <x:c r="A447" s="62"/>
      <x:c r="B447" s="62"/>
      <x:c r="C447" s="62"/>
      <x:c r="D447" s="66"/>
      <x:c r="E447" s="68"/>
      <x:c r="F447" s="62"/>
      <x:c r="G447" s="62"/>
      <x:c r="H447" s="62"/>
      <x:c r="I447" s="62"/>
      <x:c r="J447" s="62"/>
      <x:c r="K447" s="62"/>
      <x:c r="L447" s="62"/>
      <x:c r="M447" s="68"/>
      <x:c r="N447" s="68"/>
      <x:c r="O447" s="68"/>
      <x:c r="P447" s="71" t="str">
        <x:f>IF(A447="","",IF(N447&gt;0,N447,M447))</x:f>
      </x:c>
      <x:c r="Q447" s="72" t="n">
        <x:f>IF(A447="",0,IF(COUNTIF($A$5:A447,A447)=1,1,0))</x:f>
        <x:v>0</x:v>
      </x:c>
      <x:c r="R447" s="64" t="str">
        <x:f>IF(A447="","",IF(F447="C447成功",IF(AND(J447&lt;&gt;"",K447&lt;&gt;"",N447&gt;0),"有证据","缺C447证据"),IF(F447="C447发货确认中",IF(AND(J447&lt;&gt;"",K447&lt;&gt;""),"有证据","缺C447证据"),IF(F447="手动完结",IF(OR(L447&lt;&gt;"",O447&lt;&gt;"",S447&lt;&gt;""),"有记录","缺手工证据"),IF(OR(F447="卖出待补仓",F447="提交结果待确认",F447="异常待处理"),"持续跟踪","检查状态")))))</x:f>
      </x:c>
      <x:c r="T447" s="64" t="str">
        <x:f>IF(A447="","",IF(COUNTIF($A$5:$A$1204,A447)&gt;1,"重复",""))</x:f>
      </x:c>
      <x:c r="U447" s="64" t="str">
        <x:f>IF(A447="","",IF(T447="重复","检查重复",IF(OR(R447="有证据",R447="有记录",R447="持续跟踪"),"可追踪","检查")))</x:f>
      </x:c>
    </x:row>
    <x:row r="448">
      <x:c r="A448" s="62"/>
      <x:c r="B448" s="62"/>
      <x:c r="C448" s="62"/>
      <x:c r="D448" s="66"/>
      <x:c r="E448" s="68"/>
      <x:c r="F448" s="62"/>
      <x:c r="G448" s="62"/>
      <x:c r="H448" s="62"/>
      <x:c r="I448" s="62"/>
      <x:c r="J448" s="62"/>
      <x:c r="K448" s="62"/>
      <x:c r="L448" s="62"/>
      <x:c r="M448" s="68"/>
      <x:c r="N448" s="68"/>
      <x:c r="O448" s="68"/>
      <x:c r="P448" s="71" t="str">
        <x:f>IF(A448="","",IF(N448&gt;0,N448,M448))</x:f>
      </x:c>
      <x:c r="Q448" s="72" t="n">
        <x:f>IF(A448="",0,IF(COUNTIF($A$5:A448,A448)=1,1,0))</x:f>
        <x:v>0</x:v>
      </x:c>
      <x:c r="R448" s="64" t="str">
        <x:f>IF(A448="","",IF(F448="C448成功",IF(AND(J448&lt;&gt;"",K448&lt;&gt;"",N448&gt;0),"有证据","缺C448证据"),IF(F448="C448发货确认中",IF(AND(J448&lt;&gt;"",K448&lt;&gt;""),"有证据","缺C448证据"),IF(F448="手动完结",IF(OR(L448&lt;&gt;"",O448&lt;&gt;"",S448&lt;&gt;""),"有记录","缺手工证据"),IF(OR(F448="卖出待补仓",F448="提交结果待确认",F448="异常待处理"),"持续跟踪","检查状态")))))</x:f>
      </x:c>
      <x:c r="T448" s="64" t="str">
        <x:f>IF(A448="","",IF(COUNTIF($A$5:$A$1204,A448)&gt;1,"重复",""))</x:f>
      </x:c>
      <x:c r="U448" s="64" t="str">
        <x:f>IF(A448="","",IF(T448="重复","检查重复",IF(OR(R448="有证据",R448="有记录",R448="持续跟踪"),"可追踪","检查")))</x:f>
      </x:c>
    </x:row>
    <x:row r="449">
      <x:c r="A449" s="62"/>
      <x:c r="B449" s="62"/>
      <x:c r="C449" s="62"/>
      <x:c r="D449" s="66"/>
      <x:c r="E449" s="68"/>
      <x:c r="F449" s="62"/>
      <x:c r="G449" s="62"/>
      <x:c r="H449" s="62"/>
      <x:c r="I449" s="62"/>
      <x:c r="J449" s="62"/>
      <x:c r="K449" s="62"/>
      <x:c r="L449" s="62"/>
      <x:c r="M449" s="68"/>
      <x:c r="N449" s="68"/>
      <x:c r="O449" s="68"/>
      <x:c r="P449" s="71" t="str">
        <x:f>IF(A449="","",IF(N449&gt;0,N449,M449))</x:f>
      </x:c>
      <x:c r="Q449" s="72" t="n">
        <x:f>IF(A449="",0,IF(COUNTIF($A$5:A449,A449)=1,1,0))</x:f>
        <x:v>0</x:v>
      </x:c>
      <x:c r="R449" s="64" t="str">
        <x:f>IF(A449="","",IF(F449="C449成功",IF(AND(J449&lt;&gt;"",K449&lt;&gt;"",N449&gt;0),"有证据","缺C449证据"),IF(F449="C449发货确认中",IF(AND(J449&lt;&gt;"",K449&lt;&gt;""),"有证据","缺C449证据"),IF(F449="手动完结",IF(OR(L449&lt;&gt;"",O449&lt;&gt;"",S449&lt;&gt;""),"有记录","缺手工证据"),IF(OR(F449="卖出待补仓",F449="提交结果待确认",F449="异常待处理"),"持续跟踪","检查状态")))))</x:f>
      </x:c>
      <x:c r="T449" s="64" t="str">
        <x:f>IF(A449="","",IF(COUNTIF($A$5:$A$1204,A449)&gt;1,"重复",""))</x:f>
      </x:c>
      <x:c r="U449" s="64" t="str">
        <x:f>IF(A449="","",IF(T449="重复","检查重复",IF(OR(R449="有证据",R449="有记录",R449="持续跟踪"),"可追踪","检查")))</x:f>
      </x:c>
    </x:row>
    <x:row r="450">
      <x:c r="A450" s="62"/>
      <x:c r="B450" s="62"/>
      <x:c r="C450" s="62"/>
      <x:c r="D450" s="66"/>
      <x:c r="E450" s="68"/>
      <x:c r="F450" s="62"/>
      <x:c r="G450" s="62"/>
      <x:c r="H450" s="62"/>
      <x:c r="I450" s="62"/>
      <x:c r="J450" s="62"/>
      <x:c r="K450" s="62"/>
      <x:c r="L450" s="62"/>
      <x:c r="M450" s="68"/>
      <x:c r="N450" s="68"/>
      <x:c r="O450" s="68"/>
      <x:c r="P450" s="71" t="str">
        <x:f>IF(A450="","",IF(N450&gt;0,N450,M450))</x:f>
      </x:c>
      <x:c r="Q450" s="72" t="n">
        <x:f>IF(A450="",0,IF(COUNTIF($A$5:A450,A450)=1,1,0))</x:f>
        <x:v>0</x:v>
      </x:c>
      <x:c r="R450" s="64" t="str">
        <x:f>IF(A450="","",IF(F450="C450成功",IF(AND(J450&lt;&gt;"",K450&lt;&gt;"",N450&gt;0),"有证据","缺C450证据"),IF(F450="C450发货确认中",IF(AND(J450&lt;&gt;"",K450&lt;&gt;""),"有证据","缺C450证据"),IF(F450="手动完结",IF(OR(L450&lt;&gt;"",O450&lt;&gt;"",S450&lt;&gt;""),"有记录","缺手工证据"),IF(OR(F450="卖出待补仓",F450="提交结果待确认",F450="异常待处理"),"持续跟踪","检查状态")))))</x:f>
      </x:c>
      <x:c r="T450" s="64" t="str">
        <x:f>IF(A450="","",IF(COUNTIF($A$5:$A$1204,A450)&gt;1,"重复",""))</x:f>
      </x:c>
      <x:c r="U450" s="64" t="str">
        <x:f>IF(A450="","",IF(T450="重复","检查重复",IF(OR(R450="有证据",R450="有记录",R450="持续跟踪"),"可追踪","检查")))</x:f>
      </x:c>
    </x:row>
    <x:row r="451">
      <x:c r="A451" s="62"/>
      <x:c r="B451" s="62"/>
      <x:c r="C451" s="62"/>
      <x:c r="D451" s="66"/>
      <x:c r="E451" s="68"/>
      <x:c r="F451" s="62"/>
      <x:c r="G451" s="62"/>
      <x:c r="H451" s="62"/>
      <x:c r="I451" s="62"/>
      <x:c r="J451" s="62"/>
      <x:c r="K451" s="62"/>
      <x:c r="L451" s="62"/>
      <x:c r="M451" s="68"/>
      <x:c r="N451" s="68"/>
      <x:c r="O451" s="68"/>
      <x:c r="P451" s="71" t="str">
        <x:f>IF(A451="","",IF(N451&gt;0,N451,M451))</x:f>
      </x:c>
      <x:c r="Q451" s="72" t="n">
        <x:f>IF(A451="",0,IF(COUNTIF($A$5:A451,A451)=1,1,0))</x:f>
        <x:v>0</x:v>
      </x:c>
      <x:c r="R451" s="64" t="str">
        <x:f>IF(A451="","",IF(F451="C451成功",IF(AND(J451&lt;&gt;"",K451&lt;&gt;"",N451&gt;0),"有证据","缺C451证据"),IF(F451="C451发货确认中",IF(AND(J451&lt;&gt;"",K451&lt;&gt;""),"有证据","缺C451证据"),IF(F451="手动完结",IF(OR(L451&lt;&gt;"",O451&lt;&gt;"",S451&lt;&gt;""),"有记录","缺手工证据"),IF(OR(F451="卖出待补仓",F451="提交结果待确认",F451="异常待处理"),"持续跟踪","检查状态")))))</x:f>
      </x:c>
      <x:c r="T451" s="64" t="str">
        <x:f>IF(A451="","",IF(COUNTIF($A$5:$A$1204,A451)&gt;1,"重复",""))</x:f>
      </x:c>
      <x:c r="U451" s="64" t="str">
        <x:f>IF(A451="","",IF(T451="重复","检查重复",IF(OR(R451="有证据",R451="有记录",R451="持续跟踪"),"可追踪","检查")))</x:f>
      </x:c>
    </x:row>
    <x:row r="452">
      <x:c r="A452" s="62"/>
      <x:c r="B452" s="62"/>
      <x:c r="C452" s="62"/>
      <x:c r="D452" s="66"/>
      <x:c r="E452" s="68"/>
      <x:c r="F452" s="62"/>
      <x:c r="G452" s="62"/>
      <x:c r="H452" s="62"/>
      <x:c r="I452" s="62"/>
      <x:c r="J452" s="62"/>
      <x:c r="K452" s="62"/>
      <x:c r="L452" s="62"/>
      <x:c r="M452" s="68"/>
      <x:c r="N452" s="68"/>
      <x:c r="O452" s="68"/>
      <x:c r="P452" s="71" t="str">
        <x:f>IF(A452="","",IF(N452&gt;0,N452,M452))</x:f>
      </x:c>
      <x:c r="Q452" s="72" t="n">
        <x:f>IF(A452="",0,IF(COUNTIF($A$5:A452,A452)=1,1,0))</x:f>
        <x:v>0</x:v>
      </x:c>
      <x:c r="R452" s="64" t="str">
        <x:f>IF(A452="","",IF(F452="C452成功",IF(AND(J452&lt;&gt;"",K452&lt;&gt;"",N452&gt;0),"有证据","缺C452证据"),IF(F452="C452发货确认中",IF(AND(J452&lt;&gt;"",K452&lt;&gt;""),"有证据","缺C452证据"),IF(F452="手动完结",IF(OR(L452&lt;&gt;"",O452&lt;&gt;"",S452&lt;&gt;""),"有记录","缺手工证据"),IF(OR(F452="卖出待补仓",F452="提交结果待确认",F452="异常待处理"),"持续跟踪","检查状态")))))</x:f>
      </x:c>
      <x:c r="T452" s="64" t="str">
        <x:f>IF(A452="","",IF(COUNTIF($A$5:$A$1204,A452)&gt;1,"重复",""))</x:f>
      </x:c>
      <x:c r="U452" s="64" t="str">
        <x:f>IF(A452="","",IF(T452="重复","检查重复",IF(OR(R452="有证据",R452="有记录",R452="持续跟踪"),"可追踪","检查")))</x:f>
      </x:c>
    </x:row>
    <x:row r="453">
      <x:c r="A453" s="62"/>
      <x:c r="B453" s="62"/>
      <x:c r="C453" s="62"/>
      <x:c r="D453" s="66"/>
      <x:c r="E453" s="68"/>
      <x:c r="F453" s="62"/>
      <x:c r="G453" s="62"/>
      <x:c r="H453" s="62"/>
      <x:c r="I453" s="62"/>
      <x:c r="J453" s="62"/>
      <x:c r="K453" s="62"/>
      <x:c r="L453" s="62"/>
      <x:c r="M453" s="68"/>
      <x:c r="N453" s="68"/>
      <x:c r="O453" s="68"/>
      <x:c r="P453" s="71" t="str">
        <x:f>IF(A453="","",IF(N453&gt;0,N453,M453))</x:f>
      </x:c>
      <x:c r="Q453" s="72" t="n">
        <x:f>IF(A453="",0,IF(COUNTIF($A$5:A453,A453)=1,1,0))</x:f>
        <x:v>0</x:v>
      </x:c>
      <x:c r="R453" s="64" t="str">
        <x:f>IF(A453="","",IF(F453="C453成功",IF(AND(J453&lt;&gt;"",K453&lt;&gt;"",N453&gt;0),"有证据","缺C453证据"),IF(F453="C453发货确认中",IF(AND(J453&lt;&gt;"",K453&lt;&gt;""),"有证据","缺C453证据"),IF(F453="手动完结",IF(OR(L453&lt;&gt;"",O453&lt;&gt;"",S453&lt;&gt;""),"有记录","缺手工证据"),IF(OR(F453="卖出待补仓",F453="提交结果待确认",F453="异常待处理"),"持续跟踪","检查状态")))))</x:f>
      </x:c>
      <x:c r="T453" s="64" t="str">
        <x:f>IF(A453="","",IF(COUNTIF($A$5:$A$1204,A453)&gt;1,"重复",""))</x:f>
      </x:c>
      <x:c r="U453" s="64" t="str">
        <x:f>IF(A453="","",IF(T453="重复","检查重复",IF(OR(R453="有证据",R453="有记录",R453="持续跟踪"),"可追踪","检查")))</x:f>
      </x:c>
    </x:row>
    <x:row r="454">
      <x:c r="A454" s="62"/>
      <x:c r="B454" s="62"/>
      <x:c r="C454" s="62"/>
      <x:c r="D454" s="66"/>
      <x:c r="E454" s="68"/>
      <x:c r="F454" s="62"/>
      <x:c r="G454" s="62"/>
      <x:c r="H454" s="62"/>
      <x:c r="I454" s="62"/>
      <x:c r="J454" s="62"/>
      <x:c r="K454" s="62"/>
      <x:c r="L454" s="62"/>
      <x:c r="M454" s="68"/>
      <x:c r="N454" s="68"/>
      <x:c r="O454" s="68"/>
      <x:c r="P454" s="71" t="str">
        <x:f>IF(A454="","",IF(N454&gt;0,N454,M454))</x:f>
      </x:c>
      <x:c r="Q454" s="72" t="n">
        <x:f>IF(A454="",0,IF(COUNTIF($A$5:A454,A454)=1,1,0))</x:f>
        <x:v>0</x:v>
      </x:c>
      <x:c r="R454" s="64" t="str">
        <x:f>IF(A454="","",IF(F454="C454成功",IF(AND(J454&lt;&gt;"",K454&lt;&gt;"",N454&gt;0),"有证据","缺C454证据"),IF(F454="C454发货确认中",IF(AND(J454&lt;&gt;"",K454&lt;&gt;""),"有证据","缺C454证据"),IF(F454="手动完结",IF(OR(L454&lt;&gt;"",O454&lt;&gt;"",S454&lt;&gt;""),"有记录","缺手工证据"),IF(OR(F454="卖出待补仓",F454="提交结果待确认",F454="异常待处理"),"持续跟踪","检查状态")))))</x:f>
      </x:c>
      <x:c r="T454" s="64" t="str">
        <x:f>IF(A454="","",IF(COUNTIF($A$5:$A$1204,A454)&gt;1,"重复",""))</x:f>
      </x:c>
      <x:c r="U454" s="64" t="str">
        <x:f>IF(A454="","",IF(T454="重复","检查重复",IF(OR(R454="有证据",R454="有记录",R454="持续跟踪"),"可追踪","检查")))</x:f>
      </x:c>
    </x:row>
    <x:row r="455">
      <x:c r="A455" s="62"/>
      <x:c r="B455" s="62"/>
      <x:c r="C455" s="62"/>
      <x:c r="D455" s="66"/>
      <x:c r="E455" s="68"/>
      <x:c r="F455" s="62"/>
      <x:c r="G455" s="62"/>
      <x:c r="H455" s="62"/>
      <x:c r="I455" s="62"/>
      <x:c r="J455" s="62"/>
      <x:c r="K455" s="62"/>
      <x:c r="L455" s="62"/>
      <x:c r="M455" s="68"/>
      <x:c r="N455" s="68"/>
      <x:c r="O455" s="68"/>
      <x:c r="P455" s="71" t="str">
        <x:f>IF(A455="","",IF(N455&gt;0,N455,M455))</x:f>
      </x:c>
      <x:c r="Q455" s="72" t="n">
        <x:f>IF(A455="",0,IF(COUNTIF($A$5:A455,A455)=1,1,0))</x:f>
        <x:v>0</x:v>
      </x:c>
      <x:c r="R455" s="64" t="str">
        <x:f>IF(A455="","",IF(F455="C455成功",IF(AND(J455&lt;&gt;"",K455&lt;&gt;"",N455&gt;0),"有证据","缺C455证据"),IF(F455="C455发货确认中",IF(AND(J455&lt;&gt;"",K455&lt;&gt;""),"有证据","缺C455证据"),IF(F455="手动完结",IF(OR(L455&lt;&gt;"",O455&lt;&gt;"",S455&lt;&gt;""),"有记录","缺手工证据"),IF(OR(F455="卖出待补仓",F455="提交结果待确认",F455="异常待处理"),"持续跟踪","检查状态")))))</x:f>
      </x:c>
      <x:c r="T455" s="64" t="str">
        <x:f>IF(A455="","",IF(COUNTIF($A$5:$A$1204,A455)&gt;1,"重复",""))</x:f>
      </x:c>
      <x:c r="U455" s="64" t="str">
        <x:f>IF(A455="","",IF(T455="重复","检查重复",IF(OR(R455="有证据",R455="有记录",R455="持续跟踪"),"可追踪","检查")))</x:f>
      </x:c>
    </x:row>
    <x:row r="456">
      <x:c r="A456" s="62"/>
      <x:c r="B456" s="62"/>
      <x:c r="C456" s="62"/>
      <x:c r="D456" s="66"/>
      <x:c r="E456" s="68"/>
      <x:c r="F456" s="62"/>
      <x:c r="G456" s="62"/>
      <x:c r="H456" s="62"/>
      <x:c r="I456" s="62"/>
      <x:c r="J456" s="62"/>
      <x:c r="K456" s="62"/>
      <x:c r="L456" s="62"/>
      <x:c r="M456" s="68"/>
      <x:c r="N456" s="68"/>
      <x:c r="O456" s="68"/>
      <x:c r="P456" s="71" t="str">
        <x:f>IF(A456="","",IF(N456&gt;0,N456,M456))</x:f>
      </x:c>
      <x:c r="Q456" s="72" t="n">
        <x:f>IF(A456="",0,IF(COUNTIF($A$5:A456,A456)=1,1,0))</x:f>
        <x:v>0</x:v>
      </x:c>
      <x:c r="R456" s="64" t="str">
        <x:f>IF(A456="","",IF(F456="C456成功",IF(AND(J456&lt;&gt;"",K456&lt;&gt;"",N456&gt;0),"有证据","缺C456证据"),IF(F456="C456发货确认中",IF(AND(J456&lt;&gt;"",K456&lt;&gt;""),"有证据","缺C456证据"),IF(F456="手动完结",IF(OR(L456&lt;&gt;"",O456&lt;&gt;"",S456&lt;&gt;""),"有记录","缺手工证据"),IF(OR(F456="卖出待补仓",F456="提交结果待确认",F456="异常待处理"),"持续跟踪","检查状态")))))</x:f>
      </x:c>
      <x:c r="T456" s="64" t="str">
        <x:f>IF(A456="","",IF(COUNTIF($A$5:$A$1204,A456)&gt;1,"重复",""))</x:f>
      </x:c>
      <x:c r="U456" s="64" t="str">
        <x:f>IF(A456="","",IF(T456="重复","检查重复",IF(OR(R456="有证据",R456="有记录",R456="持续跟踪"),"可追踪","检查")))</x:f>
      </x:c>
    </x:row>
    <x:row r="457">
      <x:c r="A457" s="62"/>
      <x:c r="B457" s="62"/>
      <x:c r="C457" s="62"/>
      <x:c r="D457" s="66"/>
      <x:c r="E457" s="68"/>
      <x:c r="F457" s="62"/>
      <x:c r="G457" s="62"/>
      <x:c r="H457" s="62"/>
      <x:c r="I457" s="62"/>
      <x:c r="J457" s="62"/>
      <x:c r="K457" s="62"/>
      <x:c r="L457" s="62"/>
      <x:c r="M457" s="68"/>
      <x:c r="N457" s="68"/>
      <x:c r="O457" s="68"/>
      <x:c r="P457" s="71" t="str">
        <x:f>IF(A457="","",IF(N457&gt;0,N457,M457))</x:f>
      </x:c>
      <x:c r="Q457" s="72" t="n">
        <x:f>IF(A457="",0,IF(COUNTIF($A$5:A457,A457)=1,1,0))</x:f>
        <x:v>0</x:v>
      </x:c>
      <x:c r="R457" s="64" t="str">
        <x:f>IF(A457="","",IF(F457="C457成功",IF(AND(J457&lt;&gt;"",K457&lt;&gt;"",N457&gt;0),"有证据","缺C457证据"),IF(F457="C457发货确认中",IF(AND(J457&lt;&gt;"",K457&lt;&gt;""),"有证据","缺C457证据"),IF(F457="手动完结",IF(OR(L457&lt;&gt;"",O457&lt;&gt;"",S457&lt;&gt;""),"有记录","缺手工证据"),IF(OR(F457="卖出待补仓",F457="提交结果待确认",F457="异常待处理"),"持续跟踪","检查状态")))))</x:f>
      </x:c>
      <x:c r="T457" s="64" t="str">
        <x:f>IF(A457="","",IF(COUNTIF($A$5:$A$1204,A457)&gt;1,"重复",""))</x:f>
      </x:c>
      <x:c r="U457" s="64" t="str">
        <x:f>IF(A457="","",IF(T457="重复","检查重复",IF(OR(R457="有证据",R457="有记录",R457="持续跟踪"),"可追踪","检查")))</x:f>
      </x:c>
    </x:row>
    <x:row r="458">
      <x:c r="A458" s="62"/>
      <x:c r="B458" s="62"/>
      <x:c r="C458" s="62"/>
      <x:c r="D458" s="66"/>
      <x:c r="E458" s="68"/>
      <x:c r="F458" s="62"/>
      <x:c r="G458" s="62"/>
      <x:c r="H458" s="62"/>
      <x:c r="I458" s="62"/>
      <x:c r="J458" s="62"/>
      <x:c r="K458" s="62"/>
      <x:c r="L458" s="62"/>
      <x:c r="M458" s="68"/>
      <x:c r="N458" s="68"/>
      <x:c r="O458" s="68"/>
      <x:c r="P458" s="71" t="str">
        <x:f>IF(A458="","",IF(N458&gt;0,N458,M458))</x:f>
      </x:c>
      <x:c r="Q458" s="72" t="n">
        <x:f>IF(A458="",0,IF(COUNTIF($A$5:A458,A458)=1,1,0))</x:f>
        <x:v>0</x:v>
      </x:c>
      <x:c r="R458" s="64" t="str">
        <x:f>IF(A458="","",IF(F458="C458成功",IF(AND(J458&lt;&gt;"",K458&lt;&gt;"",N458&gt;0),"有证据","缺C458证据"),IF(F458="C458发货确认中",IF(AND(J458&lt;&gt;"",K458&lt;&gt;""),"有证据","缺C458证据"),IF(F458="手动完结",IF(OR(L458&lt;&gt;"",O458&lt;&gt;"",S458&lt;&gt;""),"有记录","缺手工证据"),IF(OR(F458="卖出待补仓",F458="提交结果待确认",F458="异常待处理"),"持续跟踪","检查状态")))))</x:f>
      </x:c>
      <x:c r="T458" s="64" t="str">
        <x:f>IF(A458="","",IF(COUNTIF($A$5:$A$1204,A458)&gt;1,"重复",""))</x:f>
      </x:c>
      <x:c r="U458" s="64" t="str">
        <x:f>IF(A458="","",IF(T458="重复","检查重复",IF(OR(R458="有证据",R458="有记录",R458="持续跟踪"),"可追踪","检查")))</x:f>
      </x:c>
    </x:row>
    <x:row r="459">
      <x:c r="A459" s="62"/>
      <x:c r="B459" s="62"/>
      <x:c r="C459" s="62"/>
      <x:c r="D459" s="66"/>
      <x:c r="E459" s="68"/>
      <x:c r="F459" s="62"/>
      <x:c r="G459" s="62"/>
      <x:c r="H459" s="62"/>
      <x:c r="I459" s="62"/>
      <x:c r="J459" s="62"/>
      <x:c r="K459" s="62"/>
      <x:c r="L459" s="62"/>
      <x:c r="M459" s="68"/>
      <x:c r="N459" s="68"/>
      <x:c r="O459" s="68"/>
      <x:c r="P459" s="71" t="str">
        <x:f>IF(A459="","",IF(N459&gt;0,N459,M459))</x:f>
      </x:c>
      <x:c r="Q459" s="72" t="n">
        <x:f>IF(A459="",0,IF(COUNTIF($A$5:A459,A459)=1,1,0))</x:f>
        <x:v>0</x:v>
      </x:c>
      <x:c r="R459" s="64" t="str">
        <x:f>IF(A459="","",IF(F459="C459成功",IF(AND(J459&lt;&gt;"",K459&lt;&gt;"",N459&gt;0),"有证据","缺C459证据"),IF(F459="C459发货确认中",IF(AND(J459&lt;&gt;"",K459&lt;&gt;""),"有证据","缺C459证据"),IF(F459="手动完结",IF(OR(L459&lt;&gt;"",O459&lt;&gt;"",S459&lt;&gt;""),"有记录","缺手工证据"),IF(OR(F459="卖出待补仓",F459="提交结果待确认",F459="异常待处理"),"持续跟踪","检查状态")))))</x:f>
      </x:c>
      <x:c r="T459" s="64" t="str">
        <x:f>IF(A459="","",IF(COUNTIF($A$5:$A$1204,A459)&gt;1,"重复",""))</x:f>
      </x:c>
      <x:c r="U459" s="64" t="str">
        <x:f>IF(A459="","",IF(T459="重复","检查重复",IF(OR(R459="有证据",R459="有记录",R459="持续跟踪"),"可追踪","检查")))</x:f>
      </x:c>
    </x:row>
    <x:row r="460">
      <x:c r="A460" s="62"/>
      <x:c r="B460" s="62"/>
      <x:c r="C460" s="62"/>
      <x:c r="D460" s="66"/>
      <x:c r="E460" s="68"/>
      <x:c r="F460" s="62"/>
      <x:c r="G460" s="62"/>
      <x:c r="H460" s="62"/>
      <x:c r="I460" s="62"/>
      <x:c r="J460" s="62"/>
      <x:c r="K460" s="62"/>
      <x:c r="L460" s="62"/>
      <x:c r="M460" s="68"/>
      <x:c r="N460" s="68"/>
      <x:c r="O460" s="68"/>
      <x:c r="P460" s="71" t="str">
        <x:f>IF(A460="","",IF(N460&gt;0,N460,M460))</x:f>
      </x:c>
      <x:c r="Q460" s="72" t="n">
        <x:f>IF(A460="",0,IF(COUNTIF($A$5:A460,A460)=1,1,0))</x:f>
        <x:v>0</x:v>
      </x:c>
      <x:c r="R460" s="64" t="str">
        <x:f>IF(A460="","",IF(F460="C460成功",IF(AND(J460&lt;&gt;"",K460&lt;&gt;"",N460&gt;0),"有证据","缺C460证据"),IF(F460="C460发货确认中",IF(AND(J460&lt;&gt;"",K460&lt;&gt;""),"有证据","缺C460证据"),IF(F460="手动完结",IF(OR(L460&lt;&gt;"",O460&lt;&gt;"",S460&lt;&gt;""),"有记录","缺手工证据"),IF(OR(F460="卖出待补仓",F460="提交结果待确认",F460="异常待处理"),"持续跟踪","检查状态")))))</x:f>
      </x:c>
      <x:c r="T460" s="64" t="str">
        <x:f>IF(A460="","",IF(COUNTIF($A$5:$A$1204,A460)&gt;1,"重复",""))</x:f>
      </x:c>
      <x:c r="U460" s="64" t="str">
        <x:f>IF(A460="","",IF(T460="重复","检查重复",IF(OR(R460="有证据",R460="有记录",R460="持续跟踪"),"可追踪","检查")))</x:f>
      </x:c>
    </x:row>
    <x:row r="461">
      <x:c r="A461" s="62"/>
      <x:c r="B461" s="62"/>
      <x:c r="C461" s="62"/>
      <x:c r="D461" s="66"/>
      <x:c r="E461" s="68"/>
      <x:c r="F461" s="62"/>
      <x:c r="G461" s="62"/>
      <x:c r="H461" s="62"/>
      <x:c r="I461" s="62"/>
      <x:c r="J461" s="62"/>
      <x:c r="K461" s="62"/>
      <x:c r="L461" s="62"/>
      <x:c r="M461" s="68"/>
      <x:c r="N461" s="68"/>
      <x:c r="O461" s="68"/>
      <x:c r="P461" s="71" t="str">
        <x:f>IF(A461="","",IF(N461&gt;0,N461,M461))</x:f>
      </x:c>
      <x:c r="Q461" s="72" t="n">
        <x:f>IF(A461="",0,IF(COUNTIF($A$5:A461,A461)=1,1,0))</x:f>
        <x:v>0</x:v>
      </x:c>
      <x:c r="R461" s="64" t="str">
        <x:f>IF(A461="","",IF(F461="C461成功",IF(AND(J461&lt;&gt;"",K461&lt;&gt;"",N461&gt;0),"有证据","缺C461证据"),IF(F461="C461发货确认中",IF(AND(J461&lt;&gt;"",K461&lt;&gt;""),"有证据","缺C461证据"),IF(F461="手动完结",IF(OR(L461&lt;&gt;"",O461&lt;&gt;"",S461&lt;&gt;""),"有记录","缺手工证据"),IF(OR(F461="卖出待补仓",F461="提交结果待确认",F461="异常待处理"),"持续跟踪","检查状态")))))</x:f>
      </x:c>
      <x:c r="T461" s="64" t="str">
        <x:f>IF(A461="","",IF(COUNTIF($A$5:$A$1204,A461)&gt;1,"重复",""))</x:f>
      </x:c>
      <x:c r="U461" s="64" t="str">
        <x:f>IF(A461="","",IF(T461="重复","检查重复",IF(OR(R461="有证据",R461="有记录",R461="持续跟踪"),"可追踪","检查")))</x:f>
      </x:c>
    </x:row>
    <x:row r="462">
      <x:c r="A462" s="62"/>
      <x:c r="B462" s="62"/>
      <x:c r="C462" s="62"/>
      <x:c r="D462" s="66"/>
      <x:c r="E462" s="68"/>
      <x:c r="F462" s="62"/>
      <x:c r="G462" s="62"/>
      <x:c r="H462" s="62"/>
      <x:c r="I462" s="62"/>
      <x:c r="J462" s="62"/>
      <x:c r="K462" s="62"/>
      <x:c r="L462" s="62"/>
      <x:c r="M462" s="68"/>
      <x:c r="N462" s="68"/>
      <x:c r="O462" s="68"/>
      <x:c r="P462" s="71" t="str">
        <x:f>IF(A462="","",IF(N462&gt;0,N462,M462))</x:f>
      </x:c>
      <x:c r="Q462" s="72" t="n">
        <x:f>IF(A462="",0,IF(COUNTIF($A$5:A462,A462)=1,1,0))</x:f>
        <x:v>0</x:v>
      </x:c>
      <x:c r="R462" s="64" t="str">
        <x:f>IF(A462="","",IF(F462="C462成功",IF(AND(J462&lt;&gt;"",K462&lt;&gt;"",N462&gt;0),"有证据","缺C462证据"),IF(F462="C462发货确认中",IF(AND(J462&lt;&gt;"",K462&lt;&gt;""),"有证据","缺C462证据"),IF(F462="手动完结",IF(OR(L462&lt;&gt;"",O462&lt;&gt;"",S462&lt;&gt;""),"有记录","缺手工证据"),IF(OR(F462="卖出待补仓",F462="提交结果待确认",F462="异常待处理"),"持续跟踪","检查状态")))))</x:f>
      </x:c>
      <x:c r="T462" s="64" t="str">
        <x:f>IF(A462="","",IF(COUNTIF($A$5:$A$1204,A462)&gt;1,"重复",""))</x:f>
      </x:c>
      <x:c r="U462" s="64" t="str">
        <x:f>IF(A462="","",IF(T462="重复","检查重复",IF(OR(R462="有证据",R462="有记录",R462="持续跟踪"),"可追踪","检查")))</x:f>
      </x:c>
    </x:row>
    <x:row r="463">
      <x:c r="A463" s="62"/>
      <x:c r="B463" s="62"/>
      <x:c r="C463" s="62"/>
      <x:c r="D463" s="66"/>
      <x:c r="E463" s="68"/>
      <x:c r="F463" s="62"/>
      <x:c r="G463" s="62"/>
      <x:c r="H463" s="62"/>
      <x:c r="I463" s="62"/>
      <x:c r="J463" s="62"/>
      <x:c r="K463" s="62"/>
      <x:c r="L463" s="62"/>
      <x:c r="M463" s="68"/>
      <x:c r="N463" s="68"/>
      <x:c r="O463" s="68"/>
      <x:c r="P463" s="71" t="str">
        <x:f>IF(A463="","",IF(N463&gt;0,N463,M463))</x:f>
      </x:c>
      <x:c r="Q463" s="72" t="n">
        <x:f>IF(A463="",0,IF(COUNTIF($A$5:A463,A463)=1,1,0))</x:f>
        <x:v>0</x:v>
      </x:c>
      <x:c r="R463" s="64" t="str">
        <x:f>IF(A463="","",IF(F463="C463成功",IF(AND(J463&lt;&gt;"",K463&lt;&gt;"",N463&gt;0),"有证据","缺C463证据"),IF(F463="C463发货确认中",IF(AND(J463&lt;&gt;"",K463&lt;&gt;""),"有证据","缺C463证据"),IF(F463="手动完结",IF(OR(L463&lt;&gt;"",O463&lt;&gt;"",S463&lt;&gt;""),"有记录","缺手工证据"),IF(OR(F463="卖出待补仓",F463="提交结果待确认",F463="异常待处理"),"持续跟踪","检查状态")))))</x:f>
      </x:c>
      <x:c r="T463" s="64" t="str">
        <x:f>IF(A463="","",IF(COUNTIF($A$5:$A$1204,A463)&gt;1,"重复",""))</x:f>
      </x:c>
      <x:c r="U463" s="64" t="str">
        <x:f>IF(A463="","",IF(T463="重复","检查重复",IF(OR(R463="有证据",R463="有记录",R463="持续跟踪"),"可追踪","检查")))</x:f>
      </x:c>
    </x:row>
    <x:row r="464">
      <x:c r="A464" s="62"/>
      <x:c r="B464" s="62"/>
      <x:c r="C464" s="62"/>
      <x:c r="D464" s="66"/>
      <x:c r="E464" s="68"/>
      <x:c r="F464" s="62"/>
      <x:c r="G464" s="62"/>
      <x:c r="H464" s="62"/>
      <x:c r="I464" s="62"/>
      <x:c r="J464" s="62"/>
      <x:c r="K464" s="62"/>
      <x:c r="L464" s="62"/>
      <x:c r="M464" s="68"/>
      <x:c r="N464" s="68"/>
      <x:c r="O464" s="68"/>
      <x:c r="P464" s="71" t="str">
        <x:f>IF(A464="","",IF(N464&gt;0,N464,M464))</x:f>
      </x:c>
      <x:c r="Q464" s="72" t="n">
        <x:f>IF(A464="",0,IF(COUNTIF($A$5:A464,A464)=1,1,0))</x:f>
        <x:v>0</x:v>
      </x:c>
      <x:c r="R464" s="64" t="str">
        <x:f>IF(A464="","",IF(F464="C464成功",IF(AND(J464&lt;&gt;"",K464&lt;&gt;"",N464&gt;0),"有证据","缺C464证据"),IF(F464="C464发货确认中",IF(AND(J464&lt;&gt;"",K464&lt;&gt;""),"有证据","缺C464证据"),IF(F464="手动完结",IF(OR(L464&lt;&gt;"",O464&lt;&gt;"",S464&lt;&gt;""),"有记录","缺手工证据"),IF(OR(F464="卖出待补仓",F464="提交结果待确认",F464="异常待处理"),"持续跟踪","检查状态")))))</x:f>
      </x:c>
      <x:c r="T464" s="64" t="str">
        <x:f>IF(A464="","",IF(COUNTIF($A$5:$A$1204,A464)&gt;1,"重复",""))</x:f>
      </x:c>
      <x:c r="U464" s="64" t="str">
        <x:f>IF(A464="","",IF(T464="重复","检查重复",IF(OR(R464="有证据",R464="有记录",R464="持续跟踪"),"可追踪","检查")))</x:f>
      </x:c>
    </x:row>
    <x:row r="465">
      <x:c r="A465" s="62"/>
      <x:c r="B465" s="62"/>
      <x:c r="C465" s="62"/>
      <x:c r="D465" s="66"/>
      <x:c r="E465" s="68"/>
      <x:c r="F465" s="62"/>
      <x:c r="G465" s="62"/>
      <x:c r="H465" s="62"/>
      <x:c r="I465" s="62"/>
      <x:c r="J465" s="62"/>
      <x:c r="K465" s="62"/>
      <x:c r="L465" s="62"/>
      <x:c r="M465" s="68"/>
      <x:c r="N465" s="68"/>
      <x:c r="O465" s="68"/>
      <x:c r="P465" s="71" t="str">
        <x:f>IF(A465="","",IF(N465&gt;0,N465,M465))</x:f>
      </x:c>
      <x:c r="Q465" s="72" t="n">
        <x:f>IF(A465="",0,IF(COUNTIF($A$5:A465,A465)=1,1,0))</x:f>
        <x:v>0</x:v>
      </x:c>
      <x:c r="R465" s="64" t="str">
        <x:f>IF(A465="","",IF(F465="C465成功",IF(AND(J465&lt;&gt;"",K465&lt;&gt;"",N465&gt;0),"有证据","缺C465证据"),IF(F465="C465发货确认中",IF(AND(J465&lt;&gt;"",K465&lt;&gt;""),"有证据","缺C465证据"),IF(F465="手动完结",IF(OR(L465&lt;&gt;"",O465&lt;&gt;"",S465&lt;&gt;""),"有记录","缺手工证据"),IF(OR(F465="卖出待补仓",F465="提交结果待确认",F465="异常待处理"),"持续跟踪","检查状态")))))</x:f>
      </x:c>
      <x:c r="T465" s="64" t="str">
        <x:f>IF(A465="","",IF(COUNTIF($A$5:$A$1204,A465)&gt;1,"重复",""))</x:f>
      </x:c>
      <x:c r="U465" s="64" t="str">
        <x:f>IF(A465="","",IF(T465="重复","检查重复",IF(OR(R465="有证据",R465="有记录",R465="持续跟踪"),"可追踪","检查")))</x:f>
      </x:c>
    </x:row>
    <x:row r="466">
      <x:c r="A466" s="62"/>
      <x:c r="B466" s="62"/>
      <x:c r="C466" s="62"/>
      <x:c r="D466" s="66"/>
      <x:c r="E466" s="68"/>
      <x:c r="F466" s="62"/>
      <x:c r="G466" s="62"/>
      <x:c r="H466" s="62"/>
      <x:c r="I466" s="62"/>
      <x:c r="J466" s="62"/>
      <x:c r="K466" s="62"/>
      <x:c r="L466" s="62"/>
      <x:c r="M466" s="68"/>
      <x:c r="N466" s="68"/>
      <x:c r="O466" s="68"/>
      <x:c r="P466" s="71" t="str">
        <x:f>IF(A466="","",IF(N466&gt;0,N466,M466))</x:f>
      </x:c>
      <x:c r="Q466" s="72" t="n">
        <x:f>IF(A466="",0,IF(COUNTIF($A$5:A466,A466)=1,1,0))</x:f>
        <x:v>0</x:v>
      </x:c>
      <x:c r="R466" s="64" t="str">
        <x:f>IF(A466="","",IF(F466="C466成功",IF(AND(J466&lt;&gt;"",K466&lt;&gt;"",N466&gt;0),"有证据","缺C466证据"),IF(F466="C466发货确认中",IF(AND(J466&lt;&gt;"",K466&lt;&gt;""),"有证据","缺C466证据"),IF(F466="手动完结",IF(OR(L466&lt;&gt;"",O466&lt;&gt;"",S466&lt;&gt;""),"有记录","缺手工证据"),IF(OR(F466="卖出待补仓",F466="提交结果待确认",F466="异常待处理"),"持续跟踪","检查状态")))))</x:f>
      </x:c>
      <x:c r="T466" s="64" t="str">
        <x:f>IF(A466="","",IF(COUNTIF($A$5:$A$1204,A466)&gt;1,"重复",""))</x:f>
      </x:c>
      <x:c r="U466" s="64" t="str">
        <x:f>IF(A466="","",IF(T466="重复","检查重复",IF(OR(R466="有证据",R466="有记录",R466="持续跟踪"),"可追踪","检查")))</x:f>
      </x:c>
    </x:row>
    <x:row r="467">
      <x:c r="A467" s="62"/>
      <x:c r="B467" s="62"/>
      <x:c r="C467" s="62"/>
      <x:c r="D467" s="66"/>
      <x:c r="E467" s="68"/>
      <x:c r="F467" s="62"/>
      <x:c r="G467" s="62"/>
      <x:c r="H467" s="62"/>
      <x:c r="I467" s="62"/>
      <x:c r="J467" s="62"/>
      <x:c r="K467" s="62"/>
      <x:c r="L467" s="62"/>
      <x:c r="M467" s="68"/>
      <x:c r="N467" s="68"/>
      <x:c r="O467" s="68"/>
      <x:c r="P467" s="71" t="str">
        <x:f>IF(A467="","",IF(N467&gt;0,N467,M467))</x:f>
      </x:c>
      <x:c r="Q467" s="72" t="n">
        <x:f>IF(A467="",0,IF(COUNTIF($A$5:A467,A467)=1,1,0))</x:f>
        <x:v>0</x:v>
      </x:c>
      <x:c r="R467" s="64" t="str">
        <x:f>IF(A467="","",IF(F467="C467成功",IF(AND(J467&lt;&gt;"",K467&lt;&gt;"",N467&gt;0),"有证据","缺C467证据"),IF(F467="C467发货确认中",IF(AND(J467&lt;&gt;"",K467&lt;&gt;""),"有证据","缺C467证据"),IF(F467="手动完结",IF(OR(L467&lt;&gt;"",O467&lt;&gt;"",S467&lt;&gt;""),"有记录","缺手工证据"),IF(OR(F467="卖出待补仓",F467="提交结果待确认",F467="异常待处理"),"持续跟踪","检查状态")))))</x:f>
      </x:c>
      <x:c r="T467" s="64" t="str">
        <x:f>IF(A467="","",IF(COUNTIF($A$5:$A$1204,A467)&gt;1,"重复",""))</x:f>
      </x:c>
      <x:c r="U467" s="64" t="str">
        <x:f>IF(A467="","",IF(T467="重复","检查重复",IF(OR(R467="有证据",R467="有记录",R467="持续跟踪"),"可追踪","检查")))</x:f>
      </x:c>
    </x:row>
    <x:row r="468">
      <x:c r="A468" s="62"/>
      <x:c r="B468" s="62"/>
      <x:c r="C468" s="62"/>
      <x:c r="D468" s="66"/>
      <x:c r="E468" s="68"/>
      <x:c r="F468" s="62"/>
      <x:c r="G468" s="62"/>
      <x:c r="H468" s="62"/>
      <x:c r="I468" s="62"/>
      <x:c r="J468" s="62"/>
      <x:c r="K468" s="62"/>
      <x:c r="L468" s="62"/>
      <x:c r="M468" s="68"/>
      <x:c r="N468" s="68"/>
      <x:c r="O468" s="68"/>
      <x:c r="P468" s="71" t="str">
        <x:f>IF(A468="","",IF(N468&gt;0,N468,M468))</x:f>
      </x:c>
      <x:c r="Q468" s="72" t="n">
        <x:f>IF(A468="",0,IF(COUNTIF($A$5:A468,A468)=1,1,0))</x:f>
        <x:v>0</x:v>
      </x:c>
      <x:c r="R468" s="64" t="str">
        <x:f>IF(A468="","",IF(F468="C468成功",IF(AND(J468&lt;&gt;"",K468&lt;&gt;"",N468&gt;0),"有证据","缺C468证据"),IF(F468="C468发货确认中",IF(AND(J468&lt;&gt;"",K468&lt;&gt;""),"有证据","缺C468证据"),IF(F468="手动完结",IF(OR(L468&lt;&gt;"",O468&lt;&gt;"",S468&lt;&gt;""),"有记录","缺手工证据"),IF(OR(F468="卖出待补仓",F468="提交结果待确认",F468="异常待处理"),"持续跟踪","检查状态")))))</x:f>
      </x:c>
      <x:c r="T468" s="64" t="str">
        <x:f>IF(A468="","",IF(COUNTIF($A$5:$A$1204,A468)&gt;1,"重复",""))</x:f>
      </x:c>
      <x:c r="U468" s="64" t="str">
        <x:f>IF(A468="","",IF(T468="重复","检查重复",IF(OR(R468="有证据",R468="有记录",R468="持续跟踪"),"可追踪","检查")))</x:f>
      </x:c>
    </x:row>
    <x:row r="469">
      <x:c r="A469" s="62"/>
      <x:c r="B469" s="62"/>
      <x:c r="C469" s="62"/>
      <x:c r="D469" s="66"/>
      <x:c r="E469" s="68"/>
      <x:c r="F469" s="62"/>
      <x:c r="G469" s="62"/>
      <x:c r="H469" s="62"/>
      <x:c r="I469" s="62"/>
      <x:c r="J469" s="62"/>
      <x:c r="K469" s="62"/>
      <x:c r="L469" s="62"/>
      <x:c r="M469" s="68"/>
      <x:c r="N469" s="68"/>
      <x:c r="O469" s="68"/>
      <x:c r="P469" s="71" t="str">
        <x:f>IF(A469="","",IF(N469&gt;0,N469,M469))</x:f>
      </x:c>
      <x:c r="Q469" s="72" t="n">
        <x:f>IF(A469="",0,IF(COUNTIF($A$5:A469,A469)=1,1,0))</x:f>
        <x:v>0</x:v>
      </x:c>
      <x:c r="R469" s="64" t="str">
        <x:f>IF(A469="","",IF(F469="C469成功",IF(AND(J469&lt;&gt;"",K469&lt;&gt;"",N469&gt;0),"有证据","缺C469证据"),IF(F469="C469发货确认中",IF(AND(J469&lt;&gt;"",K469&lt;&gt;""),"有证据","缺C469证据"),IF(F469="手动完结",IF(OR(L469&lt;&gt;"",O469&lt;&gt;"",S469&lt;&gt;""),"有记录","缺手工证据"),IF(OR(F469="卖出待补仓",F469="提交结果待确认",F469="异常待处理"),"持续跟踪","检查状态")))))</x:f>
      </x:c>
      <x:c r="T469" s="64" t="str">
        <x:f>IF(A469="","",IF(COUNTIF($A$5:$A$1204,A469)&gt;1,"重复",""))</x:f>
      </x:c>
      <x:c r="U469" s="64" t="str">
        <x:f>IF(A469="","",IF(T469="重复","检查重复",IF(OR(R469="有证据",R469="有记录",R469="持续跟踪"),"可追踪","检查")))</x:f>
      </x:c>
    </x:row>
    <x:row r="470">
      <x:c r="A470" s="62"/>
      <x:c r="B470" s="62"/>
      <x:c r="C470" s="62"/>
      <x:c r="D470" s="66"/>
      <x:c r="E470" s="68"/>
      <x:c r="F470" s="62"/>
      <x:c r="G470" s="62"/>
      <x:c r="H470" s="62"/>
      <x:c r="I470" s="62"/>
      <x:c r="J470" s="62"/>
      <x:c r="K470" s="62"/>
      <x:c r="L470" s="62"/>
      <x:c r="M470" s="68"/>
      <x:c r="N470" s="68"/>
      <x:c r="O470" s="68"/>
      <x:c r="P470" s="71" t="str">
        <x:f>IF(A470="","",IF(N470&gt;0,N470,M470))</x:f>
      </x:c>
      <x:c r="Q470" s="72" t="n">
        <x:f>IF(A470="",0,IF(COUNTIF($A$5:A470,A470)=1,1,0))</x:f>
        <x:v>0</x:v>
      </x:c>
      <x:c r="R470" s="64" t="str">
        <x:f>IF(A470="","",IF(F470="C470成功",IF(AND(J470&lt;&gt;"",K470&lt;&gt;"",N470&gt;0),"有证据","缺C470证据"),IF(F470="C470发货确认中",IF(AND(J470&lt;&gt;"",K470&lt;&gt;""),"有证据","缺C470证据"),IF(F470="手动完结",IF(OR(L470&lt;&gt;"",O470&lt;&gt;"",S470&lt;&gt;""),"有记录","缺手工证据"),IF(OR(F470="卖出待补仓",F470="提交结果待确认",F470="异常待处理"),"持续跟踪","检查状态")))))</x:f>
      </x:c>
      <x:c r="T470" s="64" t="str">
        <x:f>IF(A470="","",IF(COUNTIF($A$5:$A$1204,A470)&gt;1,"重复",""))</x:f>
      </x:c>
      <x:c r="U470" s="64" t="str">
        <x:f>IF(A470="","",IF(T470="重复","检查重复",IF(OR(R470="有证据",R470="有记录",R470="持续跟踪"),"可追踪","检查")))</x:f>
      </x:c>
    </x:row>
    <x:row r="471">
      <x:c r="A471" s="62"/>
      <x:c r="B471" s="62"/>
      <x:c r="C471" s="62"/>
      <x:c r="D471" s="66"/>
      <x:c r="E471" s="68"/>
      <x:c r="F471" s="62"/>
      <x:c r="G471" s="62"/>
      <x:c r="H471" s="62"/>
      <x:c r="I471" s="62"/>
      <x:c r="J471" s="62"/>
      <x:c r="K471" s="62"/>
      <x:c r="L471" s="62"/>
      <x:c r="M471" s="68"/>
      <x:c r="N471" s="68"/>
      <x:c r="O471" s="68"/>
      <x:c r="P471" s="71" t="str">
        <x:f>IF(A471="","",IF(N471&gt;0,N471,M471))</x:f>
      </x:c>
      <x:c r="Q471" s="72" t="n">
        <x:f>IF(A471="",0,IF(COUNTIF($A$5:A471,A471)=1,1,0))</x:f>
        <x:v>0</x:v>
      </x:c>
      <x:c r="R471" s="64" t="str">
        <x:f>IF(A471="","",IF(F471="C471成功",IF(AND(J471&lt;&gt;"",K471&lt;&gt;"",N471&gt;0),"有证据","缺C471证据"),IF(F471="C471发货确认中",IF(AND(J471&lt;&gt;"",K471&lt;&gt;""),"有证据","缺C471证据"),IF(F471="手动完结",IF(OR(L471&lt;&gt;"",O471&lt;&gt;"",S471&lt;&gt;""),"有记录","缺手工证据"),IF(OR(F471="卖出待补仓",F471="提交结果待确认",F471="异常待处理"),"持续跟踪","检查状态")))))</x:f>
      </x:c>
      <x:c r="T471" s="64" t="str">
        <x:f>IF(A471="","",IF(COUNTIF($A$5:$A$1204,A471)&gt;1,"重复",""))</x:f>
      </x:c>
      <x:c r="U471" s="64" t="str">
        <x:f>IF(A471="","",IF(T471="重复","检查重复",IF(OR(R471="有证据",R471="有记录",R471="持续跟踪"),"可追踪","检查")))</x:f>
      </x:c>
    </x:row>
    <x:row r="472">
      <x:c r="A472" s="62"/>
      <x:c r="B472" s="62"/>
      <x:c r="C472" s="62"/>
      <x:c r="D472" s="66"/>
      <x:c r="E472" s="68"/>
      <x:c r="F472" s="62"/>
      <x:c r="G472" s="62"/>
      <x:c r="H472" s="62"/>
      <x:c r="I472" s="62"/>
      <x:c r="J472" s="62"/>
      <x:c r="K472" s="62"/>
      <x:c r="L472" s="62"/>
      <x:c r="M472" s="68"/>
      <x:c r="N472" s="68"/>
      <x:c r="O472" s="68"/>
      <x:c r="P472" s="71" t="str">
        <x:f>IF(A472="","",IF(N472&gt;0,N472,M472))</x:f>
      </x:c>
      <x:c r="Q472" s="72" t="n">
        <x:f>IF(A472="",0,IF(COUNTIF($A$5:A472,A472)=1,1,0))</x:f>
        <x:v>0</x:v>
      </x:c>
      <x:c r="R472" s="64" t="str">
        <x:f>IF(A472="","",IF(F472="C472成功",IF(AND(J472&lt;&gt;"",K472&lt;&gt;"",N472&gt;0),"有证据","缺C472证据"),IF(F472="C472发货确认中",IF(AND(J472&lt;&gt;"",K472&lt;&gt;""),"有证据","缺C472证据"),IF(F472="手动完结",IF(OR(L472&lt;&gt;"",O472&lt;&gt;"",S472&lt;&gt;""),"有记录","缺手工证据"),IF(OR(F472="卖出待补仓",F472="提交结果待确认",F472="异常待处理"),"持续跟踪","检查状态")))))</x:f>
      </x:c>
      <x:c r="T472" s="64" t="str">
        <x:f>IF(A472="","",IF(COUNTIF($A$5:$A$1204,A472)&gt;1,"重复",""))</x:f>
      </x:c>
      <x:c r="U472" s="64" t="str">
        <x:f>IF(A472="","",IF(T472="重复","检查重复",IF(OR(R472="有证据",R472="有记录",R472="持续跟踪"),"可追踪","检查")))</x:f>
      </x:c>
    </x:row>
    <x:row r="473">
      <x:c r="A473" s="62"/>
      <x:c r="B473" s="62"/>
      <x:c r="C473" s="62"/>
      <x:c r="D473" s="66"/>
      <x:c r="E473" s="68"/>
      <x:c r="F473" s="62"/>
      <x:c r="G473" s="62"/>
      <x:c r="H473" s="62"/>
      <x:c r="I473" s="62"/>
      <x:c r="J473" s="62"/>
      <x:c r="K473" s="62"/>
      <x:c r="L473" s="62"/>
      <x:c r="M473" s="68"/>
      <x:c r="N473" s="68"/>
      <x:c r="O473" s="68"/>
      <x:c r="P473" s="71" t="str">
        <x:f>IF(A473="","",IF(N473&gt;0,N473,M473))</x:f>
      </x:c>
      <x:c r="Q473" s="72" t="n">
        <x:f>IF(A473="",0,IF(COUNTIF($A$5:A473,A473)=1,1,0))</x:f>
        <x:v>0</x:v>
      </x:c>
      <x:c r="R473" s="64" t="str">
        <x:f>IF(A473="","",IF(F473="C473成功",IF(AND(J473&lt;&gt;"",K473&lt;&gt;"",N473&gt;0),"有证据","缺C473证据"),IF(F473="C473发货确认中",IF(AND(J473&lt;&gt;"",K473&lt;&gt;""),"有证据","缺C473证据"),IF(F473="手动完结",IF(OR(L473&lt;&gt;"",O473&lt;&gt;"",S473&lt;&gt;""),"有记录","缺手工证据"),IF(OR(F473="卖出待补仓",F473="提交结果待确认",F473="异常待处理"),"持续跟踪","检查状态")))))</x:f>
      </x:c>
      <x:c r="T473" s="64" t="str">
        <x:f>IF(A473="","",IF(COUNTIF($A$5:$A$1204,A473)&gt;1,"重复",""))</x:f>
      </x:c>
      <x:c r="U473" s="64" t="str">
        <x:f>IF(A473="","",IF(T473="重复","检查重复",IF(OR(R473="有证据",R473="有记录",R473="持续跟踪"),"可追踪","检查")))</x:f>
      </x:c>
    </x:row>
    <x:row r="474">
      <x:c r="A474" s="62"/>
      <x:c r="B474" s="62"/>
      <x:c r="C474" s="62"/>
      <x:c r="D474" s="66"/>
      <x:c r="E474" s="68"/>
      <x:c r="F474" s="62"/>
      <x:c r="G474" s="62"/>
      <x:c r="H474" s="62"/>
      <x:c r="I474" s="62"/>
      <x:c r="J474" s="62"/>
      <x:c r="K474" s="62"/>
      <x:c r="L474" s="62"/>
      <x:c r="M474" s="68"/>
      <x:c r="N474" s="68"/>
      <x:c r="O474" s="68"/>
      <x:c r="P474" s="71" t="str">
        <x:f>IF(A474="","",IF(N474&gt;0,N474,M474))</x:f>
      </x:c>
      <x:c r="Q474" s="72" t="n">
        <x:f>IF(A474="",0,IF(COUNTIF($A$5:A474,A474)=1,1,0))</x:f>
        <x:v>0</x:v>
      </x:c>
      <x:c r="R474" s="64" t="str">
        <x:f>IF(A474="","",IF(F474="C474成功",IF(AND(J474&lt;&gt;"",K474&lt;&gt;"",N474&gt;0),"有证据","缺C474证据"),IF(F474="C474发货确认中",IF(AND(J474&lt;&gt;"",K474&lt;&gt;""),"有证据","缺C474证据"),IF(F474="手动完结",IF(OR(L474&lt;&gt;"",O474&lt;&gt;"",S474&lt;&gt;""),"有记录","缺手工证据"),IF(OR(F474="卖出待补仓",F474="提交结果待确认",F474="异常待处理"),"持续跟踪","检查状态")))))</x:f>
      </x:c>
      <x:c r="T474" s="64" t="str">
        <x:f>IF(A474="","",IF(COUNTIF($A$5:$A$1204,A474)&gt;1,"重复",""))</x:f>
      </x:c>
      <x:c r="U474" s="64" t="str">
        <x:f>IF(A474="","",IF(T474="重复","检查重复",IF(OR(R474="有证据",R474="有记录",R474="持续跟踪"),"可追踪","检查")))</x:f>
      </x:c>
    </x:row>
    <x:row r="475">
      <x:c r="A475" s="62"/>
      <x:c r="B475" s="62"/>
      <x:c r="C475" s="62"/>
      <x:c r="D475" s="66"/>
      <x:c r="E475" s="68"/>
      <x:c r="F475" s="62"/>
      <x:c r="G475" s="62"/>
      <x:c r="H475" s="62"/>
      <x:c r="I475" s="62"/>
      <x:c r="J475" s="62"/>
      <x:c r="K475" s="62"/>
      <x:c r="L475" s="62"/>
      <x:c r="M475" s="68"/>
      <x:c r="N475" s="68"/>
      <x:c r="O475" s="68"/>
      <x:c r="P475" s="71" t="str">
        <x:f>IF(A475="","",IF(N475&gt;0,N475,M475))</x:f>
      </x:c>
      <x:c r="Q475" s="72" t="n">
        <x:f>IF(A475="",0,IF(COUNTIF($A$5:A475,A475)=1,1,0))</x:f>
        <x:v>0</x:v>
      </x:c>
      <x:c r="R475" s="64" t="str">
        <x:f>IF(A475="","",IF(F475="C475成功",IF(AND(J475&lt;&gt;"",K475&lt;&gt;"",N475&gt;0),"有证据","缺C475证据"),IF(F475="C475发货确认中",IF(AND(J475&lt;&gt;"",K475&lt;&gt;""),"有证据","缺C475证据"),IF(F475="手动完结",IF(OR(L475&lt;&gt;"",O475&lt;&gt;"",S475&lt;&gt;""),"有记录","缺手工证据"),IF(OR(F475="卖出待补仓",F475="提交结果待确认",F475="异常待处理"),"持续跟踪","检查状态")))))</x:f>
      </x:c>
      <x:c r="T475" s="64" t="str">
        <x:f>IF(A475="","",IF(COUNTIF($A$5:$A$1204,A475)&gt;1,"重复",""))</x:f>
      </x:c>
      <x:c r="U475" s="64" t="str">
        <x:f>IF(A475="","",IF(T475="重复","检查重复",IF(OR(R475="有证据",R475="有记录",R475="持续跟踪"),"可追踪","检查")))</x:f>
      </x:c>
    </x:row>
    <x:row r="476">
      <x:c r="A476" s="62"/>
      <x:c r="B476" s="62"/>
      <x:c r="C476" s="62"/>
      <x:c r="D476" s="66"/>
      <x:c r="E476" s="68"/>
      <x:c r="F476" s="62"/>
      <x:c r="G476" s="62"/>
      <x:c r="H476" s="62"/>
      <x:c r="I476" s="62"/>
      <x:c r="J476" s="62"/>
      <x:c r="K476" s="62"/>
      <x:c r="L476" s="62"/>
      <x:c r="M476" s="68"/>
      <x:c r="N476" s="68"/>
      <x:c r="O476" s="68"/>
      <x:c r="P476" s="71" t="str">
        <x:f>IF(A476="","",IF(N476&gt;0,N476,M476))</x:f>
      </x:c>
      <x:c r="Q476" s="72" t="n">
        <x:f>IF(A476="",0,IF(COUNTIF($A$5:A476,A476)=1,1,0))</x:f>
        <x:v>0</x:v>
      </x:c>
      <x:c r="R476" s="64" t="str">
        <x:f>IF(A476="","",IF(F476="C476成功",IF(AND(J476&lt;&gt;"",K476&lt;&gt;"",N476&gt;0),"有证据","缺C476证据"),IF(F476="C476发货确认中",IF(AND(J476&lt;&gt;"",K476&lt;&gt;""),"有证据","缺C476证据"),IF(F476="手动完结",IF(OR(L476&lt;&gt;"",O476&lt;&gt;"",S476&lt;&gt;""),"有记录","缺手工证据"),IF(OR(F476="卖出待补仓",F476="提交结果待确认",F476="异常待处理"),"持续跟踪","检查状态")))))</x:f>
      </x:c>
      <x:c r="T476" s="64" t="str">
        <x:f>IF(A476="","",IF(COUNTIF($A$5:$A$1204,A476)&gt;1,"重复",""))</x:f>
      </x:c>
      <x:c r="U476" s="64" t="str">
        <x:f>IF(A476="","",IF(T476="重复","检查重复",IF(OR(R476="有证据",R476="有记录",R476="持续跟踪"),"可追踪","检查")))</x:f>
      </x:c>
    </x:row>
    <x:row r="477">
      <x:c r="A477" s="62"/>
      <x:c r="B477" s="62"/>
      <x:c r="C477" s="62"/>
      <x:c r="D477" s="66"/>
      <x:c r="E477" s="68"/>
      <x:c r="F477" s="62"/>
      <x:c r="G477" s="62"/>
      <x:c r="H477" s="62"/>
      <x:c r="I477" s="62"/>
      <x:c r="J477" s="62"/>
      <x:c r="K477" s="62"/>
      <x:c r="L477" s="62"/>
      <x:c r="M477" s="68"/>
      <x:c r="N477" s="68"/>
      <x:c r="O477" s="68"/>
      <x:c r="P477" s="71" t="str">
        <x:f>IF(A477="","",IF(N477&gt;0,N477,M477))</x:f>
      </x:c>
      <x:c r="Q477" s="72" t="n">
        <x:f>IF(A477="",0,IF(COUNTIF($A$5:A477,A477)=1,1,0))</x:f>
        <x:v>0</x:v>
      </x:c>
      <x:c r="R477" s="64" t="str">
        <x:f>IF(A477="","",IF(F477="C477成功",IF(AND(J477&lt;&gt;"",K477&lt;&gt;"",N477&gt;0),"有证据","缺C477证据"),IF(F477="C477发货确认中",IF(AND(J477&lt;&gt;"",K477&lt;&gt;""),"有证据","缺C477证据"),IF(F477="手动完结",IF(OR(L477&lt;&gt;"",O477&lt;&gt;"",S477&lt;&gt;""),"有记录","缺手工证据"),IF(OR(F477="卖出待补仓",F477="提交结果待确认",F477="异常待处理"),"持续跟踪","检查状态")))))</x:f>
      </x:c>
      <x:c r="T477" s="64" t="str">
        <x:f>IF(A477="","",IF(COUNTIF($A$5:$A$1204,A477)&gt;1,"重复",""))</x:f>
      </x:c>
      <x:c r="U477" s="64" t="str">
        <x:f>IF(A477="","",IF(T477="重复","检查重复",IF(OR(R477="有证据",R477="有记录",R477="持续跟踪"),"可追踪","检查")))</x:f>
      </x:c>
    </x:row>
    <x:row r="478">
      <x:c r="A478" s="62"/>
      <x:c r="B478" s="62"/>
      <x:c r="C478" s="62"/>
      <x:c r="D478" s="66"/>
      <x:c r="E478" s="68"/>
      <x:c r="F478" s="62"/>
      <x:c r="G478" s="62"/>
      <x:c r="H478" s="62"/>
      <x:c r="I478" s="62"/>
      <x:c r="J478" s="62"/>
      <x:c r="K478" s="62"/>
      <x:c r="L478" s="62"/>
      <x:c r="M478" s="68"/>
      <x:c r="N478" s="68"/>
      <x:c r="O478" s="68"/>
      <x:c r="P478" s="71" t="str">
        <x:f>IF(A478="","",IF(N478&gt;0,N478,M478))</x:f>
      </x:c>
      <x:c r="Q478" s="72" t="n">
        <x:f>IF(A478="",0,IF(COUNTIF($A$5:A478,A478)=1,1,0))</x:f>
        <x:v>0</x:v>
      </x:c>
      <x:c r="R478" s="64" t="str">
        <x:f>IF(A478="","",IF(F478="C478成功",IF(AND(J478&lt;&gt;"",K478&lt;&gt;"",N478&gt;0),"有证据","缺C478证据"),IF(F478="C478发货确认中",IF(AND(J478&lt;&gt;"",K478&lt;&gt;""),"有证据","缺C478证据"),IF(F478="手动完结",IF(OR(L478&lt;&gt;"",O478&lt;&gt;"",S478&lt;&gt;""),"有记录","缺手工证据"),IF(OR(F478="卖出待补仓",F478="提交结果待确认",F478="异常待处理"),"持续跟踪","检查状态")))))</x:f>
      </x:c>
      <x:c r="T478" s="64" t="str">
        <x:f>IF(A478="","",IF(COUNTIF($A$5:$A$1204,A478)&gt;1,"重复",""))</x:f>
      </x:c>
      <x:c r="U478" s="64" t="str">
        <x:f>IF(A478="","",IF(T478="重复","检查重复",IF(OR(R478="有证据",R478="有记录",R478="持续跟踪"),"可追踪","检查")))</x:f>
      </x:c>
    </x:row>
    <x:row r="479">
      <x:c r="A479" s="62"/>
      <x:c r="B479" s="62"/>
      <x:c r="C479" s="62"/>
      <x:c r="D479" s="66"/>
      <x:c r="E479" s="68"/>
      <x:c r="F479" s="62"/>
      <x:c r="G479" s="62"/>
      <x:c r="H479" s="62"/>
      <x:c r="I479" s="62"/>
      <x:c r="J479" s="62"/>
      <x:c r="K479" s="62"/>
      <x:c r="L479" s="62"/>
      <x:c r="M479" s="68"/>
      <x:c r="N479" s="68"/>
      <x:c r="O479" s="68"/>
      <x:c r="P479" s="71" t="str">
        <x:f>IF(A479="","",IF(N479&gt;0,N479,M479))</x:f>
      </x:c>
      <x:c r="Q479" s="72" t="n">
        <x:f>IF(A479="",0,IF(COUNTIF($A$5:A479,A479)=1,1,0))</x:f>
        <x:v>0</x:v>
      </x:c>
      <x:c r="R479" s="64" t="str">
        <x:f>IF(A479="","",IF(F479="C479成功",IF(AND(J479&lt;&gt;"",K479&lt;&gt;"",N479&gt;0),"有证据","缺C479证据"),IF(F479="C479发货确认中",IF(AND(J479&lt;&gt;"",K479&lt;&gt;""),"有证据","缺C479证据"),IF(F479="手动完结",IF(OR(L479&lt;&gt;"",O479&lt;&gt;"",S479&lt;&gt;""),"有记录","缺手工证据"),IF(OR(F479="卖出待补仓",F479="提交结果待确认",F479="异常待处理"),"持续跟踪","检查状态")))))</x:f>
      </x:c>
      <x:c r="T479" s="64" t="str">
        <x:f>IF(A479="","",IF(COUNTIF($A$5:$A$1204,A479)&gt;1,"重复",""))</x:f>
      </x:c>
      <x:c r="U479" s="64" t="str">
        <x:f>IF(A479="","",IF(T479="重复","检查重复",IF(OR(R479="有证据",R479="有记录",R479="持续跟踪"),"可追踪","检查")))</x:f>
      </x:c>
    </x:row>
    <x:row r="480">
      <x:c r="A480" s="62"/>
      <x:c r="B480" s="62"/>
      <x:c r="C480" s="62"/>
      <x:c r="D480" s="66"/>
      <x:c r="E480" s="68"/>
      <x:c r="F480" s="62"/>
      <x:c r="G480" s="62"/>
      <x:c r="H480" s="62"/>
      <x:c r="I480" s="62"/>
      <x:c r="J480" s="62"/>
      <x:c r="K480" s="62"/>
      <x:c r="L480" s="62"/>
      <x:c r="M480" s="68"/>
      <x:c r="N480" s="68"/>
      <x:c r="O480" s="68"/>
      <x:c r="P480" s="71" t="str">
        <x:f>IF(A480="","",IF(N480&gt;0,N480,M480))</x:f>
      </x:c>
      <x:c r="Q480" s="72" t="n">
        <x:f>IF(A480="",0,IF(COUNTIF($A$5:A480,A480)=1,1,0))</x:f>
        <x:v>0</x:v>
      </x:c>
      <x:c r="R480" s="64" t="str">
        <x:f>IF(A480="","",IF(F480="C480成功",IF(AND(J480&lt;&gt;"",K480&lt;&gt;"",N480&gt;0),"有证据","缺C480证据"),IF(F480="C480发货确认中",IF(AND(J480&lt;&gt;"",K480&lt;&gt;""),"有证据","缺C480证据"),IF(F480="手动完结",IF(OR(L480&lt;&gt;"",O480&lt;&gt;"",S480&lt;&gt;""),"有记录","缺手工证据"),IF(OR(F480="卖出待补仓",F480="提交结果待确认",F480="异常待处理"),"持续跟踪","检查状态")))))</x:f>
      </x:c>
      <x:c r="T480" s="64" t="str">
        <x:f>IF(A480="","",IF(COUNTIF($A$5:$A$1204,A480)&gt;1,"重复",""))</x:f>
      </x:c>
      <x:c r="U480" s="64" t="str">
        <x:f>IF(A480="","",IF(T480="重复","检查重复",IF(OR(R480="有证据",R480="有记录",R480="持续跟踪"),"可追踪","检查")))</x:f>
      </x:c>
    </x:row>
    <x:row r="481">
      <x:c r="A481" s="62"/>
      <x:c r="B481" s="62"/>
      <x:c r="C481" s="62"/>
      <x:c r="D481" s="66"/>
      <x:c r="E481" s="68"/>
      <x:c r="F481" s="62"/>
      <x:c r="G481" s="62"/>
      <x:c r="H481" s="62"/>
      <x:c r="I481" s="62"/>
      <x:c r="J481" s="62"/>
      <x:c r="K481" s="62"/>
      <x:c r="L481" s="62"/>
      <x:c r="M481" s="68"/>
      <x:c r="N481" s="68"/>
      <x:c r="O481" s="68"/>
      <x:c r="P481" s="71" t="str">
        <x:f>IF(A481="","",IF(N481&gt;0,N481,M481))</x:f>
      </x:c>
      <x:c r="Q481" s="72" t="n">
        <x:f>IF(A481="",0,IF(COUNTIF($A$5:A481,A481)=1,1,0))</x:f>
        <x:v>0</x:v>
      </x:c>
      <x:c r="R481" s="64" t="str">
        <x:f>IF(A481="","",IF(F481="C481成功",IF(AND(J481&lt;&gt;"",K481&lt;&gt;"",N481&gt;0),"有证据","缺C481证据"),IF(F481="C481发货确认中",IF(AND(J481&lt;&gt;"",K481&lt;&gt;""),"有证据","缺C481证据"),IF(F481="手动完结",IF(OR(L481&lt;&gt;"",O481&lt;&gt;"",S481&lt;&gt;""),"有记录","缺手工证据"),IF(OR(F481="卖出待补仓",F481="提交结果待确认",F481="异常待处理"),"持续跟踪","检查状态")))))</x:f>
      </x:c>
      <x:c r="T481" s="64" t="str">
        <x:f>IF(A481="","",IF(COUNTIF($A$5:$A$1204,A481)&gt;1,"重复",""))</x:f>
      </x:c>
      <x:c r="U481" s="64" t="str">
        <x:f>IF(A481="","",IF(T481="重复","检查重复",IF(OR(R481="有证据",R481="有记录",R481="持续跟踪"),"可追踪","检查")))</x:f>
      </x:c>
    </x:row>
    <x:row r="482">
      <x:c r="A482" s="62"/>
      <x:c r="B482" s="62"/>
      <x:c r="C482" s="62"/>
      <x:c r="D482" s="66"/>
      <x:c r="E482" s="68"/>
      <x:c r="F482" s="62"/>
      <x:c r="G482" s="62"/>
      <x:c r="H482" s="62"/>
      <x:c r="I482" s="62"/>
      <x:c r="J482" s="62"/>
      <x:c r="K482" s="62"/>
      <x:c r="L482" s="62"/>
      <x:c r="M482" s="68"/>
      <x:c r="N482" s="68"/>
      <x:c r="O482" s="68"/>
      <x:c r="P482" s="71" t="str">
        <x:f>IF(A482="","",IF(N482&gt;0,N482,M482))</x:f>
      </x:c>
      <x:c r="Q482" s="72" t="n">
        <x:f>IF(A482="",0,IF(COUNTIF($A$5:A482,A482)=1,1,0))</x:f>
        <x:v>0</x:v>
      </x:c>
      <x:c r="R482" s="64" t="str">
        <x:f>IF(A482="","",IF(F482="C482成功",IF(AND(J482&lt;&gt;"",K482&lt;&gt;"",N482&gt;0),"有证据","缺C482证据"),IF(F482="C482发货确认中",IF(AND(J482&lt;&gt;"",K482&lt;&gt;""),"有证据","缺C482证据"),IF(F482="手动完结",IF(OR(L482&lt;&gt;"",O482&lt;&gt;"",S482&lt;&gt;""),"有记录","缺手工证据"),IF(OR(F482="卖出待补仓",F482="提交结果待确认",F482="异常待处理"),"持续跟踪","检查状态")))))</x:f>
      </x:c>
      <x:c r="T482" s="64" t="str">
        <x:f>IF(A482="","",IF(COUNTIF($A$5:$A$1204,A482)&gt;1,"重复",""))</x:f>
      </x:c>
      <x:c r="U482" s="64" t="str">
        <x:f>IF(A482="","",IF(T482="重复","检查重复",IF(OR(R482="有证据",R482="有记录",R482="持续跟踪"),"可追踪","检查")))</x:f>
      </x:c>
    </x:row>
    <x:row r="483">
      <x:c r="A483" s="62"/>
      <x:c r="B483" s="62"/>
      <x:c r="C483" s="62"/>
      <x:c r="D483" s="66"/>
      <x:c r="E483" s="68"/>
      <x:c r="F483" s="62"/>
      <x:c r="G483" s="62"/>
      <x:c r="H483" s="62"/>
      <x:c r="I483" s="62"/>
      <x:c r="J483" s="62"/>
      <x:c r="K483" s="62"/>
      <x:c r="L483" s="62"/>
      <x:c r="M483" s="68"/>
      <x:c r="N483" s="68"/>
      <x:c r="O483" s="68"/>
      <x:c r="P483" s="71" t="str">
        <x:f>IF(A483="","",IF(N483&gt;0,N483,M483))</x:f>
      </x:c>
      <x:c r="Q483" s="72" t="n">
        <x:f>IF(A483="",0,IF(COUNTIF($A$5:A483,A483)=1,1,0))</x:f>
        <x:v>0</x:v>
      </x:c>
      <x:c r="R483" s="64" t="str">
        <x:f>IF(A483="","",IF(F483="C483成功",IF(AND(J483&lt;&gt;"",K483&lt;&gt;"",N483&gt;0),"有证据","缺C483证据"),IF(F483="C483发货确认中",IF(AND(J483&lt;&gt;"",K483&lt;&gt;""),"有证据","缺C483证据"),IF(F483="手动完结",IF(OR(L483&lt;&gt;"",O483&lt;&gt;"",S483&lt;&gt;""),"有记录","缺手工证据"),IF(OR(F483="卖出待补仓",F483="提交结果待确认",F483="异常待处理"),"持续跟踪","检查状态")))))</x:f>
      </x:c>
      <x:c r="T483" s="64" t="str">
        <x:f>IF(A483="","",IF(COUNTIF($A$5:$A$1204,A483)&gt;1,"重复",""))</x:f>
      </x:c>
      <x:c r="U483" s="64" t="str">
        <x:f>IF(A483="","",IF(T483="重复","检查重复",IF(OR(R483="有证据",R483="有记录",R483="持续跟踪"),"可追踪","检查")))</x:f>
      </x:c>
    </x:row>
    <x:row r="484">
      <x:c r="A484" s="62"/>
      <x:c r="B484" s="62"/>
      <x:c r="C484" s="62"/>
      <x:c r="D484" s="66"/>
      <x:c r="E484" s="68"/>
      <x:c r="F484" s="62"/>
      <x:c r="G484" s="62"/>
      <x:c r="H484" s="62"/>
      <x:c r="I484" s="62"/>
      <x:c r="J484" s="62"/>
      <x:c r="K484" s="62"/>
      <x:c r="L484" s="62"/>
      <x:c r="M484" s="68"/>
      <x:c r="N484" s="68"/>
      <x:c r="O484" s="68"/>
      <x:c r="P484" s="71" t="str">
        <x:f>IF(A484="","",IF(N484&gt;0,N484,M484))</x:f>
      </x:c>
      <x:c r="Q484" s="72" t="n">
        <x:f>IF(A484="",0,IF(COUNTIF($A$5:A484,A484)=1,1,0))</x:f>
        <x:v>0</x:v>
      </x:c>
      <x:c r="R484" s="64" t="str">
        <x:f>IF(A484="","",IF(F484="C484成功",IF(AND(J484&lt;&gt;"",K484&lt;&gt;"",N484&gt;0),"有证据","缺C484证据"),IF(F484="C484发货确认中",IF(AND(J484&lt;&gt;"",K484&lt;&gt;""),"有证据","缺C484证据"),IF(F484="手动完结",IF(OR(L484&lt;&gt;"",O484&lt;&gt;"",S484&lt;&gt;""),"有记录","缺手工证据"),IF(OR(F484="卖出待补仓",F484="提交结果待确认",F484="异常待处理"),"持续跟踪","检查状态")))))</x:f>
      </x:c>
      <x:c r="T484" s="64" t="str">
        <x:f>IF(A484="","",IF(COUNTIF($A$5:$A$1204,A484)&gt;1,"重复",""))</x:f>
      </x:c>
      <x:c r="U484" s="64" t="str">
        <x:f>IF(A484="","",IF(T484="重复","检查重复",IF(OR(R484="有证据",R484="有记录",R484="持续跟踪"),"可追踪","检查")))</x:f>
      </x:c>
    </x:row>
    <x:row r="485">
      <x:c r="A485" s="62"/>
      <x:c r="B485" s="62"/>
      <x:c r="C485" s="62"/>
      <x:c r="D485" s="66"/>
      <x:c r="E485" s="68"/>
      <x:c r="F485" s="62"/>
      <x:c r="G485" s="62"/>
      <x:c r="H485" s="62"/>
      <x:c r="I485" s="62"/>
      <x:c r="J485" s="62"/>
      <x:c r="K485" s="62"/>
      <x:c r="L485" s="62"/>
      <x:c r="M485" s="68"/>
      <x:c r="N485" s="68"/>
      <x:c r="O485" s="68"/>
      <x:c r="P485" s="71" t="str">
        <x:f>IF(A485="","",IF(N485&gt;0,N485,M485))</x:f>
      </x:c>
      <x:c r="Q485" s="72" t="n">
        <x:f>IF(A485="",0,IF(COUNTIF($A$5:A485,A485)=1,1,0))</x:f>
        <x:v>0</x:v>
      </x:c>
      <x:c r="R485" s="64" t="str">
        <x:f>IF(A485="","",IF(F485="C485成功",IF(AND(J485&lt;&gt;"",K485&lt;&gt;"",N485&gt;0),"有证据","缺C485证据"),IF(F485="C485发货确认中",IF(AND(J485&lt;&gt;"",K485&lt;&gt;""),"有证据","缺C485证据"),IF(F485="手动完结",IF(OR(L485&lt;&gt;"",O485&lt;&gt;"",S485&lt;&gt;""),"有记录","缺手工证据"),IF(OR(F485="卖出待补仓",F485="提交结果待确认",F485="异常待处理"),"持续跟踪","检查状态")))))</x:f>
      </x:c>
      <x:c r="T485" s="64" t="str">
        <x:f>IF(A485="","",IF(COUNTIF($A$5:$A$1204,A485)&gt;1,"重复",""))</x:f>
      </x:c>
      <x:c r="U485" s="64" t="str">
        <x:f>IF(A485="","",IF(T485="重复","检查重复",IF(OR(R485="有证据",R485="有记录",R485="持续跟踪"),"可追踪","检查")))</x:f>
      </x:c>
    </x:row>
    <x:row r="486">
      <x:c r="A486" s="62"/>
      <x:c r="B486" s="62"/>
      <x:c r="C486" s="62"/>
      <x:c r="D486" s="66"/>
      <x:c r="E486" s="68"/>
      <x:c r="F486" s="62"/>
      <x:c r="G486" s="62"/>
      <x:c r="H486" s="62"/>
      <x:c r="I486" s="62"/>
      <x:c r="J486" s="62"/>
      <x:c r="K486" s="62"/>
      <x:c r="L486" s="62"/>
      <x:c r="M486" s="68"/>
      <x:c r="N486" s="68"/>
      <x:c r="O486" s="68"/>
      <x:c r="P486" s="71" t="str">
        <x:f>IF(A486="","",IF(N486&gt;0,N486,M486))</x:f>
      </x:c>
      <x:c r="Q486" s="72" t="n">
        <x:f>IF(A486="",0,IF(COUNTIF($A$5:A486,A486)=1,1,0))</x:f>
        <x:v>0</x:v>
      </x:c>
      <x:c r="R486" s="64" t="str">
        <x:f>IF(A486="","",IF(F486="C486成功",IF(AND(J486&lt;&gt;"",K486&lt;&gt;"",N486&gt;0),"有证据","缺C486证据"),IF(F486="C486发货确认中",IF(AND(J486&lt;&gt;"",K486&lt;&gt;""),"有证据","缺C486证据"),IF(F486="手动完结",IF(OR(L486&lt;&gt;"",O486&lt;&gt;"",S486&lt;&gt;""),"有记录","缺手工证据"),IF(OR(F486="卖出待补仓",F486="提交结果待确认",F486="异常待处理"),"持续跟踪","检查状态")))))</x:f>
      </x:c>
      <x:c r="T486" s="64" t="str">
        <x:f>IF(A486="","",IF(COUNTIF($A$5:$A$1204,A486)&gt;1,"重复",""))</x:f>
      </x:c>
      <x:c r="U486" s="64" t="str">
        <x:f>IF(A486="","",IF(T486="重复","检查重复",IF(OR(R486="有证据",R486="有记录",R486="持续跟踪"),"可追踪","检查")))</x:f>
      </x:c>
    </x:row>
    <x:row r="487">
      <x:c r="A487" s="62"/>
      <x:c r="B487" s="62"/>
      <x:c r="C487" s="62"/>
      <x:c r="D487" s="66"/>
      <x:c r="E487" s="68"/>
      <x:c r="F487" s="62"/>
      <x:c r="G487" s="62"/>
      <x:c r="H487" s="62"/>
      <x:c r="I487" s="62"/>
      <x:c r="J487" s="62"/>
      <x:c r="K487" s="62"/>
      <x:c r="L487" s="62"/>
      <x:c r="M487" s="68"/>
      <x:c r="N487" s="68"/>
      <x:c r="O487" s="68"/>
      <x:c r="P487" s="71" t="str">
        <x:f>IF(A487="","",IF(N487&gt;0,N487,M487))</x:f>
      </x:c>
      <x:c r="Q487" s="72" t="n">
        <x:f>IF(A487="",0,IF(COUNTIF($A$5:A487,A487)=1,1,0))</x:f>
        <x:v>0</x:v>
      </x:c>
      <x:c r="R487" s="64" t="str">
        <x:f>IF(A487="","",IF(F487="C487成功",IF(AND(J487&lt;&gt;"",K487&lt;&gt;"",N487&gt;0),"有证据","缺C487证据"),IF(F487="C487发货确认中",IF(AND(J487&lt;&gt;"",K487&lt;&gt;""),"有证据","缺C487证据"),IF(F487="手动完结",IF(OR(L487&lt;&gt;"",O487&lt;&gt;"",S487&lt;&gt;""),"有记录","缺手工证据"),IF(OR(F487="卖出待补仓",F487="提交结果待确认",F487="异常待处理"),"持续跟踪","检查状态")))))</x:f>
      </x:c>
      <x:c r="T487" s="64" t="str">
        <x:f>IF(A487="","",IF(COUNTIF($A$5:$A$1204,A487)&gt;1,"重复",""))</x:f>
      </x:c>
      <x:c r="U487" s="64" t="str">
        <x:f>IF(A487="","",IF(T487="重复","检查重复",IF(OR(R487="有证据",R487="有记录",R487="持续跟踪"),"可追踪","检查")))</x:f>
      </x:c>
    </x:row>
    <x:row r="488">
      <x:c r="A488" s="62"/>
      <x:c r="B488" s="62"/>
      <x:c r="C488" s="62"/>
      <x:c r="D488" s="66"/>
      <x:c r="E488" s="68"/>
      <x:c r="F488" s="62"/>
      <x:c r="G488" s="62"/>
      <x:c r="H488" s="62"/>
      <x:c r="I488" s="62"/>
      <x:c r="J488" s="62"/>
      <x:c r="K488" s="62"/>
      <x:c r="L488" s="62"/>
      <x:c r="M488" s="68"/>
      <x:c r="N488" s="68"/>
      <x:c r="O488" s="68"/>
      <x:c r="P488" s="71" t="str">
        <x:f>IF(A488="","",IF(N488&gt;0,N488,M488))</x:f>
      </x:c>
      <x:c r="Q488" s="72" t="n">
        <x:f>IF(A488="",0,IF(COUNTIF($A$5:A488,A488)=1,1,0))</x:f>
        <x:v>0</x:v>
      </x:c>
      <x:c r="R488" s="64" t="str">
        <x:f>IF(A488="","",IF(F488="C488成功",IF(AND(J488&lt;&gt;"",K488&lt;&gt;"",N488&gt;0),"有证据","缺C488证据"),IF(F488="C488发货确认中",IF(AND(J488&lt;&gt;"",K488&lt;&gt;""),"有证据","缺C488证据"),IF(F488="手动完结",IF(OR(L488&lt;&gt;"",O488&lt;&gt;"",S488&lt;&gt;""),"有记录","缺手工证据"),IF(OR(F488="卖出待补仓",F488="提交结果待确认",F488="异常待处理"),"持续跟踪","检查状态")))))</x:f>
      </x:c>
      <x:c r="T488" s="64" t="str">
        <x:f>IF(A488="","",IF(COUNTIF($A$5:$A$1204,A488)&gt;1,"重复",""))</x:f>
      </x:c>
      <x:c r="U488" s="64" t="str">
        <x:f>IF(A488="","",IF(T488="重复","检查重复",IF(OR(R488="有证据",R488="有记录",R488="持续跟踪"),"可追踪","检查")))</x:f>
      </x:c>
    </x:row>
    <x:row r="489">
      <x:c r="A489" s="62"/>
      <x:c r="B489" s="62"/>
      <x:c r="C489" s="62"/>
      <x:c r="D489" s="66"/>
      <x:c r="E489" s="68"/>
      <x:c r="F489" s="62"/>
      <x:c r="G489" s="62"/>
      <x:c r="H489" s="62"/>
      <x:c r="I489" s="62"/>
      <x:c r="J489" s="62"/>
      <x:c r="K489" s="62"/>
      <x:c r="L489" s="62"/>
      <x:c r="M489" s="68"/>
      <x:c r="N489" s="68"/>
      <x:c r="O489" s="68"/>
      <x:c r="P489" s="71" t="str">
        <x:f>IF(A489="","",IF(N489&gt;0,N489,M489))</x:f>
      </x:c>
      <x:c r="Q489" s="72" t="n">
        <x:f>IF(A489="",0,IF(COUNTIF($A$5:A489,A489)=1,1,0))</x:f>
        <x:v>0</x:v>
      </x:c>
      <x:c r="R489" s="64" t="str">
        <x:f>IF(A489="","",IF(F489="C489成功",IF(AND(J489&lt;&gt;"",K489&lt;&gt;"",N489&gt;0),"有证据","缺C489证据"),IF(F489="C489发货确认中",IF(AND(J489&lt;&gt;"",K489&lt;&gt;""),"有证据","缺C489证据"),IF(F489="手动完结",IF(OR(L489&lt;&gt;"",O489&lt;&gt;"",S489&lt;&gt;""),"有记录","缺手工证据"),IF(OR(F489="卖出待补仓",F489="提交结果待确认",F489="异常待处理"),"持续跟踪","检查状态")))))</x:f>
      </x:c>
      <x:c r="T489" s="64" t="str">
        <x:f>IF(A489="","",IF(COUNTIF($A$5:$A$1204,A489)&gt;1,"重复",""))</x:f>
      </x:c>
      <x:c r="U489" s="64" t="str">
        <x:f>IF(A489="","",IF(T489="重复","检查重复",IF(OR(R489="有证据",R489="有记录",R489="持续跟踪"),"可追踪","检查")))</x:f>
      </x:c>
    </x:row>
    <x:row r="490">
      <x:c r="A490" s="62"/>
      <x:c r="B490" s="62"/>
      <x:c r="C490" s="62"/>
      <x:c r="D490" s="66"/>
      <x:c r="E490" s="68"/>
      <x:c r="F490" s="62"/>
      <x:c r="G490" s="62"/>
      <x:c r="H490" s="62"/>
      <x:c r="I490" s="62"/>
      <x:c r="J490" s="62"/>
      <x:c r="K490" s="62"/>
      <x:c r="L490" s="62"/>
      <x:c r="M490" s="68"/>
      <x:c r="N490" s="68"/>
      <x:c r="O490" s="68"/>
      <x:c r="P490" s="71" t="str">
        <x:f>IF(A490="","",IF(N490&gt;0,N490,M490))</x:f>
      </x:c>
      <x:c r="Q490" s="72" t="n">
        <x:f>IF(A490="",0,IF(COUNTIF($A$5:A490,A490)=1,1,0))</x:f>
        <x:v>0</x:v>
      </x:c>
      <x:c r="R490" s="64" t="str">
        <x:f>IF(A490="","",IF(F490="C490成功",IF(AND(J490&lt;&gt;"",K490&lt;&gt;"",N490&gt;0),"有证据","缺C490证据"),IF(F490="C490发货确认中",IF(AND(J490&lt;&gt;"",K490&lt;&gt;""),"有证据","缺C490证据"),IF(F490="手动完结",IF(OR(L490&lt;&gt;"",O490&lt;&gt;"",S490&lt;&gt;""),"有记录","缺手工证据"),IF(OR(F490="卖出待补仓",F490="提交结果待确认",F490="异常待处理"),"持续跟踪","检查状态")))))</x:f>
      </x:c>
      <x:c r="T490" s="64" t="str">
        <x:f>IF(A490="","",IF(COUNTIF($A$5:$A$1204,A490)&gt;1,"重复",""))</x:f>
      </x:c>
      <x:c r="U490" s="64" t="str">
        <x:f>IF(A490="","",IF(T490="重复","检查重复",IF(OR(R490="有证据",R490="有记录",R490="持续跟踪"),"可追踪","检查")))</x:f>
      </x:c>
    </x:row>
    <x:row r="491">
      <x:c r="A491" s="62"/>
      <x:c r="B491" s="62"/>
      <x:c r="C491" s="62"/>
      <x:c r="D491" s="66"/>
      <x:c r="E491" s="68"/>
      <x:c r="F491" s="62"/>
      <x:c r="G491" s="62"/>
      <x:c r="H491" s="62"/>
      <x:c r="I491" s="62"/>
      <x:c r="J491" s="62"/>
      <x:c r="K491" s="62"/>
      <x:c r="L491" s="62"/>
      <x:c r="M491" s="68"/>
      <x:c r="N491" s="68"/>
      <x:c r="O491" s="68"/>
      <x:c r="P491" s="71" t="str">
        <x:f>IF(A491="","",IF(N491&gt;0,N491,M491))</x:f>
      </x:c>
      <x:c r="Q491" s="72" t="n">
        <x:f>IF(A491="",0,IF(COUNTIF($A$5:A491,A491)=1,1,0))</x:f>
        <x:v>0</x:v>
      </x:c>
      <x:c r="R491" s="64" t="str">
        <x:f>IF(A491="","",IF(F491="C491成功",IF(AND(J491&lt;&gt;"",K491&lt;&gt;"",N491&gt;0),"有证据","缺C491证据"),IF(F491="C491发货确认中",IF(AND(J491&lt;&gt;"",K491&lt;&gt;""),"有证据","缺C491证据"),IF(F491="手动完结",IF(OR(L491&lt;&gt;"",O491&lt;&gt;"",S491&lt;&gt;""),"有记录","缺手工证据"),IF(OR(F491="卖出待补仓",F491="提交结果待确认",F491="异常待处理"),"持续跟踪","检查状态")))))</x:f>
      </x:c>
      <x:c r="T491" s="64" t="str">
        <x:f>IF(A491="","",IF(COUNTIF($A$5:$A$1204,A491)&gt;1,"重复",""))</x:f>
      </x:c>
      <x:c r="U491" s="64" t="str">
        <x:f>IF(A491="","",IF(T491="重复","检查重复",IF(OR(R491="有证据",R491="有记录",R491="持续跟踪"),"可追踪","检查")))</x:f>
      </x:c>
    </x:row>
    <x:row r="492">
      <x:c r="A492" s="62"/>
      <x:c r="B492" s="62"/>
      <x:c r="C492" s="62"/>
      <x:c r="D492" s="66"/>
      <x:c r="E492" s="68"/>
      <x:c r="F492" s="62"/>
      <x:c r="G492" s="62"/>
      <x:c r="H492" s="62"/>
      <x:c r="I492" s="62"/>
      <x:c r="J492" s="62"/>
      <x:c r="K492" s="62"/>
      <x:c r="L492" s="62"/>
      <x:c r="M492" s="68"/>
      <x:c r="N492" s="68"/>
      <x:c r="O492" s="68"/>
      <x:c r="P492" s="71" t="str">
        <x:f>IF(A492="","",IF(N492&gt;0,N492,M492))</x:f>
      </x:c>
      <x:c r="Q492" s="72" t="n">
        <x:f>IF(A492="",0,IF(COUNTIF($A$5:A492,A492)=1,1,0))</x:f>
        <x:v>0</x:v>
      </x:c>
      <x:c r="R492" s="64" t="str">
        <x:f>IF(A492="","",IF(F492="C492成功",IF(AND(J492&lt;&gt;"",K492&lt;&gt;"",N492&gt;0),"有证据","缺C492证据"),IF(F492="C492发货确认中",IF(AND(J492&lt;&gt;"",K492&lt;&gt;""),"有证据","缺C492证据"),IF(F492="手动完结",IF(OR(L492&lt;&gt;"",O492&lt;&gt;"",S492&lt;&gt;""),"有记录","缺手工证据"),IF(OR(F492="卖出待补仓",F492="提交结果待确认",F492="异常待处理"),"持续跟踪","检查状态")))))</x:f>
      </x:c>
      <x:c r="T492" s="64" t="str">
        <x:f>IF(A492="","",IF(COUNTIF($A$5:$A$1204,A492)&gt;1,"重复",""))</x:f>
      </x:c>
      <x:c r="U492" s="64" t="str">
        <x:f>IF(A492="","",IF(T492="重复","检查重复",IF(OR(R492="有证据",R492="有记录",R492="持续跟踪"),"可追踪","检查")))</x:f>
      </x:c>
    </x:row>
    <x:row r="493">
      <x:c r="A493" s="62"/>
      <x:c r="B493" s="62"/>
      <x:c r="C493" s="62"/>
      <x:c r="D493" s="66"/>
      <x:c r="E493" s="68"/>
      <x:c r="F493" s="62"/>
      <x:c r="G493" s="62"/>
      <x:c r="H493" s="62"/>
      <x:c r="I493" s="62"/>
      <x:c r="J493" s="62"/>
      <x:c r="K493" s="62"/>
      <x:c r="L493" s="62"/>
      <x:c r="M493" s="68"/>
      <x:c r="N493" s="68"/>
      <x:c r="O493" s="68"/>
      <x:c r="P493" s="71" t="str">
        <x:f>IF(A493="","",IF(N493&gt;0,N493,M493))</x:f>
      </x:c>
      <x:c r="Q493" s="72" t="n">
        <x:f>IF(A493="",0,IF(COUNTIF($A$5:A493,A493)=1,1,0))</x:f>
        <x:v>0</x:v>
      </x:c>
      <x:c r="R493" s="64" t="str">
        <x:f>IF(A493="","",IF(F493="C493成功",IF(AND(J493&lt;&gt;"",K493&lt;&gt;"",N493&gt;0),"有证据","缺C493证据"),IF(F493="C493发货确认中",IF(AND(J493&lt;&gt;"",K493&lt;&gt;""),"有证据","缺C493证据"),IF(F493="手动完结",IF(OR(L493&lt;&gt;"",O493&lt;&gt;"",S493&lt;&gt;""),"有记录","缺手工证据"),IF(OR(F493="卖出待补仓",F493="提交结果待确认",F493="异常待处理"),"持续跟踪","检查状态")))))</x:f>
      </x:c>
      <x:c r="T493" s="64" t="str">
        <x:f>IF(A493="","",IF(COUNTIF($A$5:$A$1204,A493)&gt;1,"重复",""))</x:f>
      </x:c>
      <x:c r="U493" s="64" t="str">
        <x:f>IF(A493="","",IF(T493="重复","检查重复",IF(OR(R493="有证据",R493="有记录",R493="持续跟踪"),"可追踪","检查")))</x:f>
      </x:c>
    </x:row>
    <x:row r="494">
      <x:c r="A494" s="62"/>
      <x:c r="B494" s="62"/>
      <x:c r="C494" s="62"/>
      <x:c r="D494" s="66"/>
      <x:c r="E494" s="68"/>
      <x:c r="F494" s="62"/>
      <x:c r="G494" s="62"/>
      <x:c r="H494" s="62"/>
      <x:c r="I494" s="62"/>
      <x:c r="J494" s="62"/>
      <x:c r="K494" s="62"/>
      <x:c r="L494" s="62"/>
      <x:c r="M494" s="68"/>
      <x:c r="N494" s="68"/>
      <x:c r="O494" s="68"/>
      <x:c r="P494" s="71" t="str">
        <x:f>IF(A494="","",IF(N494&gt;0,N494,M494))</x:f>
      </x:c>
      <x:c r="Q494" s="72" t="n">
        <x:f>IF(A494="",0,IF(COUNTIF($A$5:A494,A494)=1,1,0))</x:f>
        <x:v>0</x:v>
      </x:c>
      <x:c r="R494" s="64" t="str">
        <x:f>IF(A494="","",IF(F494="C494成功",IF(AND(J494&lt;&gt;"",K494&lt;&gt;"",N494&gt;0),"有证据","缺C494证据"),IF(F494="C494发货确认中",IF(AND(J494&lt;&gt;"",K494&lt;&gt;""),"有证据","缺C494证据"),IF(F494="手动完结",IF(OR(L494&lt;&gt;"",O494&lt;&gt;"",S494&lt;&gt;""),"有记录","缺手工证据"),IF(OR(F494="卖出待补仓",F494="提交结果待确认",F494="异常待处理"),"持续跟踪","检查状态")))))</x:f>
      </x:c>
      <x:c r="T494" s="64" t="str">
        <x:f>IF(A494="","",IF(COUNTIF($A$5:$A$1204,A494)&gt;1,"重复",""))</x:f>
      </x:c>
      <x:c r="U494" s="64" t="str">
        <x:f>IF(A494="","",IF(T494="重复","检查重复",IF(OR(R494="有证据",R494="有记录",R494="持续跟踪"),"可追踪","检查")))</x:f>
      </x:c>
    </x:row>
    <x:row r="495">
      <x:c r="A495" s="62"/>
      <x:c r="B495" s="62"/>
      <x:c r="C495" s="62"/>
      <x:c r="D495" s="66"/>
      <x:c r="E495" s="68"/>
      <x:c r="F495" s="62"/>
      <x:c r="G495" s="62"/>
      <x:c r="H495" s="62"/>
      <x:c r="I495" s="62"/>
      <x:c r="J495" s="62"/>
      <x:c r="K495" s="62"/>
      <x:c r="L495" s="62"/>
      <x:c r="M495" s="68"/>
      <x:c r="N495" s="68"/>
      <x:c r="O495" s="68"/>
      <x:c r="P495" s="71" t="str">
        <x:f>IF(A495="","",IF(N495&gt;0,N495,M495))</x:f>
      </x:c>
      <x:c r="Q495" s="72" t="n">
        <x:f>IF(A495="",0,IF(COUNTIF($A$5:A495,A495)=1,1,0))</x:f>
        <x:v>0</x:v>
      </x:c>
      <x:c r="R495" s="64" t="str">
        <x:f>IF(A495="","",IF(F495="C495成功",IF(AND(J495&lt;&gt;"",K495&lt;&gt;"",N495&gt;0),"有证据","缺C495证据"),IF(F495="C495发货确认中",IF(AND(J495&lt;&gt;"",K495&lt;&gt;""),"有证据","缺C495证据"),IF(F495="手动完结",IF(OR(L495&lt;&gt;"",O495&lt;&gt;"",S495&lt;&gt;""),"有记录","缺手工证据"),IF(OR(F495="卖出待补仓",F495="提交结果待确认",F495="异常待处理"),"持续跟踪","检查状态")))))</x:f>
      </x:c>
      <x:c r="T495" s="64" t="str">
        <x:f>IF(A495="","",IF(COUNTIF($A$5:$A$1204,A495)&gt;1,"重复",""))</x:f>
      </x:c>
      <x:c r="U495" s="64" t="str">
        <x:f>IF(A495="","",IF(T495="重复","检查重复",IF(OR(R495="有证据",R495="有记录",R495="持续跟踪"),"可追踪","检查")))</x:f>
      </x:c>
    </x:row>
    <x:row r="496">
      <x:c r="A496" s="62"/>
      <x:c r="B496" s="62"/>
      <x:c r="C496" s="62"/>
      <x:c r="D496" s="66"/>
      <x:c r="E496" s="68"/>
      <x:c r="F496" s="62"/>
      <x:c r="G496" s="62"/>
      <x:c r="H496" s="62"/>
      <x:c r="I496" s="62"/>
      <x:c r="J496" s="62"/>
      <x:c r="K496" s="62"/>
      <x:c r="L496" s="62"/>
      <x:c r="M496" s="68"/>
      <x:c r="N496" s="68"/>
      <x:c r="O496" s="68"/>
      <x:c r="P496" s="71" t="str">
        <x:f>IF(A496="","",IF(N496&gt;0,N496,M496))</x:f>
      </x:c>
      <x:c r="Q496" s="72" t="n">
        <x:f>IF(A496="",0,IF(COUNTIF($A$5:A496,A496)=1,1,0))</x:f>
        <x:v>0</x:v>
      </x:c>
      <x:c r="R496" s="64" t="str">
        <x:f>IF(A496="","",IF(F496="C496成功",IF(AND(J496&lt;&gt;"",K496&lt;&gt;"",N496&gt;0),"有证据","缺C496证据"),IF(F496="C496发货确认中",IF(AND(J496&lt;&gt;"",K496&lt;&gt;""),"有证据","缺C496证据"),IF(F496="手动完结",IF(OR(L496&lt;&gt;"",O496&lt;&gt;"",S496&lt;&gt;""),"有记录","缺手工证据"),IF(OR(F496="卖出待补仓",F496="提交结果待确认",F496="异常待处理"),"持续跟踪","检查状态")))))</x:f>
      </x:c>
      <x:c r="T496" s="64" t="str">
        <x:f>IF(A496="","",IF(COUNTIF($A$5:$A$1204,A496)&gt;1,"重复",""))</x:f>
      </x:c>
      <x:c r="U496" s="64" t="str">
        <x:f>IF(A496="","",IF(T496="重复","检查重复",IF(OR(R496="有证据",R496="有记录",R496="持续跟踪"),"可追踪","检查")))</x:f>
      </x:c>
    </x:row>
    <x:row r="497">
      <x:c r="A497" s="62"/>
      <x:c r="B497" s="62"/>
      <x:c r="C497" s="62"/>
      <x:c r="D497" s="66"/>
      <x:c r="E497" s="68"/>
      <x:c r="F497" s="62"/>
      <x:c r="G497" s="62"/>
      <x:c r="H497" s="62"/>
      <x:c r="I497" s="62"/>
      <x:c r="J497" s="62"/>
      <x:c r="K497" s="62"/>
      <x:c r="L497" s="62"/>
      <x:c r="M497" s="68"/>
      <x:c r="N497" s="68"/>
      <x:c r="O497" s="68"/>
      <x:c r="P497" s="71" t="str">
        <x:f>IF(A497="","",IF(N497&gt;0,N497,M497))</x:f>
      </x:c>
      <x:c r="Q497" s="72" t="n">
        <x:f>IF(A497="",0,IF(COUNTIF($A$5:A497,A497)=1,1,0))</x:f>
        <x:v>0</x:v>
      </x:c>
      <x:c r="R497" s="64" t="str">
        <x:f>IF(A497="","",IF(F497="C497成功",IF(AND(J497&lt;&gt;"",K497&lt;&gt;"",N497&gt;0),"有证据","缺C497证据"),IF(F497="C497发货确认中",IF(AND(J497&lt;&gt;"",K497&lt;&gt;""),"有证据","缺C497证据"),IF(F497="手动完结",IF(OR(L497&lt;&gt;"",O497&lt;&gt;"",S497&lt;&gt;""),"有记录","缺手工证据"),IF(OR(F497="卖出待补仓",F497="提交结果待确认",F497="异常待处理"),"持续跟踪","检查状态")))))</x:f>
      </x:c>
      <x:c r="T497" s="64" t="str">
        <x:f>IF(A497="","",IF(COUNTIF($A$5:$A$1204,A497)&gt;1,"重复",""))</x:f>
      </x:c>
      <x:c r="U497" s="64" t="str">
        <x:f>IF(A497="","",IF(T497="重复","检查重复",IF(OR(R497="有证据",R497="有记录",R497="持续跟踪"),"可追踪","检查")))</x:f>
      </x:c>
    </x:row>
    <x:row r="498">
      <x:c r="A498" s="62"/>
      <x:c r="B498" s="62"/>
      <x:c r="C498" s="62"/>
      <x:c r="D498" s="66"/>
      <x:c r="E498" s="68"/>
      <x:c r="F498" s="62"/>
      <x:c r="G498" s="62"/>
      <x:c r="H498" s="62"/>
      <x:c r="I498" s="62"/>
      <x:c r="J498" s="62"/>
      <x:c r="K498" s="62"/>
      <x:c r="L498" s="62"/>
      <x:c r="M498" s="68"/>
      <x:c r="N498" s="68"/>
      <x:c r="O498" s="68"/>
      <x:c r="P498" s="71" t="str">
        <x:f>IF(A498="","",IF(N498&gt;0,N498,M498))</x:f>
      </x:c>
      <x:c r="Q498" s="72" t="n">
        <x:f>IF(A498="",0,IF(COUNTIF($A$5:A498,A498)=1,1,0))</x:f>
        <x:v>0</x:v>
      </x:c>
      <x:c r="R498" s="64" t="str">
        <x:f>IF(A498="","",IF(F498="C498成功",IF(AND(J498&lt;&gt;"",K498&lt;&gt;"",N498&gt;0),"有证据","缺C498证据"),IF(F498="C498发货确认中",IF(AND(J498&lt;&gt;"",K498&lt;&gt;""),"有证据","缺C498证据"),IF(F498="手动完结",IF(OR(L498&lt;&gt;"",O498&lt;&gt;"",S498&lt;&gt;""),"有记录","缺手工证据"),IF(OR(F498="卖出待补仓",F498="提交结果待确认",F498="异常待处理"),"持续跟踪","检查状态")))))</x:f>
      </x:c>
      <x:c r="T498" s="64" t="str">
        <x:f>IF(A498="","",IF(COUNTIF($A$5:$A$1204,A498)&gt;1,"重复",""))</x:f>
      </x:c>
      <x:c r="U498" s="64" t="str">
        <x:f>IF(A498="","",IF(T498="重复","检查重复",IF(OR(R498="有证据",R498="有记录",R498="持续跟踪"),"可追踪","检查")))</x:f>
      </x:c>
    </x:row>
    <x:row r="499">
      <x:c r="A499" s="62"/>
      <x:c r="B499" s="62"/>
      <x:c r="C499" s="62"/>
      <x:c r="D499" s="66"/>
      <x:c r="E499" s="68"/>
      <x:c r="F499" s="62"/>
      <x:c r="G499" s="62"/>
      <x:c r="H499" s="62"/>
      <x:c r="I499" s="62"/>
      <x:c r="J499" s="62"/>
      <x:c r="K499" s="62"/>
      <x:c r="L499" s="62"/>
      <x:c r="M499" s="68"/>
      <x:c r="N499" s="68"/>
      <x:c r="O499" s="68"/>
      <x:c r="P499" s="71" t="str">
        <x:f>IF(A499="","",IF(N499&gt;0,N499,M499))</x:f>
      </x:c>
      <x:c r="Q499" s="72" t="n">
        <x:f>IF(A499="",0,IF(COUNTIF($A$5:A499,A499)=1,1,0))</x:f>
        <x:v>0</x:v>
      </x:c>
      <x:c r="R499" s="64" t="str">
        <x:f>IF(A499="","",IF(F499="C499成功",IF(AND(J499&lt;&gt;"",K499&lt;&gt;"",N499&gt;0),"有证据","缺C499证据"),IF(F499="C499发货确认中",IF(AND(J499&lt;&gt;"",K499&lt;&gt;""),"有证据","缺C499证据"),IF(F499="手动完结",IF(OR(L499&lt;&gt;"",O499&lt;&gt;"",S499&lt;&gt;""),"有记录","缺手工证据"),IF(OR(F499="卖出待补仓",F499="提交结果待确认",F499="异常待处理"),"持续跟踪","检查状态")))))</x:f>
      </x:c>
      <x:c r="T499" s="64" t="str">
        <x:f>IF(A499="","",IF(COUNTIF($A$5:$A$1204,A499)&gt;1,"重复",""))</x:f>
      </x:c>
      <x:c r="U499" s="64" t="str">
        <x:f>IF(A499="","",IF(T499="重复","检查重复",IF(OR(R499="有证据",R499="有记录",R499="持续跟踪"),"可追踪","检查")))</x:f>
      </x:c>
    </x:row>
    <x:row r="500">
      <x:c r="A500" s="62"/>
      <x:c r="B500" s="62"/>
      <x:c r="C500" s="62"/>
      <x:c r="D500" s="66"/>
      <x:c r="E500" s="68"/>
      <x:c r="F500" s="62"/>
      <x:c r="G500" s="62"/>
      <x:c r="H500" s="62"/>
      <x:c r="I500" s="62"/>
      <x:c r="J500" s="62"/>
      <x:c r="K500" s="62"/>
      <x:c r="L500" s="62"/>
      <x:c r="M500" s="68"/>
      <x:c r="N500" s="68"/>
      <x:c r="O500" s="68"/>
      <x:c r="P500" s="71" t="str">
        <x:f>IF(A500="","",IF(N500&gt;0,N500,M500))</x:f>
      </x:c>
      <x:c r="Q500" s="72" t="n">
        <x:f>IF(A500="",0,IF(COUNTIF($A$5:A500,A500)=1,1,0))</x:f>
        <x:v>0</x:v>
      </x:c>
      <x:c r="R500" s="64" t="str">
        <x:f>IF(A500="","",IF(F500="C500成功",IF(AND(J500&lt;&gt;"",K500&lt;&gt;"",N500&gt;0),"有证据","缺C500证据"),IF(F500="C500发货确认中",IF(AND(J500&lt;&gt;"",K500&lt;&gt;""),"有证据","缺C500证据"),IF(F500="手动完结",IF(OR(L500&lt;&gt;"",O500&lt;&gt;"",S500&lt;&gt;""),"有记录","缺手工证据"),IF(OR(F500="卖出待补仓",F500="提交结果待确认",F500="异常待处理"),"持续跟踪","检查状态")))))</x:f>
      </x:c>
      <x:c r="T500" s="64" t="str">
        <x:f>IF(A500="","",IF(COUNTIF($A$5:$A$1204,A500)&gt;1,"重复",""))</x:f>
      </x:c>
      <x:c r="U500" s="64" t="str">
        <x:f>IF(A500="","",IF(T500="重复","检查重复",IF(OR(R500="有证据",R500="有记录",R500="持续跟踪"),"可追踪","检查")))</x:f>
      </x:c>
    </x:row>
    <x:row r="501">
      <x:c r="A501" s="62"/>
      <x:c r="B501" s="62"/>
      <x:c r="C501" s="62"/>
      <x:c r="D501" s="66"/>
      <x:c r="E501" s="68"/>
      <x:c r="F501" s="62"/>
      <x:c r="G501" s="62"/>
      <x:c r="H501" s="62"/>
      <x:c r="I501" s="62"/>
      <x:c r="J501" s="62"/>
      <x:c r="K501" s="62"/>
      <x:c r="L501" s="62"/>
      <x:c r="M501" s="68"/>
      <x:c r="N501" s="68"/>
      <x:c r="O501" s="68"/>
      <x:c r="P501" s="71" t="str">
        <x:f>IF(A501="","",IF(N501&gt;0,N501,M501))</x:f>
      </x:c>
      <x:c r="Q501" s="72" t="n">
        <x:f>IF(A501="",0,IF(COUNTIF($A$5:A501,A501)=1,1,0))</x:f>
        <x:v>0</x:v>
      </x:c>
      <x:c r="R501" s="64" t="str">
        <x:f>IF(A501="","",IF(F501="C501成功",IF(AND(J501&lt;&gt;"",K501&lt;&gt;"",N501&gt;0),"有证据","缺C501证据"),IF(F501="C501发货确认中",IF(AND(J501&lt;&gt;"",K501&lt;&gt;""),"有证据","缺C501证据"),IF(F501="手动完结",IF(OR(L501&lt;&gt;"",O501&lt;&gt;"",S501&lt;&gt;""),"有记录","缺手工证据"),IF(OR(F501="卖出待补仓",F501="提交结果待确认",F501="异常待处理"),"持续跟踪","检查状态")))))</x:f>
      </x:c>
      <x:c r="T501" s="64" t="str">
        <x:f>IF(A501="","",IF(COUNTIF($A$5:$A$1204,A501)&gt;1,"重复",""))</x:f>
      </x:c>
      <x:c r="U501" s="64" t="str">
        <x:f>IF(A501="","",IF(T501="重复","检查重复",IF(OR(R501="有证据",R501="有记录",R501="持续跟踪"),"可追踪","检查")))</x:f>
      </x:c>
    </x:row>
    <x:row r="502">
      <x:c r="A502" s="62"/>
      <x:c r="B502" s="62"/>
      <x:c r="C502" s="62"/>
      <x:c r="D502" s="66"/>
      <x:c r="E502" s="68"/>
      <x:c r="F502" s="62"/>
      <x:c r="G502" s="62"/>
      <x:c r="H502" s="62"/>
      <x:c r="I502" s="62"/>
      <x:c r="J502" s="62"/>
      <x:c r="K502" s="62"/>
      <x:c r="L502" s="62"/>
      <x:c r="M502" s="68"/>
      <x:c r="N502" s="68"/>
      <x:c r="O502" s="68"/>
      <x:c r="P502" s="71" t="str">
        <x:f>IF(A502="","",IF(N502&gt;0,N502,M502))</x:f>
      </x:c>
      <x:c r="Q502" s="72" t="n">
        <x:f>IF(A502="",0,IF(COUNTIF($A$5:A502,A502)=1,1,0))</x:f>
        <x:v>0</x:v>
      </x:c>
      <x:c r="R502" s="64" t="str">
        <x:f>IF(A502="","",IF(F502="C502成功",IF(AND(J502&lt;&gt;"",K502&lt;&gt;"",N502&gt;0),"有证据","缺C502证据"),IF(F502="C502发货确认中",IF(AND(J502&lt;&gt;"",K502&lt;&gt;""),"有证据","缺C502证据"),IF(F502="手动完结",IF(OR(L502&lt;&gt;"",O502&lt;&gt;"",S502&lt;&gt;""),"有记录","缺手工证据"),IF(OR(F502="卖出待补仓",F502="提交结果待确认",F502="异常待处理"),"持续跟踪","检查状态")))))</x:f>
      </x:c>
      <x:c r="T502" s="64" t="str">
        <x:f>IF(A502="","",IF(COUNTIF($A$5:$A$1204,A502)&gt;1,"重复",""))</x:f>
      </x:c>
      <x:c r="U502" s="64" t="str">
        <x:f>IF(A502="","",IF(T502="重复","检查重复",IF(OR(R502="有证据",R502="有记录",R502="持续跟踪"),"可追踪","检查")))</x:f>
      </x:c>
    </x:row>
    <x:row r="503">
      <x:c r="A503" s="62"/>
      <x:c r="B503" s="62"/>
      <x:c r="C503" s="62"/>
      <x:c r="D503" s="66"/>
      <x:c r="E503" s="68"/>
      <x:c r="F503" s="62"/>
      <x:c r="G503" s="62"/>
      <x:c r="H503" s="62"/>
      <x:c r="I503" s="62"/>
      <x:c r="J503" s="62"/>
      <x:c r="K503" s="62"/>
      <x:c r="L503" s="62"/>
      <x:c r="M503" s="68"/>
      <x:c r="N503" s="68"/>
      <x:c r="O503" s="68"/>
      <x:c r="P503" s="71" t="str">
        <x:f>IF(A503="","",IF(N503&gt;0,N503,M503))</x:f>
      </x:c>
      <x:c r="Q503" s="72" t="n">
        <x:f>IF(A503="",0,IF(COUNTIF($A$5:A503,A503)=1,1,0))</x:f>
        <x:v>0</x:v>
      </x:c>
      <x:c r="R503" s="64" t="str">
        <x:f>IF(A503="","",IF(F503="C503成功",IF(AND(J503&lt;&gt;"",K503&lt;&gt;"",N503&gt;0),"有证据","缺C503证据"),IF(F503="C503发货确认中",IF(AND(J503&lt;&gt;"",K503&lt;&gt;""),"有证据","缺C503证据"),IF(F503="手动完结",IF(OR(L503&lt;&gt;"",O503&lt;&gt;"",S503&lt;&gt;""),"有记录","缺手工证据"),IF(OR(F503="卖出待补仓",F503="提交结果待确认",F503="异常待处理"),"持续跟踪","检查状态")))))</x:f>
      </x:c>
      <x:c r="T503" s="64" t="str">
        <x:f>IF(A503="","",IF(COUNTIF($A$5:$A$1204,A503)&gt;1,"重复",""))</x:f>
      </x:c>
      <x:c r="U503" s="64" t="str">
        <x:f>IF(A503="","",IF(T503="重复","检查重复",IF(OR(R503="有证据",R503="有记录",R503="持续跟踪"),"可追踪","检查")))</x:f>
      </x:c>
    </x:row>
    <x:row r="504">
      <x:c r="A504" s="62"/>
      <x:c r="B504" s="62"/>
      <x:c r="C504" s="62"/>
      <x:c r="D504" s="66"/>
      <x:c r="E504" s="68"/>
      <x:c r="F504" s="62"/>
      <x:c r="G504" s="62"/>
      <x:c r="H504" s="62"/>
      <x:c r="I504" s="62"/>
      <x:c r="J504" s="62"/>
      <x:c r="K504" s="62"/>
      <x:c r="L504" s="62"/>
      <x:c r="M504" s="68"/>
      <x:c r="N504" s="68"/>
      <x:c r="O504" s="68"/>
      <x:c r="P504" s="71" t="str">
        <x:f>IF(A504="","",IF(N504&gt;0,N504,M504))</x:f>
      </x:c>
      <x:c r="Q504" s="72" t="n">
        <x:f>IF(A504="",0,IF(COUNTIF($A$5:A504,A504)=1,1,0))</x:f>
        <x:v>0</x:v>
      </x:c>
      <x:c r="R504" s="64" t="str">
        <x:f>IF(A504="","",IF(F504="C504成功",IF(AND(J504&lt;&gt;"",K504&lt;&gt;"",N504&gt;0),"有证据","缺C504证据"),IF(F504="C504发货确认中",IF(AND(J504&lt;&gt;"",K504&lt;&gt;""),"有证据","缺C504证据"),IF(F504="手动完结",IF(OR(L504&lt;&gt;"",O504&lt;&gt;"",S504&lt;&gt;""),"有记录","缺手工证据"),IF(OR(F504="卖出待补仓",F504="提交结果待确认",F504="异常待处理"),"持续跟踪","检查状态")))))</x:f>
      </x:c>
      <x:c r="T504" s="64" t="str">
        <x:f>IF(A504="","",IF(COUNTIF($A$5:$A$1204,A504)&gt;1,"重复",""))</x:f>
      </x:c>
      <x:c r="U504" s="64" t="str">
        <x:f>IF(A504="","",IF(T504="重复","检查重复",IF(OR(R504="有证据",R504="有记录",R504="持续跟踪"),"可追踪","检查")))</x:f>
      </x:c>
    </x:row>
    <x:row r="505">
      <x:c r="A505" s="62"/>
      <x:c r="B505" s="62"/>
      <x:c r="C505" s="62"/>
      <x:c r="D505" s="66"/>
      <x:c r="E505" s="68"/>
      <x:c r="F505" s="62"/>
      <x:c r="G505" s="62"/>
      <x:c r="H505" s="62"/>
      <x:c r="I505" s="62"/>
      <x:c r="J505" s="62"/>
      <x:c r="K505" s="62"/>
      <x:c r="L505" s="62"/>
      <x:c r="M505" s="68"/>
      <x:c r="N505" s="68"/>
      <x:c r="O505" s="68"/>
      <x:c r="P505" s="71" t="str">
        <x:f>IF(A505="","",IF(N505&gt;0,N505,M505))</x:f>
      </x:c>
      <x:c r="Q505" s="72" t="n">
        <x:f>IF(A505="",0,IF(COUNTIF($A$5:A505,A505)=1,1,0))</x:f>
        <x:v>0</x:v>
      </x:c>
      <x:c r="R505" s="64" t="str">
        <x:f>IF(A505="","",IF(F505="C505成功",IF(AND(J505&lt;&gt;"",K505&lt;&gt;"",N505&gt;0),"有证据","缺C505证据"),IF(F505="C505发货确认中",IF(AND(J505&lt;&gt;"",K505&lt;&gt;""),"有证据","缺C505证据"),IF(F505="手动完结",IF(OR(L505&lt;&gt;"",O505&lt;&gt;"",S505&lt;&gt;""),"有记录","缺手工证据"),IF(OR(F505="卖出待补仓",F505="提交结果待确认",F505="异常待处理"),"持续跟踪","检查状态")))))</x:f>
      </x:c>
      <x:c r="T505" s="64" t="str">
        <x:f>IF(A505="","",IF(COUNTIF($A$5:$A$1204,A505)&gt;1,"重复",""))</x:f>
      </x:c>
      <x:c r="U505" s="64" t="str">
        <x:f>IF(A505="","",IF(T505="重复","检查重复",IF(OR(R505="有证据",R505="有记录",R505="持续跟踪"),"可追踪","检查")))</x:f>
      </x:c>
    </x:row>
    <x:row r="506">
      <x:c r="A506" s="62"/>
      <x:c r="B506" s="62"/>
      <x:c r="C506" s="62"/>
      <x:c r="D506" s="66"/>
      <x:c r="E506" s="68"/>
      <x:c r="F506" s="62"/>
      <x:c r="G506" s="62"/>
      <x:c r="H506" s="62"/>
      <x:c r="I506" s="62"/>
      <x:c r="J506" s="62"/>
      <x:c r="K506" s="62"/>
      <x:c r="L506" s="62"/>
      <x:c r="M506" s="68"/>
      <x:c r="N506" s="68"/>
      <x:c r="O506" s="68"/>
      <x:c r="P506" s="71" t="str">
        <x:f>IF(A506="","",IF(N506&gt;0,N506,M506))</x:f>
      </x:c>
      <x:c r="Q506" s="72" t="n">
        <x:f>IF(A506="",0,IF(COUNTIF($A$5:A506,A506)=1,1,0))</x:f>
        <x:v>0</x:v>
      </x:c>
      <x:c r="R506" s="64" t="str">
        <x:f>IF(A506="","",IF(F506="C506成功",IF(AND(J506&lt;&gt;"",K506&lt;&gt;"",N506&gt;0),"有证据","缺C506证据"),IF(F506="C506发货确认中",IF(AND(J506&lt;&gt;"",K506&lt;&gt;""),"有证据","缺C506证据"),IF(F506="手动完结",IF(OR(L506&lt;&gt;"",O506&lt;&gt;"",S506&lt;&gt;""),"有记录","缺手工证据"),IF(OR(F506="卖出待补仓",F506="提交结果待确认",F506="异常待处理"),"持续跟踪","检查状态")))))</x:f>
      </x:c>
      <x:c r="T506" s="64" t="str">
        <x:f>IF(A506="","",IF(COUNTIF($A$5:$A$1204,A506)&gt;1,"重复",""))</x:f>
      </x:c>
      <x:c r="U506" s="64" t="str">
        <x:f>IF(A506="","",IF(T506="重复","检查重复",IF(OR(R506="有证据",R506="有记录",R506="持续跟踪"),"可追踪","检查")))</x:f>
      </x:c>
    </x:row>
    <x:row r="507">
      <x:c r="A507" s="62"/>
      <x:c r="B507" s="62"/>
      <x:c r="C507" s="62"/>
      <x:c r="D507" s="66"/>
      <x:c r="E507" s="68"/>
      <x:c r="F507" s="62"/>
      <x:c r="G507" s="62"/>
      <x:c r="H507" s="62"/>
      <x:c r="I507" s="62"/>
      <x:c r="J507" s="62"/>
      <x:c r="K507" s="62"/>
      <x:c r="L507" s="62"/>
      <x:c r="M507" s="68"/>
      <x:c r="N507" s="68"/>
      <x:c r="O507" s="68"/>
      <x:c r="P507" s="71" t="str">
        <x:f>IF(A507="","",IF(N507&gt;0,N507,M507))</x:f>
      </x:c>
      <x:c r="Q507" s="72" t="n">
        <x:f>IF(A507="",0,IF(COUNTIF($A$5:A507,A507)=1,1,0))</x:f>
        <x:v>0</x:v>
      </x:c>
      <x:c r="R507" s="64" t="str">
        <x:f>IF(A507="","",IF(F507="C507成功",IF(AND(J507&lt;&gt;"",K507&lt;&gt;"",N507&gt;0),"有证据","缺C507证据"),IF(F507="C507发货确认中",IF(AND(J507&lt;&gt;"",K507&lt;&gt;""),"有证据","缺C507证据"),IF(F507="手动完结",IF(OR(L507&lt;&gt;"",O507&lt;&gt;"",S507&lt;&gt;""),"有记录","缺手工证据"),IF(OR(F507="卖出待补仓",F507="提交结果待确认",F507="异常待处理"),"持续跟踪","检查状态")))))</x:f>
      </x:c>
      <x:c r="T507" s="64" t="str">
        <x:f>IF(A507="","",IF(COUNTIF($A$5:$A$1204,A507)&gt;1,"重复",""))</x:f>
      </x:c>
      <x:c r="U507" s="64" t="str">
        <x:f>IF(A507="","",IF(T507="重复","检查重复",IF(OR(R507="有证据",R507="有记录",R507="持续跟踪"),"可追踪","检查")))</x:f>
      </x:c>
    </x:row>
    <x:row r="508">
      <x:c r="A508" s="62"/>
      <x:c r="B508" s="62"/>
      <x:c r="C508" s="62"/>
      <x:c r="D508" s="66"/>
      <x:c r="E508" s="68"/>
      <x:c r="F508" s="62"/>
      <x:c r="G508" s="62"/>
      <x:c r="H508" s="62"/>
      <x:c r="I508" s="62"/>
      <x:c r="J508" s="62"/>
      <x:c r="K508" s="62"/>
      <x:c r="L508" s="62"/>
      <x:c r="M508" s="68"/>
      <x:c r="N508" s="68"/>
      <x:c r="O508" s="68"/>
      <x:c r="P508" s="71" t="str">
        <x:f>IF(A508="","",IF(N508&gt;0,N508,M508))</x:f>
      </x:c>
      <x:c r="Q508" s="72" t="n">
        <x:f>IF(A508="",0,IF(COUNTIF($A$5:A508,A508)=1,1,0))</x:f>
        <x:v>0</x:v>
      </x:c>
      <x:c r="R508" s="64" t="str">
        <x:f>IF(A508="","",IF(F508="C508成功",IF(AND(J508&lt;&gt;"",K508&lt;&gt;"",N508&gt;0),"有证据","缺C508证据"),IF(F508="C508发货确认中",IF(AND(J508&lt;&gt;"",K508&lt;&gt;""),"有证据","缺C508证据"),IF(F508="手动完结",IF(OR(L508&lt;&gt;"",O508&lt;&gt;"",S508&lt;&gt;""),"有记录","缺手工证据"),IF(OR(F508="卖出待补仓",F508="提交结果待确认",F508="异常待处理"),"持续跟踪","检查状态")))))</x:f>
      </x:c>
      <x:c r="T508" s="64" t="str">
        <x:f>IF(A508="","",IF(COUNTIF($A$5:$A$1204,A508)&gt;1,"重复",""))</x:f>
      </x:c>
      <x:c r="U508" s="64" t="str">
        <x:f>IF(A508="","",IF(T508="重复","检查重复",IF(OR(R508="有证据",R508="有记录",R508="持续跟踪"),"可追踪","检查")))</x:f>
      </x:c>
    </x:row>
    <x:row r="509">
      <x:c r="A509" s="62"/>
      <x:c r="B509" s="62"/>
      <x:c r="C509" s="62"/>
      <x:c r="D509" s="66"/>
      <x:c r="E509" s="68"/>
      <x:c r="F509" s="62"/>
      <x:c r="G509" s="62"/>
      <x:c r="H509" s="62"/>
      <x:c r="I509" s="62"/>
      <x:c r="J509" s="62"/>
      <x:c r="K509" s="62"/>
      <x:c r="L509" s="62"/>
      <x:c r="M509" s="68"/>
      <x:c r="N509" s="68"/>
      <x:c r="O509" s="68"/>
      <x:c r="P509" s="71" t="str">
        <x:f>IF(A509="","",IF(N509&gt;0,N509,M509))</x:f>
      </x:c>
      <x:c r="Q509" s="72" t="n">
        <x:f>IF(A509="",0,IF(COUNTIF($A$5:A509,A509)=1,1,0))</x:f>
        <x:v>0</x:v>
      </x:c>
      <x:c r="R509" s="64" t="str">
        <x:f>IF(A509="","",IF(F509="C509成功",IF(AND(J509&lt;&gt;"",K509&lt;&gt;"",N509&gt;0),"有证据","缺C509证据"),IF(F509="C509发货确认中",IF(AND(J509&lt;&gt;"",K509&lt;&gt;""),"有证据","缺C509证据"),IF(F509="手动完结",IF(OR(L509&lt;&gt;"",O509&lt;&gt;"",S509&lt;&gt;""),"有记录","缺手工证据"),IF(OR(F509="卖出待补仓",F509="提交结果待确认",F509="异常待处理"),"持续跟踪","检查状态")))))</x:f>
      </x:c>
      <x:c r="T509" s="64" t="str">
        <x:f>IF(A509="","",IF(COUNTIF($A$5:$A$1204,A509)&gt;1,"重复",""))</x:f>
      </x:c>
      <x:c r="U509" s="64" t="str">
        <x:f>IF(A509="","",IF(T509="重复","检查重复",IF(OR(R509="有证据",R509="有记录",R509="持续跟踪"),"可追踪","检查")))</x:f>
      </x:c>
    </x:row>
    <x:row r="510">
      <x:c r="A510" s="62"/>
      <x:c r="B510" s="62"/>
      <x:c r="C510" s="62"/>
      <x:c r="D510" s="66"/>
      <x:c r="E510" s="68"/>
      <x:c r="F510" s="62"/>
      <x:c r="G510" s="62"/>
      <x:c r="H510" s="62"/>
      <x:c r="I510" s="62"/>
      <x:c r="J510" s="62"/>
      <x:c r="K510" s="62"/>
      <x:c r="L510" s="62"/>
      <x:c r="M510" s="68"/>
      <x:c r="N510" s="68"/>
      <x:c r="O510" s="68"/>
      <x:c r="P510" s="71" t="str">
        <x:f>IF(A510="","",IF(N510&gt;0,N510,M510))</x:f>
      </x:c>
      <x:c r="Q510" s="72" t="n">
        <x:f>IF(A510="",0,IF(COUNTIF($A$5:A510,A510)=1,1,0))</x:f>
        <x:v>0</x:v>
      </x:c>
      <x:c r="R510" s="64" t="str">
        <x:f>IF(A510="","",IF(F510="C510成功",IF(AND(J510&lt;&gt;"",K510&lt;&gt;"",N510&gt;0),"有证据","缺C510证据"),IF(F510="C510发货确认中",IF(AND(J510&lt;&gt;"",K510&lt;&gt;""),"有证据","缺C510证据"),IF(F510="手动完结",IF(OR(L510&lt;&gt;"",O510&lt;&gt;"",S510&lt;&gt;""),"有记录","缺手工证据"),IF(OR(F510="卖出待补仓",F510="提交结果待确认",F510="异常待处理"),"持续跟踪","检查状态")))))</x:f>
      </x:c>
      <x:c r="T510" s="64" t="str">
        <x:f>IF(A510="","",IF(COUNTIF($A$5:$A$1204,A510)&gt;1,"重复",""))</x:f>
      </x:c>
      <x:c r="U510" s="64" t="str">
        <x:f>IF(A510="","",IF(T510="重复","检查重复",IF(OR(R510="有证据",R510="有记录",R510="持续跟踪"),"可追踪","检查")))</x:f>
      </x:c>
    </x:row>
    <x:row r="511">
      <x:c r="A511" s="62"/>
      <x:c r="B511" s="62"/>
      <x:c r="C511" s="62"/>
      <x:c r="D511" s="66"/>
      <x:c r="E511" s="68"/>
      <x:c r="F511" s="62"/>
      <x:c r="G511" s="62"/>
      <x:c r="H511" s="62"/>
      <x:c r="I511" s="62"/>
      <x:c r="J511" s="62"/>
      <x:c r="K511" s="62"/>
      <x:c r="L511" s="62"/>
      <x:c r="M511" s="68"/>
      <x:c r="N511" s="68"/>
      <x:c r="O511" s="68"/>
      <x:c r="P511" s="71" t="str">
        <x:f>IF(A511="","",IF(N511&gt;0,N511,M511))</x:f>
      </x:c>
      <x:c r="Q511" s="72" t="n">
        <x:f>IF(A511="",0,IF(COUNTIF($A$5:A511,A511)=1,1,0))</x:f>
        <x:v>0</x:v>
      </x:c>
      <x:c r="R511" s="64" t="str">
        <x:f>IF(A511="","",IF(F511="C511成功",IF(AND(J511&lt;&gt;"",K511&lt;&gt;"",N511&gt;0),"有证据","缺C511证据"),IF(F511="C511发货确认中",IF(AND(J511&lt;&gt;"",K511&lt;&gt;""),"有证据","缺C511证据"),IF(F511="手动完结",IF(OR(L511&lt;&gt;"",O511&lt;&gt;"",S511&lt;&gt;""),"有记录","缺手工证据"),IF(OR(F511="卖出待补仓",F511="提交结果待确认",F511="异常待处理"),"持续跟踪","检查状态")))))</x:f>
      </x:c>
      <x:c r="T511" s="64" t="str">
        <x:f>IF(A511="","",IF(COUNTIF($A$5:$A$1204,A511)&gt;1,"重复",""))</x:f>
      </x:c>
      <x:c r="U511" s="64" t="str">
        <x:f>IF(A511="","",IF(T511="重复","检查重复",IF(OR(R511="有证据",R511="有记录",R511="持续跟踪"),"可追踪","检查")))</x:f>
      </x:c>
    </x:row>
    <x:row r="512">
      <x:c r="A512" s="62"/>
      <x:c r="B512" s="62"/>
      <x:c r="C512" s="62"/>
      <x:c r="D512" s="66"/>
      <x:c r="E512" s="68"/>
      <x:c r="F512" s="62"/>
      <x:c r="G512" s="62"/>
      <x:c r="H512" s="62"/>
      <x:c r="I512" s="62"/>
      <x:c r="J512" s="62"/>
      <x:c r="K512" s="62"/>
      <x:c r="L512" s="62"/>
      <x:c r="M512" s="68"/>
      <x:c r="N512" s="68"/>
      <x:c r="O512" s="68"/>
      <x:c r="P512" s="71" t="str">
        <x:f>IF(A512="","",IF(N512&gt;0,N512,M512))</x:f>
      </x:c>
      <x:c r="Q512" s="72" t="n">
        <x:f>IF(A512="",0,IF(COUNTIF($A$5:A512,A512)=1,1,0))</x:f>
        <x:v>0</x:v>
      </x:c>
      <x:c r="R512" s="64" t="str">
        <x:f>IF(A512="","",IF(F512="C512成功",IF(AND(J512&lt;&gt;"",K512&lt;&gt;"",N512&gt;0),"有证据","缺C512证据"),IF(F512="C512发货确认中",IF(AND(J512&lt;&gt;"",K512&lt;&gt;""),"有证据","缺C512证据"),IF(F512="手动完结",IF(OR(L512&lt;&gt;"",O512&lt;&gt;"",S512&lt;&gt;""),"有记录","缺手工证据"),IF(OR(F512="卖出待补仓",F512="提交结果待确认",F512="异常待处理"),"持续跟踪","检查状态")))))</x:f>
      </x:c>
      <x:c r="T512" s="64" t="str">
        <x:f>IF(A512="","",IF(COUNTIF($A$5:$A$1204,A512)&gt;1,"重复",""))</x:f>
      </x:c>
      <x:c r="U512" s="64" t="str">
        <x:f>IF(A512="","",IF(T512="重复","检查重复",IF(OR(R512="有证据",R512="有记录",R512="持续跟踪"),"可追踪","检查")))</x:f>
      </x:c>
    </x:row>
    <x:row r="513">
      <x:c r="A513" s="62"/>
      <x:c r="B513" s="62"/>
      <x:c r="C513" s="62"/>
      <x:c r="D513" s="66"/>
      <x:c r="E513" s="68"/>
      <x:c r="F513" s="62"/>
      <x:c r="G513" s="62"/>
      <x:c r="H513" s="62"/>
      <x:c r="I513" s="62"/>
      <x:c r="J513" s="62"/>
      <x:c r="K513" s="62"/>
      <x:c r="L513" s="62"/>
      <x:c r="M513" s="68"/>
      <x:c r="N513" s="68"/>
      <x:c r="O513" s="68"/>
      <x:c r="P513" s="71" t="str">
        <x:f>IF(A513="","",IF(N513&gt;0,N513,M513))</x:f>
      </x:c>
      <x:c r="Q513" s="72" t="n">
        <x:f>IF(A513="",0,IF(COUNTIF($A$5:A513,A513)=1,1,0))</x:f>
        <x:v>0</x:v>
      </x:c>
      <x:c r="R513" s="64" t="str">
        <x:f>IF(A513="","",IF(F513="C513成功",IF(AND(J513&lt;&gt;"",K513&lt;&gt;"",N513&gt;0),"有证据","缺C513证据"),IF(F513="C513发货确认中",IF(AND(J513&lt;&gt;"",K513&lt;&gt;""),"有证据","缺C513证据"),IF(F513="手动完结",IF(OR(L513&lt;&gt;"",O513&lt;&gt;"",S513&lt;&gt;""),"有记录","缺手工证据"),IF(OR(F513="卖出待补仓",F513="提交结果待确认",F513="异常待处理"),"持续跟踪","检查状态")))))</x:f>
      </x:c>
      <x:c r="T513" s="64" t="str">
        <x:f>IF(A513="","",IF(COUNTIF($A$5:$A$1204,A513)&gt;1,"重复",""))</x:f>
      </x:c>
      <x:c r="U513" s="64" t="str">
        <x:f>IF(A513="","",IF(T513="重复","检查重复",IF(OR(R513="有证据",R513="有记录",R513="持续跟踪"),"可追踪","检查")))</x:f>
      </x:c>
    </x:row>
    <x:row r="514">
      <x:c r="A514" s="62"/>
      <x:c r="B514" s="62"/>
      <x:c r="C514" s="62"/>
      <x:c r="D514" s="66"/>
      <x:c r="E514" s="68"/>
      <x:c r="F514" s="62"/>
      <x:c r="G514" s="62"/>
      <x:c r="H514" s="62"/>
      <x:c r="I514" s="62"/>
      <x:c r="J514" s="62"/>
      <x:c r="K514" s="62"/>
      <x:c r="L514" s="62"/>
      <x:c r="M514" s="68"/>
      <x:c r="N514" s="68"/>
      <x:c r="O514" s="68"/>
      <x:c r="P514" s="71" t="str">
        <x:f>IF(A514="","",IF(N514&gt;0,N514,M514))</x:f>
      </x:c>
      <x:c r="Q514" s="72" t="n">
        <x:f>IF(A514="",0,IF(COUNTIF($A$5:A514,A514)=1,1,0))</x:f>
        <x:v>0</x:v>
      </x:c>
      <x:c r="R514" s="64" t="str">
        <x:f>IF(A514="","",IF(F514="C514成功",IF(AND(J514&lt;&gt;"",K514&lt;&gt;"",N514&gt;0),"有证据","缺C514证据"),IF(F514="C514发货确认中",IF(AND(J514&lt;&gt;"",K514&lt;&gt;""),"有证据","缺C514证据"),IF(F514="手动完结",IF(OR(L514&lt;&gt;"",O514&lt;&gt;"",S514&lt;&gt;""),"有记录","缺手工证据"),IF(OR(F514="卖出待补仓",F514="提交结果待确认",F514="异常待处理"),"持续跟踪","检查状态")))))</x:f>
      </x:c>
      <x:c r="T514" s="64" t="str">
        <x:f>IF(A514="","",IF(COUNTIF($A$5:$A$1204,A514)&gt;1,"重复",""))</x:f>
      </x:c>
      <x:c r="U514" s="64" t="str">
        <x:f>IF(A514="","",IF(T514="重复","检查重复",IF(OR(R514="有证据",R514="有记录",R514="持续跟踪"),"可追踪","检查")))</x:f>
      </x:c>
    </x:row>
    <x:row r="515">
      <x:c r="A515" s="62"/>
      <x:c r="B515" s="62"/>
      <x:c r="C515" s="62"/>
      <x:c r="D515" s="66"/>
      <x:c r="E515" s="68"/>
      <x:c r="F515" s="62"/>
      <x:c r="G515" s="62"/>
      <x:c r="H515" s="62"/>
      <x:c r="I515" s="62"/>
      <x:c r="J515" s="62"/>
      <x:c r="K515" s="62"/>
      <x:c r="L515" s="62"/>
      <x:c r="M515" s="68"/>
      <x:c r="N515" s="68"/>
      <x:c r="O515" s="68"/>
      <x:c r="P515" s="71" t="str">
        <x:f>IF(A515="","",IF(N515&gt;0,N515,M515))</x:f>
      </x:c>
      <x:c r="Q515" s="72" t="n">
        <x:f>IF(A515="",0,IF(COUNTIF($A$5:A515,A515)=1,1,0))</x:f>
        <x:v>0</x:v>
      </x:c>
      <x:c r="R515" s="64" t="str">
        <x:f>IF(A515="","",IF(F515="C515成功",IF(AND(J515&lt;&gt;"",K515&lt;&gt;"",N515&gt;0),"有证据","缺C515证据"),IF(F515="C515发货确认中",IF(AND(J515&lt;&gt;"",K515&lt;&gt;""),"有证据","缺C515证据"),IF(F515="手动完结",IF(OR(L515&lt;&gt;"",O515&lt;&gt;"",S515&lt;&gt;""),"有记录","缺手工证据"),IF(OR(F515="卖出待补仓",F515="提交结果待确认",F515="异常待处理"),"持续跟踪","检查状态")))))</x:f>
      </x:c>
      <x:c r="T515" s="64" t="str">
        <x:f>IF(A515="","",IF(COUNTIF($A$5:$A$1204,A515)&gt;1,"重复",""))</x:f>
      </x:c>
      <x:c r="U515" s="64" t="str">
        <x:f>IF(A515="","",IF(T515="重复","检查重复",IF(OR(R515="有证据",R515="有记录",R515="持续跟踪"),"可追踪","检查")))</x:f>
      </x:c>
    </x:row>
    <x:row r="516">
      <x:c r="A516" s="62"/>
      <x:c r="B516" s="62"/>
      <x:c r="C516" s="62"/>
      <x:c r="D516" s="66"/>
      <x:c r="E516" s="68"/>
      <x:c r="F516" s="62"/>
      <x:c r="G516" s="62"/>
      <x:c r="H516" s="62"/>
      <x:c r="I516" s="62"/>
      <x:c r="J516" s="62"/>
      <x:c r="K516" s="62"/>
      <x:c r="L516" s="62"/>
      <x:c r="M516" s="68"/>
      <x:c r="N516" s="68"/>
      <x:c r="O516" s="68"/>
      <x:c r="P516" s="71" t="str">
        <x:f>IF(A516="","",IF(N516&gt;0,N516,M516))</x:f>
      </x:c>
      <x:c r="Q516" s="72" t="n">
        <x:f>IF(A516="",0,IF(COUNTIF($A$5:A516,A516)=1,1,0))</x:f>
        <x:v>0</x:v>
      </x:c>
      <x:c r="R516" s="64" t="str">
        <x:f>IF(A516="","",IF(F516="C516成功",IF(AND(J516&lt;&gt;"",K516&lt;&gt;"",N516&gt;0),"有证据","缺C516证据"),IF(F516="C516发货确认中",IF(AND(J516&lt;&gt;"",K516&lt;&gt;""),"有证据","缺C516证据"),IF(F516="手动完结",IF(OR(L516&lt;&gt;"",O516&lt;&gt;"",S516&lt;&gt;""),"有记录","缺手工证据"),IF(OR(F516="卖出待补仓",F516="提交结果待确认",F516="异常待处理"),"持续跟踪","检查状态")))))</x:f>
      </x:c>
      <x:c r="T516" s="64" t="str">
        <x:f>IF(A516="","",IF(COUNTIF($A$5:$A$1204,A516)&gt;1,"重复",""))</x:f>
      </x:c>
      <x:c r="U516" s="64" t="str">
        <x:f>IF(A516="","",IF(T516="重复","检查重复",IF(OR(R516="有证据",R516="有记录",R516="持续跟踪"),"可追踪","检查")))</x:f>
      </x:c>
    </x:row>
    <x:row r="517">
      <x:c r="A517" s="62"/>
      <x:c r="B517" s="62"/>
      <x:c r="C517" s="62"/>
      <x:c r="D517" s="66"/>
      <x:c r="E517" s="68"/>
      <x:c r="F517" s="62"/>
      <x:c r="G517" s="62"/>
      <x:c r="H517" s="62"/>
      <x:c r="I517" s="62"/>
      <x:c r="J517" s="62"/>
      <x:c r="K517" s="62"/>
      <x:c r="L517" s="62"/>
      <x:c r="M517" s="68"/>
      <x:c r="N517" s="68"/>
      <x:c r="O517" s="68"/>
      <x:c r="P517" s="71" t="str">
        <x:f>IF(A517="","",IF(N517&gt;0,N517,M517))</x:f>
      </x:c>
      <x:c r="Q517" s="72" t="n">
        <x:f>IF(A517="",0,IF(COUNTIF($A$5:A517,A517)=1,1,0))</x:f>
        <x:v>0</x:v>
      </x:c>
      <x:c r="R517" s="64" t="str">
        <x:f>IF(A517="","",IF(F517="C517成功",IF(AND(J517&lt;&gt;"",K517&lt;&gt;"",N517&gt;0),"有证据","缺C517证据"),IF(F517="C517发货确认中",IF(AND(J517&lt;&gt;"",K517&lt;&gt;""),"有证据","缺C517证据"),IF(F517="手动完结",IF(OR(L517&lt;&gt;"",O517&lt;&gt;"",S517&lt;&gt;""),"有记录","缺手工证据"),IF(OR(F517="卖出待补仓",F517="提交结果待确认",F517="异常待处理"),"持续跟踪","检查状态")))))</x:f>
      </x:c>
      <x:c r="T517" s="64" t="str">
        <x:f>IF(A517="","",IF(COUNTIF($A$5:$A$1204,A517)&gt;1,"重复",""))</x:f>
      </x:c>
      <x:c r="U517" s="64" t="str">
        <x:f>IF(A517="","",IF(T517="重复","检查重复",IF(OR(R517="有证据",R517="有记录",R517="持续跟踪"),"可追踪","检查")))</x:f>
      </x:c>
    </x:row>
    <x:row r="518">
      <x:c r="A518" s="62"/>
      <x:c r="B518" s="62"/>
      <x:c r="C518" s="62"/>
      <x:c r="D518" s="66"/>
      <x:c r="E518" s="68"/>
      <x:c r="F518" s="62"/>
      <x:c r="G518" s="62"/>
      <x:c r="H518" s="62"/>
      <x:c r="I518" s="62"/>
      <x:c r="J518" s="62"/>
      <x:c r="K518" s="62"/>
      <x:c r="L518" s="62"/>
      <x:c r="M518" s="68"/>
      <x:c r="N518" s="68"/>
      <x:c r="O518" s="68"/>
      <x:c r="P518" s="71" t="str">
        <x:f>IF(A518="","",IF(N518&gt;0,N518,M518))</x:f>
      </x:c>
      <x:c r="Q518" s="72" t="n">
        <x:f>IF(A518="",0,IF(COUNTIF($A$5:A518,A518)=1,1,0))</x:f>
        <x:v>0</x:v>
      </x:c>
      <x:c r="R518" s="64" t="str">
        <x:f>IF(A518="","",IF(F518="C518成功",IF(AND(J518&lt;&gt;"",K518&lt;&gt;"",N518&gt;0),"有证据","缺C518证据"),IF(F518="C518发货确认中",IF(AND(J518&lt;&gt;"",K518&lt;&gt;""),"有证据","缺C518证据"),IF(F518="手动完结",IF(OR(L518&lt;&gt;"",O518&lt;&gt;"",S518&lt;&gt;""),"有记录","缺手工证据"),IF(OR(F518="卖出待补仓",F518="提交结果待确认",F518="异常待处理"),"持续跟踪","检查状态")))))</x:f>
      </x:c>
      <x:c r="T518" s="64" t="str">
        <x:f>IF(A518="","",IF(COUNTIF($A$5:$A$1204,A518)&gt;1,"重复",""))</x:f>
      </x:c>
      <x:c r="U518" s="64" t="str">
        <x:f>IF(A518="","",IF(T518="重复","检查重复",IF(OR(R518="有证据",R518="有记录",R518="持续跟踪"),"可追踪","检查")))</x:f>
      </x:c>
    </x:row>
    <x:row r="519">
      <x:c r="A519" s="62"/>
      <x:c r="B519" s="62"/>
      <x:c r="C519" s="62"/>
      <x:c r="D519" s="66"/>
      <x:c r="E519" s="68"/>
      <x:c r="F519" s="62"/>
      <x:c r="G519" s="62"/>
      <x:c r="H519" s="62"/>
      <x:c r="I519" s="62"/>
      <x:c r="J519" s="62"/>
      <x:c r="K519" s="62"/>
      <x:c r="L519" s="62"/>
      <x:c r="M519" s="68"/>
      <x:c r="N519" s="68"/>
      <x:c r="O519" s="68"/>
      <x:c r="P519" s="71" t="str">
        <x:f>IF(A519="","",IF(N519&gt;0,N519,M519))</x:f>
      </x:c>
      <x:c r="Q519" s="72" t="n">
        <x:f>IF(A519="",0,IF(COUNTIF($A$5:A519,A519)=1,1,0))</x:f>
        <x:v>0</x:v>
      </x:c>
      <x:c r="R519" s="64" t="str">
        <x:f>IF(A519="","",IF(F519="C519成功",IF(AND(J519&lt;&gt;"",K519&lt;&gt;"",N519&gt;0),"有证据","缺C519证据"),IF(F519="C519发货确认中",IF(AND(J519&lt;&gt;"",K519&lt;&gt;""),"有证据","缺C519证据"),IF(F519="手动完结",IF(OR(L519&lt;&gt;"",O519&lt;&gt;"",S519&lt;&gt;""),"有记录","缺手工证据"),IF(OR(F519="卖出待补仓",F519="提交结果待确认",F519="异常待处理"),"持续跟踪","检查状态")))))</x:f>
      </x:c>
      <x:c r="T519" s="64" t="str">
        <x:f>IF(A519="","",IF(COUNTIF($A$5:$A$1204,A519)&gt;1,"重复",""))</x:f>
      </x:c>
      <x:c r="U519" s="64" t="str">
        <x:f>IF(A519="","",IF(T519="重复","检查重复",IF(OR(R519="有证据",R519="有记录",R519="持续跟踪"),"可追踪","检查")))</x:f>
      </x:c>
    </x:row>
    <x:row r="520">
      <x:c r="A520" s="62"/>
      <x:c r="B520" s="62"/>
      <x:c r="C520" s="62"/>
      <x:c r="D520" s="66"/>
      <x:c r="E520" s="68"/>
      <x:c r="F520" s="62"/>
      <x:c r="G520" s="62"/>
      <x:c r="H520" s="62"/>
      <x:c r="I520" s="62"/>
      <x:c r="J520" s="62"/>
      <x:c r="K520" s="62"/>
      <x:c r="L520" s="62"/>
      <x:c r="M520" s="68"/>
      <x:c r="N520" s="68"/>
      <x:c r="O520" s="68"/>
      <x:c r="P520" s="71" t="str">
        <x:f>IF(A520="","",IF(N520&gt;0,N520,M520))</x:f>
      </x:c>
      <x:c r="Q520" s="72" t="n">
        <x:f>IF(A520="",0,IF(COUNTIF($A$5:A520,A520)=1,1,0))</x:f>
        <x:v>0</x:v>
      </x:c>
      <x:c r="R520" s="64" t="str">
        <x:f>IF(A520="","",IF(F520="C520成功",IF(AND(J520&lt;&gt;"",K520&lt;&gt;"",N520&gt;0),"有证据","缺C520证据"),IF(F520="C520发货确认中",IF(AND(J520&lt;&gt;"",K520&lt;&gt;""),"有证据","缺C520证据"),IF(F520="手动完结",IF(OR(L520&lt;&gt;"",O520&lt;&gt;"",S520&lt;&gt;""),"有记录","缺手工证据"),IF(OR(F520="卖出待补仓",F520="提交结果待确认",F520="异常待处理"),"持续跟踪","检查状态")))))</x:f>
      </x:c>
      <x:c r="T520" s="64" t="str">
        <x:f>IF(A520="","",IF(COUNTIF($A$5:$A$1204,A520)&gt;1,"重复",""))</x:f>
      </x:c>
      <x:c r="U520" s="64" t="str">
        <x:f>IF(A520="","",IF(T520="重复","检查重复",IF(OR(R520="有证据",R520="有记录",R520="持续跟踪"),"可追踪","检查")))</x:f>
      </x:c>
    </x:row>
    <x:row r="521">
      <x:c r="A521" s="62"/>
      <x:c r="B521" s="62"/>
      <x:c r="C521" s="62"/>
      <x:c r="D521" s="66"/>
      <x:c r="E521" s="68"/>
      <x:c r="F521" s="62"/>
      <x:c r="G521" s="62"/>
      <x:c r="H521" s="62"/>
      <x:c r="I521" s="62"/>
      <x:c r="J521" s="62"/>
      <x:c r="K521" s="62"/>
      <x:c r="L521" s="62"/>
      <x:c r="M521" s="68"/>
      <x:c r="N521" s="68"/>
      <x:c r="O521" s="68"/>
      <x:c r="P521" s="71" t="str">
        <x:f>IF(A521="","",IF(N521&gt;0,N521,M521))</x:f>
      </x:c>
      <x:c r="Q521" s="72" t="n">
        <x:f>IF(A521="",0,IF(COUNTIF($A$5:A521,A521)=1,1,0))</x:f>
        <x:v>0</x:v>
      </x:c>
      <x:c r="R521" s="64" t="str">
        <x:f>IF(A521="","",IF(F521="C521成功",IF(AND(J521&lt;&gt;"",K521&lt;&gt;"",N521&gt;0),"有证据","缺C521证据"),IF(F521="C521发货确认中",IF(AND(J521&lt;&gt;"",K521&lt;&gt;""),"有证据","缺C521证据"),IF(F521="手动完结",IF(OR(L521&lt;&gt;"",O521&lt;&gt;"",S521&lt;&gt;""),"有记录","缺手工证据"),IF(OR(F521="卖出待补仓",F521="提交结果待确认",F521="异常待处理"),"持续跟踪","检查状态")))))</x:f>
      </x:c>
      <x:c r="T521" s="64" t="str">
        <x:f>IF(A521="","",IF(COUNTIF($A$5:$A$1204,A521)&gt;1,"重复",""))</x:f>
      </x:c>
      <x:c r="U521" s="64" t="str">
        <x:f>IF(A521="","",IF(T521="重复","检查重复",IF(OR(R521="有证据",R521="有记录",R521="持续跟踪"),"可追踪","检查")))</x:f>
      </x:c>
    </x:row>
    <x:row r="522">
      <x:c r="A522" s="62"/>
      <x:c r="B522" s="62"/>
      <x:c r="C522" s="62"/>
      <x:c r="D522" s="66"/>
      <x:c r="E522" s="68"/>
      <x:c r="F522" s="62"/>
      <x:c r="G522" s="62"/>
      <x:c r="H522" s="62"/>
      <x:c r="I522" s="62"/>
      <x:c r="J522" s="62"/>
      <x:c r="K522" s="62"/>
      <x:c r="L522" s="62"/>
      <x:c r="M522" s="68"/>
      <x:c r="N522" s="68"/>
      <x:c r="O522" s="68"/>
      <x:c r="P522" s="71" t="str">
        <x:f>IF(A522="","",IF(N522&gt;0,N522,M522))</x:f>
      </x:c>
      <x:c r="Q522" s="72" t="n">
        <x:f>IF(A522="",0,IF(COUNTIF($A$5:A522,A522)=1,1,0))</x:f>
        <x:v>0</x:v>
      </x:c>
      <x:c r="R522" s="64" t="str">
        <x:f>IF(A522="","",IF(F522="C522成功",IF(AND(J522&lt;&gt;"",K522&lt;&gt;"",N522&gt;0),"有证据","缺C522证据"),IF(F522="C522发货确认中",IF(AND(J522&lt;&gt;"",K522&lt;&gt;""),"有证据","缺C522证据"),IF(F522="手动完结",IF(OR(L522&lt;&gt;"",O522&lt;&gt;"",S522&lt;&gt;""),"有记录","缺手工证据"),IF(OR(F522="卖出待补仓",F522="提交结果待确认",F522="异常待处理"),"持续跟踪","检查状态")))))</x:f>
      </x:c>
      <x:c r="T522" s="64" t="str">
        <x:f>IF(A522="","",IF(COUNTIF($A$5:$A$1204,A522)&gt;1,"重复",""))</x:f>
      </x:c>
      <x:c r="U522" s="64" t="str">
        <x:f>IF(A522="","",IF(T522="重复","检查重复",IF(OR(R522="有证据",R522="有记录",R522="持续跟踪"),"可追踪","检查")))</x:f>
      </x:c>
    </x:row>
    <x:row r="523">
      <x:c r="A523" s="62"/>
      <x:c r="B523" s="62"/>
      <x:c r="C523" s="62"/>
      <x:c r="D523" s="66"/>
      <x:c r="E523" s="68"/>
      <x:c r="F523" s="62"/>
      <x:c r="G523" s="62"/>
      <x:c r="H523" s="62"/>
      <x:c r="I523" s="62"/>
      <x:c r="J523" s="62"/>
      <x:c r="K523" s="62"/>
      <x:c r="L523" s="62"/>
      <x:c r="M523" s="68"/>
      <x:c r="N523" s="68"/>
      <x:c r="O523" s="68"/>
      <x:c r="P523" s="71" t="str">
        <x:f>IF(A523="","",IF(N523&gt;0,N523,M523))</x:f>
      </x:c>
      <x:c r="Q523" s="72" t="n">
        <x:f>IF(A523="",0,IF(COUNTIF($A$5:A523,A523)=1,1,0))</x:f>
        <x:v>0</x:v>
      </x:c>
      <x:c r="R523" s="64" t="str">
        <x:f>IF(A523="","",IF(F523="C523成功",IF(AND(J523&lt;&gt;"",K523&lt;&gt;"",N523&gt;0),"有证据","缺C523证据"),IF(F523="C523发货确认中",IF(AND(J523&lt;&gt;"",K523&lt;&gt;""),"有证据","缺C523证据"),IF(F523="手动完结",IF(OR(L523&lt;&gt;"",O523&lt;&gt;"",S523&lt;&gt;""),"有记录","缺手工证据"),IF(OR(F523="卖出待补仓",F523="提交结果待确认",F523="异常待处理"),"持续跟踪","检查状态")))))</x:f>
      </x:c>
      <x:c r="T523" s="64" t="str">
        <x:f>IF(A523="","",IF(COUNTIF($A$5:$A$1204,A523)&gt;1,"重复",""))</x:f>
      </x:c>
      <x:c r="U523" s="64" t="str">
        <x:f>IF(A523="","",IF(T523="重复","检查重复",IF(OR(R523="有证据",R523="有记录",R523="持续跟踪"),"可追踪","检查")))</x:f>
      </x:c>
    </x:row>
    <x:row r="524">
      <x:c r="A524" s="62"/>
      <x:c r="B524" s="62"/>
      <x:c r="C524" s="62"/>
      <x:c r="D524" s="66"/>
      <x:c r="E524" s="68"/>
      <x:c r="F524" s="62"/>
      <x:c r="G524" s="62"/>
      <x:c r="H524" s="62"/>
      <x:c r="I524" s="62"/>
      <x:c r="J524" s="62"/>
      <x:c r="K524" s="62"/>
      <x:c r="L524" s="62"/>
      <x:c r="M524" s="68"/>
      <x:c r="N524" s="68"/>
      <x:c r="O524" s="68"/>
      <x:c r="P524" s="71" t="str">
        <x:f>IF(A524="","",IF(N524&gt;0,N524,M524))</x:f>
      </x:c>
      <x:c r="Q524" s="72" t="n">
        <x:f>IF(A524="",0,IF(COUNTIF($A$5:A524,A524)=1,1,0))</x:f>
        <x:v>0</x:v>
      </x:c>
      <x:c r="R524" s="64" t="str">
        <x:f>IF(A524="","",IF(F524="C524成功",IF(AND(J524&lt;&gt;"",K524&lt;&gt;"",N524&gt;0),"有证据","缺C524证据"),IF(F524="C524发货确认中",IF(AND(J524&lt;&gt;"",K524&lt;&gt;""),"有证据","缺C524证据"),IF(F524="手动完结",IF(OR(L524&lt;&gt;"",O524&lt;&gt;"",S524&lt;&gt;""),"有记录","缺手工证据"),IF(OR(F524="卖出待补仓",F524="提交结果待确认",F524="异常待处理"),"持续跟踪","检查状态")))))</x:f>
      </x:c>
      <x:c r="T524" s="64" t="str">
        <x:f>IF(A524="","",IF(COUNTIF($A$5:$A$1204,A524)&gt;1,"重复",""))</x:f>
      </x:c>
      <x:c r="U524" s="64" t="str">
        <x:f>IF(A524="","",IF(T524="重复","检查重复",IF(OR(R524="有证据",R524="有记录",R524="持续跟踪"),"可追踪","检查")))</x:f>
      </x:c>
    </x:row>
    <x:row r="525">
      <x:c r="A525" s="62"/>
      <x:c r="B525" s="62"/>
      <x:c r="C525" s="62"/>
      <x:c r="D525" s="66"/>
      <x:c r="E525" s="68"/>
      <x:c r="F525" s="62"/>
      <x:c r="G525" s="62"/>
      <x:c r="H525" s="62"/>
      <x:c r="I525" s="62"/>
      <x:c r="J525" s="62"/>
      <x:c r="K525" s="62"/>
      <x:c r="L525" s="62"/>
      <x:c r="M525" s="68"/>
      <x:c r="N525" s="68"/>
      <x:c r="O525" s="68"/>
      <x:c r="P525" s="71" t="str">
        <x:f>IF(A525="","",IF(N525&gt;0,N525,M525))</x:f>
      </x:c>
      <x:c r="Q525" s="72" t="n">
        <x:f>IF(A525="",0,IF(COUNTIF($A$5:A525,A525)=1,1,0))</x:f>
        <x:v>0</x:v>
      </x:c>
      <x:c r="R525" s="64" t="str">
        <x:f>IF(A525="","",IF(F525="C525成功",IF(AND(J525&lt;&gt;"",K525&lt;&gt;"",N525&gt;0),"有证据","缺C525证据"),IF(F525="C525发货确认中",IF(AND(J525&lt;&gt;"",K525&lt;&gt;""),"有证据","缺C525证据"),IF(F525="手动完结",IF(OR(L525&lt;&gt;"",O525&lt;&gt;"",S525&lt;&gt;""),"有记录","缺手工证据"),IF(OR(F525="卖出待补仓",F525="提交结果待确认",F525="异常待处理"),"持续跟踪","检查状态")))))</x:f>
      </x:c>
      <x:c r="T525" s="64" t="str">
        <x:f>IF(A525="","",IF(COUNTIF($A$5:$A$1204,A525)&gt;1,"重复",""))</x:f>
      </x:c>
      <x:c r="U525" s="64" t="str">
        <x:f>IF(A525="","",IF(T525="重复","检查重复",IF(OR(R525="有证据",R525="有记录",R525="持续跟踪"),"可追踪","检查")))</x:f>
      </x:c>
    </x:row>
    <x:row r="526">
      <x:c r="A526" s="62"/>
      <x:c r="B526" s="62"/>
      <x:c r="C526" s="62"/>
      <x:c r="D526" s="66"/>
      <x:c r="E526" s="68"/>
      <x:c r="F526" s="62"/>
      <x:c r="G526" s="62"/>
      <x:c r="H526" s="62"/>
      <x:c r="I526" s="62"/>
      <x:c r="J526" s="62"/>
      <x:c r="K526" s="62"/>
      <x:c r="L526" s="62"/>
      <x:c r="M526" s="68"/>
      <x:c r="N526" s="68"/>
      <x:c r="O526" s="68"/>
      <x:c r="P526" s="71" t="str">
        <x:f>IF(A526="","",IF(N526&gt;0,N526,M526))</x:f>
      </x:c>
      <x:c r="Q526" s="72" t="n">
        <x:f>IF(A526="",0,IF(COUNTIF($A$5:A526,A526)=1,1,0))</x:f>
        <x:v>0</x:v>
      </x:c>
      <x:c r="R526" s="64" t="str">
        <x:f>IF(A526="","",IF(F526="C526成功",IF(AND(J526&lt;&gt;"",K526&lt;&gt;"",N526&gt;0),"有证据","缺C526证据"),IF(F526="C526发货确认中",IF(AND(J526&lt;&gt;"",K526&lt;&gt;""),"有证据","缺C526证据"),IF(F526="手动完结",IF(OR(L526&lt;&gt;"",O526&lt;&gt;"",S526&lt;&gt;""),"有记录","缺手工证据"),IF(OR(F526="卖出待补仓",F526="提交结果待确认",F526="异常待处理"),"持续跟踪","检查状态")))))</x:f>
      </x:c>
      <x:c r="T526" s="64" t="str">
        <x:f>IF(A526="","",IF(COUNTIF($A$5:$A$1204,A526)&gt;1,"重复",""))</x:f>
      </x:c>
      <x:c r="U526" s="64" t="str">
        <x:f>IF(A526="","",IF(T526="重复","检查重复",IF(OR(R526="有证据",R526="有记录",R526="持续跟踪"),"可追踪","检查")))</x:f>
      </x:c>
    </x:row>
    <x:row r="527">
      <x:c r="A527" s="62"/>
      <x:c r="B527" s="62"/>
      <x:c r="C527" s="62"/>
      <x:c r="D527" s="66"/>
      <x:c r="E527" s="68"/>
      <x:c r="F527" s="62"/>
      <x:c r="G527" s="62"/>
      <x:c r="H527" s="62"/>
      <x:c r="I527" s="62"/>
      <x:c r="J527" s="62"/>
      <x:c r="K527" s="62"/>
      <x:c r="L527" s="62"/>
      <x:c r="M527" s="68"/>
      <x:c r="N527" s="68"/>
      <x:c r="O527" s="68"/>
      <x:c r="P527" s="71" t="str">
        <x:f>IF(A527="","",IF(N527&gt;0,N527,M527))</x:f>
      </x:c>
      <x:c r="Q527" s="72" t="n">
        <x:f>IF(A527="",0,IF(COUNTIF($A$5:A527,A527)=1,1,0))</x:f>
        <x:v>0</x:v>
      </x:c>
      <x:c r="R527" s="64" t="str">
        <x:f>IF(A527="","",IF(F527="C527成功",IF(AND(J527&lt;&gt;"",K527&lt;&gt;"",N527&gt;0),"有证据","缺C527证据"),IF(F527="C527发货确认中",IF(AND(J527&lt;&gt;"",K527&lt;&gt;""),"有证据","缺C527证据"),IF(F527="手动完结",IF(OR(L527&lt;&gt;"",O527&lt;&gt;"",S527&lt;&gt;""),"有记录","缺手工证据"),IF(OR(F527="卖出待补仓",F527="提交结果待确认",F527="异常待处理"),"持续跟踪","检查状态")))))</x:f>
      </x:c>
      <x:c r="T527" s="64" t="str">
        <x:f>IF(A527="","",IF(COUNTIF($A$5:$A$1204,A527)&gt;1,"重复",""))</x:f>
      </x:c>
      <x:c r="U527" s="64" t="str">
        <x:f>IF(A527="","",IF(T527="重复","检查重复",IF(OR(R527="有证据",R527="有记录",R527="持续跟踪"),"可追踪","检查")))</x:f>
      </x:c>
    </x:row>
    <x:row r="528">
      <x:c r="A528" s="62"/>
      <x:c r="B528" s="62"/>
      <x:c r="C528" s="62"/>
      <x:c r="D528" s="66"/>
      <x:c r="E528" s="68"/>
      <x:c r="F528" s="62"/>
      <x:c r="G528" s="62"/>
      <x:c r="H528" s="62"/>
      <x:c r="I528" s="62"/>
      <x:c r="J528" s="62"/>
      <x:c r="K528" s="62"/>
      <x:c r="L528" s="62"/>
      <x:c r="M528" s="68"/>
      <x:c r="N528" s="68"/>
      <x:c r="O528" s="68"/>
      <x:c r="P528" s="71" t="str">
        <x:f>IF(A528="","",IF(N528&gt;0,N528,M528))</x:f>
      </x:c>
      <x:c r="Q528" s="72" t="n">
        <x:f>IF(A528="",0,IF(COUNTIF($A$5:A528,A528)=1,1,0))</x:f>
        <x:v>0</x:v>
      </x:c>
      <x:c r="R528" s="64" t="str">
        <x:f>IF(A528="","",IF(F528="C528成功",IF(AND(J528&lt;&gt;"",K528&lt;&gt;"",N528&gt;0),"有证据","缺C528证据"),IF(F528="C528发货确认中",IF(AND(J528&lt;&gt;"",K528&lt;&gt;""),"有证据","缺C528证据"),IF(F528="手动完结",IF(OR(L528&lt;&gt;"",O528&lt;&gt;"",S528&lt;&gt;""),"有记录","缺手工证据"),IF(OR(F528="卖出待补仓",F528="提交结果待确认",F528="异常待处理"),"持续跟踪","检查状态")))))</x:f>
      </x:c>
      <x:c r="T528" s="64" t="str">
        <x:f>IF(A528="","",IF(COUNTIF($A$5:$A$1204,A528)&gt;1,"重复",""))</x:f>
      </x:c>
      <x:c r="U528" s="64" t="str">
        <x:f>IF(A528="","",IF(T528="重复","检查重复",IF(OR(R528="有证据",R528="有记录",R528="持续跟踪"),"可追踪","检查")))</x:f>
      </x:c>
    </x:row>
    <x:row r="529">
      <x:c r="A529" s="62"/>
      <x:c r="B529" s="62"/>
      <x:c r="C529" s="62"/>
      <x:c r="D529" s="66"/>
      <x:c r="E529" s="68"/>
      <x:c r="F529" s="62"/>
      <x:c r="G529" s="62"/>
      <x:c r="H529" s="62"/>
      <x:c r="I529" s="62"/>
      <x:c r="J529" s="62"/>
      <x:c r="K529" s="62"/>
      <x:c r="L529" s="62"/>
      <x:c r="M529" s="68"/>
      <x:c r="N529" s="68"/>
      <x:c r="O529" s="68"/>
      <x:c r="P529" s="71" t="str">
        <x:f>IF(A529="","",IF(N529&gt;0,N529,M529))</x:f>
      </x:c>
      <x:c r="Q529" s="72" t="n">
        <x:f>IF(A529="",0,IF(COUNTIF($A$5:A529,A529)=1,1,0))</x:f>
        <x:v>0</x:v>
      </x:c>
      <x:c r="R529" s="64" t="str">
        <x:f>IF(A529="","",IF(F529="C529成功",IF(AND(J529&lt;&gt;"",K529&lt;&gt;"",N529&gt;0),"有证据","缺C529证据"),IF(F529="C529发货确认中",IF(AND(J529&lt;&gt;"",K529&lt;&gt;""),"有证据","缺C529证据"),IF(F529="手动完结",IF(OR(L529&lt;&gt;"",O529&lt;&gt;"",S529&lt;&gt;""),"有记录","缺手工证据"),IF(OR(F529="卖出待补仓",F529="提交结果待确认",F529="异常待处理"),"持续跟踪","检查状态")))))</x:f>
      </x:c>
      <x:c r="T529" s="64" t="str">
        <x:f>IF(A529="","",IF(COUNTIF($A$5:$A$1204,A529)&gt;1,"重复",""))</x:f>
      </x:c>
      <x:c r="U529" s="64" t="str">
        <x:f>IF(A529="","",IF(T529="重复","检查重复",IF(OR(R529="有证据",R529="有记录",R529="持续跟踪"),"可追踪","检查")))</x:f>
      </x:c>
    </x:row>
    <x:row r="530">
      <x:c r="A530" s="62"/>
      <x:c r="B530" s="62"/>
      <x:c r="C530" s="62"/>
      <x:c r="D530" s="66"/>
      <x:c r="E530" s="68"/>
      <x:c r="F530" s="62"/>
      <x:c r="G530" s="62"/>
      <x:c r="H530" s="62"/>
      <x:c r="I530" s="62"/>
      <x:c r="J530" s="62"/>
      <x:c r="K530" s="62"/>
      <x:c r="L530" s="62"/>
      <x:c r="M530" s="68"/>
      <x:c r="N530" s="68"/>
      <x:c r="O530" s="68"/>
      <x:c r="P530" s="71" t="str">
        <x:f>IF(A530="","",IF(N530&gt;0,N530,M530))</x:f>
      </x:c>
      <x:c r="Q530" s="72" t="n">
        <x:f>IF(A530="",0,IF(COUNTIF($A$5:A530,A530)=1,1,0))</x:f>
        <x:v>0</x:v>
      </x:c>
      <x:c r="R530" s="64" t="str">
        <x:f>IF(A530="","",IF(F530="C530成功",IF(AND(J530&lt;&gt;"",K530&lt;&gt;"",N530&gt;0),"有证据","缺C530证据"),IF(F530="C530发货确认中",IF(AND(J530&lt;&gt;"",K530&lt;&gt;""),"有证据","缺C530证据"),IF(F530="手动完结",IF(OR(L530&lt;&gt;"",O530&lt;&gt;"",S530&lt;&gt;""),"有记录","缺手工证据"),IF(OR(F530="卖出待补仓",F530="提交结果待确认",F530="异常待处理"),"持续跟踪","检查状态")))))</x:f>
      </x:c>
      <x:c r="T530" s="64" t="str">
        <x:f>IF(A530="","",IF(COUNTIF($A$5:$A$1204,A530)&gt;1,"重复",""))</x:f>
      </x:c>
      <x:c r="U530" s="64" t="str">
        <x:f>IF(A530="","",IF(T530="重复","检查重复",IF(OR(R530="有证据",R530="有记录",R530="持续跟踪"),"可追踪","检查")))</x:f>
      </x:c>
    </x:row>
    <x:row r="531">
      <x:c r="A531" s="62"/>
      <x:c r="B531" s="62"/>
      <x:c r="C531" s="62"/>
      <x:c r="D531" s="66"/>
      <x:c r="E531" s="68"/>
      <x:c r="F531" s="62"/>
      <x:c r="G531" s="62"/>
      <x:c r="H531" s="62"/>
      <x:c r="I531" s="62"/>
      <x:c r="J531" s="62"/>
      <x:c r="K531" s="62"/>
      <x:c r="L531" s="62"/>
      <x:c r="M531" s="68"/>
      <x:c r="N531" s="68"/>
      <x:c r="O531" s="68"/>
      <x:c r="P531" s="71" t="str">
        <x:f>IF(A531="","",IF(N531&gt;0,N531,M531))</x:f>
      </x:c>
      <x:c r="Q531" s="72" t="n">
        <x:f>IF(A531="",0,IF(COUNTIF($A$5:A531,A531)=1,1,0))</x:f>
        <x:v>0</x:v>
      </x:c>
      <x:c r="R531" s="64" t="str">
        <x:f>IF(A531="","",IF(F531="C531成功",IF(AND(J531&lt;&gt;"",K531&lt;&gt;"",N531&gt;0),"有证据","缺C531证据"),IF(F531="C531发货确认中",IF(AND(J531&lt;&gt;"",K531&lt;&gt;""),"有证据","缺C531证据"),IF(F531="手动完结",IF(OR(L531&lt;&gt;"",O531&lt;&gt;"",S531&lt;&gt;""),"有记录","缺手工证据"),IF(OR(F531="卖出待补仓",F531="提交结果待确认",F531="异常待处理"),"持续跟踪","检查状态")))))</x:f>
      </x:c>
      <x:c r="T531" s="64" t="str">
        <x:f>IF(A531="","",IF(COUNTIF($A$5:$A$1204,A531)&gt;1,"重复",""))</x:f>
      </x:c>
      <x:c r="U531" s="64" t="str">
        <x:f>IF(A531="","",IF(T531="重复","检查重复",IF(OR(R531="有证据",R531="有记录",R531="持续跟踪"),"可追踪","检查")))</x:f>
      </x:c>
    </x:row>
    <x:row r="532">
      <x:c r="A532" s="62"/>
      <x:c r="B532" s="62"/>
      <x:c r="C532" s="62"/>
      <x:c r="D532" s="66"/>
      <x:c r="E532" s="68"/>
      <x:c r="F532" s="62"/>
      <x:c r="G532" s="62"/>
      <x:c r="H532" s="62"/>
      <x:c r="I532" s="62"/>
      <x:c r="J532" s="62"/>
      <x:c r="K532" s="62"/>
      <x:c r="L532" s="62"/>
      <x:c r="M532" s="68"/>
      <x:c r="N532" s="68"/>
      <x:c r="O532" s="68"/>
      <x:c r="P532" s="71" t="str">
        <x:f>IF(A532="","",IF(N532&gt;0,N532,M532))</x:f>
      </x:c>
      <x:c r="Q532" s="72" t="n">
        <x:f>IF(A532="",0,IF(COUNTIF($A$5:A532,A532)=1,1,0))</x:f>
        <x:v>0</x:v>
      </x:c>
      <x:c r="R532" s="64" t="str">
        <x:f>IF(A532="","",IF(F532="C532成功",IF(AND(J532&lt;&gt;"",K532&lt;&gt;"",N532&gt;0),"有证据","缺C532证据"),IF(F532="C532发货确认中",IF(AND(J532&lt;&gt;"",K532&lt;&gt;""),"有证据","缺C532证据"),IF(F532="手动完结",IF(OR(L532&lt;&gt;"",O532&lt;&gt;"",S532&lt;&gt;""),"有记录","缺手工证据"),IF(OR(F532="卖出待补仓",F532="提交结果待确认",F532="异常待处理"),"持续跟踪","检查状态")))))</x:f>
      </x:c>
      <x:c r="T532" s="64" t="str">
        <x:f>IF(A532="","",IF(COUNTIF($A$5:$A$1204,A532)&gt;1,"重复",""))</x:f>
      </x:c>
      <x:c r="U532" s="64" t="str">
        <x:f>IF(A532="","",IF(T532="重复","检查重复",IF(OR(R532="有证据",R532="有记录",R532="持续跟踪"),"可追踪","检查")))</x:f>
      </x:c>
    </x:row>
    <x:row r="533">
      <x:c r="A533" s="62"/>
      <x:c r="B533" s="62"/>
      <x:c r="C533" s="62"/>
      <x:c r="D533" s="66"/>
      <x:c r="E533" s="68"/>
      <x:c r="F533" s="62"/>
      <x:c r="G533" s="62"/>
      <x:c r="H533" s="62"/>
      <x:c r="I533" s="62"/>
      <x:c r="J533" s="62"/>
      <x:c r="K533" s="62"/>
      <x:c r="L533" s="62"/>
      <x:c r="M533" s="68"/>
      <x:c r="N533" s="68"/>
      <x:c r="O533" s="68"/>
      <x:c r="P533" s="71" t="str">
        <x:f>IF(A533="","",IF(N533&gt;0,N533,M533))</x:f>
      </x:c>
      <x:c r="Q533" s="72" t="n">
        <x:f>IF(A533="",0,IF(COUNTIF($A$5:A533,A533)=1,1,0))</x:f>
        <x:v>0</x:v>
      </x:c>
      <x:c r="R533" s="64" t="str">
        <x:f>IF(A533="","",IF(F533="C533成功",IF(AND(J533&lt;&gt;"",K533&lt;&gt;"",N533&gt;0),"有证据","缺C533证据"),IF(F533="C533发货确认中",IF(AND(J533&lt;&gt;"",K533&lt;&gt;""),"有证据","缺C533证据"),IF(F533="手动完结",IF(OR(L533&lt;&gt;"",O533&lt;&gt;"",S533&lt;&gt;""),"有记录","缺手工证据"),IF(OR(F533="卖出待补仓",F533="提交结果待确认",F533="异常待处理"),"持续跟踪","检查状态")))))</x:f>
      </x:c>
      <x:c r="T533" s="64" t="str">
        <x:f>IF(A533="","",IF(COUNTIF($A$5:$A$1204,A533)&gt;1,"重复",""))</x:f>
      </x:c>
      <x:c r="U533" s="64" t="str">
        <x:f>IF(A533="","",IF(T533="重复","检查重复",IF(OR(R533="有证据",R533="有记录",R533="持续跟踪"),"可追踪","检查")))</x:f>
      </x:c>
    </x:row>
    <x:row r="534">
      <x:c r="A534" s="62"/>
      <x:c r="B534" s="62"/>
      <x:c r="C534" s="62"/>
      <x:c r="D534" s="66"/>
      <x:c r="E534" s="68"/>
      <x:c r="F534" s="62"/>
      <x:c r="G534" s="62"/>
      <x:c r="H534" s="62"/>
      <x:c r="I534" s="62"/>
      <x:c r="J534" s="62"/>
      <x:c r="K534" s="62"/>
      <x:c r="L534" s="62"/>
      <x:c r="M534" s="68"/>
      <x:c r="N534" s="68"/>
      <x:c r="O534" s="68"/>
      <x:c r="P534" s="71" t="str">
        <x:f>IF(A534="","",IF(N534&gt;0,N534,M534))</x:f>
      </x:c>
      <x:c r="Q534" s="72" t="n">
        <x:f>IF(A534="",0,IF(COUNTIF($A$5:A534,A534)=1,1,0))</x:f>
        <x:v>0</x:v>
      </x:c>
      <x:c r="R534" s="64" t="str">
        <x:f>IF(A534="","",IF(F534="C534成功",IF(AND(J534&lt;&gt;"",K534&lt;&gt;"",N534&gt;0),"有证据","缺C534证据"),IF(F534="C534发货确认中",IF(AND(J534&lt;&gt;"",K534&lt;&gt;""),"有证据","缺C534证据"),IF(F534="手动完结",IF(OR(L534&lt;&gt;"",O534&lt;&gt;"",S534&lt;&gt;""),"有记录","缺手工证据"),IF(OR(F534="卖出待补仓",F534="提交结果待确认",F534="异常待处理"),"持续跟踪","检查状态")))))</x:f>
      </x:c>
      <x:c r="T534" s="64" t="str">
        <x:f>IF(A534="","",IF(COUNTIF($A$5:$A$1204,A534)&gt;1,"重复",""))</x:f>
      </x:c>
      <x:c r="U534" s="64" t="str">
        <x:f>IF(A534="","",IF(T534="重复","检查重复",IF(OR(R534="有证据",R534="有记录",R534="持续跟踪"),"可追踪","检查")))</x:f>
      </x:c>
    </x:row>
    <x:row r="535">
      <x:c r="A535" s="62"/>
      <x:c r="B535" s="62"/>
      <x:c r="C535" s="62"/>
      <x:c r="D535" s="66"/>
      <x:c r="E535" s="68"/>
      <x:c r="F535" s="62"/>
      <x:c r="G535" s="62"/>
      <x:c r="H535" s="62"/>
      <x:c r="I535" s="62"/>
      <x:c r="J535" s="62"/>
      <x:c r="K535" s="62"/>
      <x:c r="L535" s="62"/>
      <x:c r="M535" s="68"/>
      <x:c r="N535" s="68"/>
      <x:c r="O535" s="68"/>
      <x:c r="P535" s="71" t="str">
        <x:f>IF(A535="","",IF(N535&gt;0,N535,M535))</x:f>
      </x:c>
      <x:c r="Q535" s="72" t="n">
        <x:f>IF(A535="",0,IF(COUNTIF($A$5:A535,A535)=1,1,0))</x:f>
        <x:v>0</x:v>
      </x:c>
      <x:c r="R535" s="64" t="str">
        <x:f>IF(A535="","",IF(F535="C535成功",IF(AND(J535&lt;&gt;"",K535&lt;&gt;"",N535&gt;0),"有证据","缺C535证据"),IF(F535="C535发货确认中",IF(AND(J535&lt;&gt;"",K535&lt;&gt;""),"有证据","缺C535证据"),IF(F535="手动完结",IF(OR(L535&lt;&gt;"",O535&lt;&gt;"",S535&lt;&gt;""),"有记录","缺手工证据"),IF(OR(F535="卖出待补仓",F535="提交结果待确认",F535="异常待处理"),"持续跟踪","检查状态")))))</x:f>
      </x:c>
      <x:c r="T535" s="64" t="str">
        <x:f>IF(A535="","",IF(COUNTIF($A$5:$A$1204,A535)&gt;1,"重复",""))</x:f>
      </x:c>
      <x:c r="U535" s="64" t="str">
        <x:f>IF(A535="","",IF(T535="重复","检查重复",IF(OR(R535="有证据",R535="有记录",R535="持续跟踪"),"可追踪","检查")))</x:f>
      </x:c>
    </x:row>
    <x:row r="536">
      <x:c r="A536" s="62"/>
      <x:c r="B536" s="62"/>
      <x:c r="C536" s="62"/>
      <x:c r="D536" s="66"/>
      <x:c r="E536" s="68"/>
      <x:c r="F536" s="62"/>
      <x:c r="G536" s="62"/>
      <x:c r="H536" s="62"/>
      <x:c r="I536" s="62"/>
      <x:c r="J536" s="62"/>
      <x:c r="K536" s="62"/>
      <x:c r="L536" s="62"/>
      <x:c r="M536" s="68"/>
      <x:c r="N536" s="68"/>
      <x:c r="O536" s="68"/>
      <x:c r="P536" s="71" t="str">
        <x:f>IF(A536="","",IF(N536&gt;0,N536,M536))</x:f>
      </x:c>
      <x:c r="Q536" s="72" t="n">
        <x:f>IF(A536="",0,IF(COUNTIF($A$5:A536,A536)=1,1,0))</x:f>
        <x:v>0</x:v>
      </x:c>
      <x:c r="R536" s="64" t="str">
        <x:f>IF(A536="","",IF(F536="C536成功",IF(AND(J536&lt;&gt;"",K536&lt;&gt;"",N536&gt;0),"有证据","缺C536证据"),IF(F536="C536发货确认中",IF(AND(J536&lt;&gt;"",K536&lt;&gt;""),"有证据","缺C536证据"),IF(F536="手动完结",IF(OR(L536&lt;&gt;"",O536&lt;&gt;"",S536&lt;&gt;""),"有记录","缺手工证据"),IF(OR(F536="卖出待补仓",F536="提交结果待确认",F536="异常待处理"),"持续跟踪","检查状态")))))</x:f>
      </x:c>
      <x:c r="T536" s="64" t="str">
        <x:f>IF(A536="","",IF(COUNTIF($A$5:$A$1204,A536)&gt;1,"重复",""))</x:f>
      </x:c>
      <x:c r="U536" s="64" t="str">
        <x:f>IF(A536="","",IF(T536="重复","检查重复",IF(OR(R536="有证据",R536="有记录",R536="持续跟踪"),"可追踪","检查")))</x:f>
      </x:c>
    </x:row>
    <x:row r="537">
      <x:c r="A537" s="62"/>
      <x:c r="B537" s="62"/>
      <x:c r="C537" s="62"/>
      <x:c r="D537" s="66"/>
      <x:c r="E537" s="68"/>
      <x:c r="F537" s="62"/>
      <x:c r="G537" s="62"/>
      <x:c r="H537" s="62"/>
      <x:c r="I537" s="62"/>
      <x:c r="J537" s="62"/>
      <x:c r="K537" s="62"/>
      <x:c r="L537" s="62"/>
      <x:c r="M537" s="68"/>
      <x:c r="N537" s="68"/>
      <x:c r="O537" s="68"/>
      <x:c r="P537" s="71" t="str">
        <x:f>IF(A537="","",IF(N537&gt;0,N537,M537))</x:f>
      </x:c>
      <x:c r="Q537" s="72" t="n">
        <x:f>IF(A537="",0,IF(COUNTIF($A$5:A537,A537)=1,1,0))</x:f>
        <x:v>0</x:v>
      </x:c>
      <x:c r="R537" s="64" t="str">
        <x:f>IF(A537="","",IF(F537="C537成功",IF(AND(J537&lt;&gt;"",K537&lt;&gt;"",N537&gt;0),"有证据","缺C537证据"),IF(F537="C537发货确认中",IF(AND(J537&lt;&gt;"",K537&lt;&gt;""),"有证据","缺C537证据"),IF(F537="手动完结",IF(OR(L537&lt;&gt;"",O537&lt;&gt;"",S537&lt;&gt;""),"有记录","缺手工证据"),IF(OR(F537="卖出待补仓",F537="提交结果待确认",F537="异常待处理"),"持续跟踪","检查状态")))))</x:f>
      </x:c>
      <x:c r="T537" s="64" t="str">
        <x:f>IF(A537="","",IF(COUNTIF($A$5:$A$1204,A537)&gt;1,"重复",""))</x:f>
      </x:c>
      <x:c r="U537" s="64" t="str">
        <x:f>IF(A537="","",IF(T537="重复","检查重复",IF(OR(R537="有证据",R537="有记录",R537="持续跟踪"),"可追踪","检查")))</x:f>
      </x:c>
    </x:row>
    <x:row r="538">
      <x:c r="A538" s="62"/>
      <x:c r="B538" s="62"/>
      <x:c r="C538" s="62"/>
      <x:c r="D538" s="66"/>
      <x:c r="E538" s="68"/>
      <x:c r="F538" s="62"/>
      <x:c r="G538" s="62"/>
      <x:c r="H538" s="62"/>
      <x:c r="I538" s="62"/>
      <x:c r="J538" s="62"/>
      <x:c r="K538" s="62"/>
      <x:c r="L538" s="62"/>
      <x:c r="M538" s="68"/>
      <x:c r="N538" s="68"/>
      <x:c r="O538" s="68"/>
      <x:c r="P538" s="71" t="str">
        <x:f>IF(A538="","",IF(N538&gt;0,N538,M538))</x:f>
      </x:c>
      <x:c r="Q538" s="72" t="n">
        <x:f>IF(A538="",0,IF(COUNTIF($A$5:A538,A538)=1,1,0))</x:f>
        <x:v>0</x:v>
      </x:c>
      <x:c r="R538" s="64" t="str">
        <x:f>IF(A538="","",IF(F538="C538成功",IF(AND(J538&lt;&gt;"",K538&lt;&gt;"",N538&gt;0),"有证据","缺C538证据"),IF(F538="C538发货确认中",IF(AND(J538&lt;&gt;"",K538&lt;&gt;""),"有证据","缺C538证据"),IF(F538="手动完结",IF(OR(L538&lt;&gt;"",O538&lt;&gt;"",S538&lt;&gt;""),"有记录","缺手工证据"),IF(OR(F538="卖出待补仓",F538="提交结果待确认",F538="异常待处理"),"持续跟踪","检查状态")))))</x:f>
      </x:c>
      <x:c r="T538" s="64" t="str">
        <x:f>IF(A538="","",IF(COUNTIF($A$5:$A$1204,A538)&gt;1,"重复",""))</x:f>
      </x:c>
      <x:c r="U538" s="64" t="str">
        <x:f>IF(A538="","",IF(T538="重复","检查重复",IF(OR(R538="有证据",R538="有记录",R538="持续跟踪"),"可追踪","检查")))</x:f>
      </x:c>
    </x:row>
    <x:row r="539">
      <x:c r="A539" s="62"/>
      <x:c r="B539" s="62"/>
      <x:c r="C539" s="62"/>
      <x:c r="D539" s="66"/>
      <x:c r="E539" s="68"/>
      <x:c r="F539" s="62"/>
      <x:c r="G539" s="62"/>
      <x:c r="H539" s="62"/>
      <x:c r="I539" s="62"/>
      <x:c r="J539" s="62"/>
      <x:c r="K539" s="62"/>
      <x:c r="L539" s="62"/>
      <x:c r="M539" s="68"/>
      <x:c r="N539" s="68"/>
      <x:c r="O539" s="68"/>
      <x:c r="P539" s="71" t="str">
        <x:f>IF(A539="","",IF(N539&gt;0,N539,M539))</x:f>
      </x:c>
      <x:c r="Q539" s="72" t="n">
        <x:f>IF(A539="",0,IF(COUNTIF($A$5:A539,A539)=1,1,0))</x:f>
        <x:v>0</x:v>
      </x:c>
      <x:c r="R539" s="64" t="str">
        <x:f>IF(A539="","",IF(F539="C539成功",IF(AND(J539&lt;&gt;"",K539&lt;&gt;"",N539&gt;0),"有证据","缺C539证据"),IF(F539="C539发货确认中",IF(AND(J539&lt;&gt;"",K539&lt;&gt;""),"有证据","缺C539证据"),IF(F539="手动完结",IF(OR(L539&lt;&gt;"",O539&lt;&gt;"",S539&lt;&gt;""),"有记录","缺手工证据"),IF(OR(F539="卖出待补仓",F539="提交结果待确认",F539="异常待处理"),"持续跟踪","检查状态")))))</x:f>
      </x:c>
      <x:c r="T539" s="64" t="str">
        <x:f>IF(A539="","",IF(COUNTIF($A$5:$A$1204,A539)&gt;1,"重复",""))</x:f>
      </x:c>
      <x:c r="U539" s="64" t="str">
        <x:f>IF(A539="","",IF(T539="重复","检查重复",IF(OR(R539="有证据",R539="有记录",R539="持续跟踪"),"可追踪","检查")))</x:f>
      </x:c>
    </x:row>
    <x:row r="540">
      <x:c r="A540" s="62"/>
      <x:c r="B540" s="62"/>
      <x:c r="C540" s="62"/>
      <x:c r="D540" s="66"/>
      <x:c r="E540" s="68"/>
      <x:c r="F540" s="62"/>
      <x:c r="G540" s="62"/>
      <x:c r="H540" s="62"/>
      <x:c r="I540" s="62"/>
      <x:c r="J540" s="62"/>
      <x:c r="K540" s="62"/>
      <x:c r="L540" s="62"/>
      <x:c r="M540" s="68"/>
      <x:c r="N540" s="68"/>
      <x:c r="O540" s="68"/>
      <x:c r="P540" s="71" t="str">
        <x:f>IF(A540="","",IF(N540&gt;0,N540,M540))</x:f>
      </x:c>
      <x:c r="Q540" s="72" t="n">
        <x:f>IF(A540="",0,IF(COUNTIF($A$5:A540,A540)=1,1,0))</x:f>
        <x:v>0</x:v>
      </x:c>
      <x:c r="R540" s="64" t="str">
        <x:f>IF(A540="","",IF(F540="C540成功",IF(AND(J540&lt;&gt;"",K540&lt;&gt;"",N540&gt;0),"有证据","缺C540证据"),IF(F540="C540发货确认中",IF(AND(J540&lt;&gt;"",K540&lt;&gt;""),"有证据","缺C540证据"),IF(F540="手动完结",IF(OR(L540&lt;&gt;"",O540&lt;&gt;"",S540&lt;&gt;""),"有记录","缺手工证据"),IF(OR(F540="卖出待补仓",F540="提交结果待确认",F540="异常待处理"),"持续跟踪","检查状态")))))</x:f>
      </x:c>
      <x:c r="T540" s="64" t="str">
        <x:f>IF(A540="","",IF(COUNTIF($A$5:$A$1204,A540)&gt;1,"重复",""))</x:f>
      </x:c>
      <x:c r="U540" s="64" t="str">
        <x:f>IF(A540="","",IF(T540="重复","检查重复",IF(OR(R540="有证据",R540="有记录",R540="持续跟踪"),"可追踪","检查")))</x:f>
      </x:c>
    </x:row>
    <x:row r="541">
      <x:c r="A541" s="62"/>
      <x:c r="B541" s="62"/>
      <x:c r="C541" s="62"/>
      <x:c r="D541" s="66"/>
      <x:c r="E541" s="68"/>
      <x:c r="F541" s="62"/>
      <x:c r="G541" s="62"/>
      <x:c r="H541" s="62"/>
      <x:c r="I541" s="62"/>
      <x:c r="J541" s="62"/>
      <x:c r="K541" s="62"/>
      <x:c r="L541" s="62"/>
      <x:c r="M541" s="68"/>
      <x:c r="N541" s="68"/>
      <x:c r="O541" s="68"/>
      <x:c r="P541" s="71" t="str">
        <x:f>IF(A541="","",IF(N541&gt;0,N541,M541))</x:f>
      </x:c>
      <x:c r="Q541" s="72" t="n">
        <x:f>IF(A541="",0,IF(COUNTIF($A$5:A541,A541)=1,1,0))</x:f>
        <x:v>0</x:v>
      </x:c>
      <x:c r="R541" s="64" t="str">
        <x:f>IF(A541="","",IF(F541="C541成功",IF(AND(J541&lt;&gt;"",K541&lt;&gt;"",N541&gt;0),"有证据","缺C541证据"),IF(F541="C541发货确认中",IF(AND(J541&lt;&gt;"",K541&lt;&gt;""),"有证据","缺C541证据"),IF(F541="手动完结",IF(OR(L541&lt;&gt;"",O541&lt;&gt;"",S541&lt;&gt;""),"有记录","缺手工证据"),IF(OR(F541="卖出待补仓",F541="提交结果待确认",F541="异常待处理"),"持续跟踪","检查状态")))))</x:f>
      </x:c>
      <x:c r="T541" s="64" t="str">
        <x:f>IF(A541="","",IF(COUNTIF($A$5:$A$1204,A541)&gt;1,"重复",""))</x:f>
      </x:c>
      <x:c r="U541" s="64" t="str">
        <x:f>IF(A541="","",IF(T541="重复","检查重复",IF(OR(R541="有证据",R541="有记录",R541="持续跟踪"),"可追踪","检查")))</x:f>
      </x:c>
    </x:row>
    <x:row r="542">
      <x:c r="A542" s="62"/>
      <x:c r="B542" s="62"/>
      <x:c r="C542" s="62"/>
      <x:c r="D542" s="66"/>
      <x:c r="E542" s="68"/>
      <x:c r="F542" s="62"/>
      <x:c r="G542" s="62"/>
      <x:c r="H542" s="62"/>
      <x:c r="I542" s="62"/>
      <x:c r="J542" s="62"/>
      <x:c r="K542" s="62"/>
      <x:c r="L542" s="62"/>
      <x:c r="M542" s="68"/>
      <x:c r="N542" s="68"/>
      <x:c r="O542" s="68"/>
      <x:c r="P542" s="71" t="str">
        <x:f>IF(A542="","",IF(N542&gt;0,N542,M542))</x:f>
      </x:c>
      <x:c r="Q542" s="72" t="n">
        <x:f>IF(A542="",0,IF(COUNTIF($A$5:A542,A542)=1,1,0))</x:f>
        <x:v>0</x:v>
      </x:c>
      <x:c r="R542" s="64" t="str">
        <x:f>IF(A542="","",IF(F542="C542成功",IF(AND(J542&lt;&gt;"",K542&lt;&gt;"",N542&gt;0),"有证据","缺C542证据"),IF(F542="C542发货确认中",IF(AND(J542&lt;&gt;"",K542&lt;&gt;""),"有证据","缺C542证据"),IF(F542="手动完结",IF(OR(L542&lt;&gt;"",O542&lt;&gt;"",S542&lt;&gt;""),"有记录","缺手工证据"),IF(OR(F542="卖出待补仓",F542="提交结果待确认",F542="异常待处理"),"持续跟踪","检查状态")))))</x:f>
      </x:c>
      <x:c r="T542" s="64" t="str">
        <x:f>IF(A542="","",IF(COUNTIF($A$5:$A$1204,A542)&gt;1,"重复",""))</x:f>
      </x:c>
      <x:c r="U542" s="64" t="str">
        <x:f>IF(A542="","",IF(T542="重复","检查重复",IF(OR(R542="有证据",R542="有记录",R542="持续跟踪"),"可追踪","检查")))</x:f>
      </x:c>
    </x:row>
    <x:row r="543">
      <x:c r="A543" s="62"/>
      <x:c r="B543" s="62"/>
      <x:c r="C543" s="62"/>
      <x:c r="D543" s="66"/>
      <x:c r="E543" s="68"/>
      <x:c r="F543" s="62"/>
      <x:c r="G543" s="62"/>
      <x:c r="H543" s="62"/>
      <x:c r="I543" s="62"/>
      <x:c r="J543" s="62"/>
      <x:c r="K543" s="62"/>
      <x:c r="L543" s="62"/>
      <x:c r="M543" s="68"/>
      <x:c r="N543" s="68"/>
      <x:c r="O543" s="68"/>
      <x:c r="P543" s="71" t="str">
        <x:f>IF(A543="","",IF(N543&gt;0,N543,M543))</x:f>
      </x:c>
      <x:c r="Q543" s="72" t="n">
        <x:f>IF(A543="",0,IF(COUNTIF($A$5:A543,A543)=1,1,0))</x:f>
        <x:v>0</x:v>
      </x:c>
      <x:c r="R543" s="64" t="str">
        <x:f>IF(A543="","",IF(F543="C543成功",IF(AND(J543&lt;&gt;"",K543&lt;&gt;"",N543&gt;0),"有证据","缺C543证据"),IF(F543="C543发货确认中",IF(AND(J543&lt;&gt;"",K543&lt;&gt;""),"有证据","缺C543证据"),IF(F543="手动完结",IF(OR(L543&lt;&gt;"",O543&lt;&gt;"",S543&lt;&gt;""),"有记录","缺手工证据"),IF(OR(F543="卖出待补仓",F543="提交结果待确认",F543="异常待处理"),"持续跟踪","检查状态")))))</x:f>
      </x:c>
      <x:c r="T543" s="64" t="str">
        <x:f>IF(A543="","",IF(COUNTIF($A$5:$A$1204,A543)&gt;1,"重复",""))</x:f>
      </x:c>
      <x:c r="U543" s="64" t="str">
        <x:f>IF(A543="","",IF(T543="重复","检查重复",IF(OR(R543="有证据",R543="有记录",R543="持续跟踪"),"可追踪","检查")))</x:f>
      </x:c>
    </x:row>
    <x:row r="544">
      <x:c r="A544" s="62"/>
      <x:c r="B544" s="62"/>
      <x:c r="C544" s="62"/>
      <x:c r="D544" s="66"/>
      <x:c r="E544" s="68"/>
      <x:c r="F544" s="62"/>
      <x:c r="G544" s="62"/>
      <x:c r="H544" s="62"/>
      <x:c r="I544" s="62"/>
      <x:c r="J544" s="62"/>
      <x:c r="K544" s="62"/>
      <x:c r="L544" s="62"/>
      <x:c r="M544" s="68"/>
      <x:c r="N544" s="68"/>
      <x:c r="O544" s="68"/>
      <x:c r="P544" s="71" t="str">
        <x:f>IF(A544="","",IF(N544&gt;0,N544,M544))</x:f>
      </x:c>
      <x:c r="Q544" s="72" t="n">
        <x:f>IF(A544="",0,IF(COUNTIF($A$5:A544,A544)=1,1,0))</x:f>
        <x:v>0</x:v>
      </x:c>
      <x:c r="R544" s="64" t="str">
        <x:f>IF(A544="","",IF(F544="C544成功",IF(AND(J544&lt;&gt;"",K544&lt;&gt;"",N544&gt;0),"有证据","缺C544证据"),IF(F544="C544发货确认中",IF(AND(J544&lt;&gt;"",K544&lt;&gt;""),"有证据","缺C544证据"),IF(F544="手动完结",IF(OR(L544&lt;&gt;"",O544&lt;&gt;"",S544&lt;&gt;""),"有记录","缺手工证据"),IF(OR(F544="卖出待补仓",F544="提交结果待确认",F544="异常待处理"),"持续跟踪","检查状态")))))</x:f>
      </x:c>
      <x:c r="T544" s="64" t="str">
        <x:f>IF(A544="","",IF(COUNTIF($A$5:$A$1204,A544)&gt;1,"重复",""))</x:f>
      </x:c>
      <x:c r="U544" s="64" t="str">
        <x:f>IF(A544="","",IF(T544="重复","检查重复",IF(OR(R544="有证据",R544="有记录",R544="持续跟踪"),"可追踪","检查")))</x:f>
      </x:c>
    </x:row>
    <x:row r="545">
      <x:c r="A545" s="62"/>
      <x:c r="B545" s="62"/>
      <x:c r="C545" s="62"/>
      <x:c r="D545" s="66"/>
      <x:c r="E545" s="68"/>
      <x:c r="F545" s="62"/>
      <x:c r="G545" s="62"/>
      <x:c r="H545" s="62"/>
      <x:c r="I545" s="62"/>
      <x:c r="J545" s="62"/>
      <x:c r="K545" s="62"/>
      <x:c r="L545" s="62"/>
      <x:c r="M545" s="68"/>
      <x:c r="N545" s="68"/>
      <x:c r="O545" s="68"/>
      <x:c r="P545" s="71" t="str">
        <x:f>IF(A545="","",IF(N545&gt;0,N545,M545))</x:f>
      </x:c>
      <x:c r="Q545" s="72" t="n">
        <x:f>IF(A545="",0,IF(COUNTIF($A$5:A545,A545)=1,1,0))</x:f>
        <x:v>0</x:v>
      </x:c>
      <x:c r="R545" s="64" t="str">
        <x:f>IF(A545="","",IF(F545="C545成功",IF(AND(J545&lt;&gt;"",K545&lt;&gt;"",N545&gt;0),"有证据","缺C545证据"),IF(F545="C545发货确认中",IF(AND(J545&lt;&gt;"",K545&lt;&gt;""),"有证据","缺C545证据"),IF(F545="手动完结",IF(OR(L545&lt;&gt;"",O545&lt;&gt;"",S545&lt;&gt;""),"有记录","缺手工证据"),IF(OR(F545="卖出待补仓",F545="提交结果待确认",F545="异常待处理"),"持续跟踪","检查状态")))))</x:f>
      </x:c>
      <x:c r="T545" s="64" t="str">
        <x:f>IF(A545="","",IF(COUNTIF($A$5:$A$1204,A545)&gt;1,"重复",""))</x:f>
      </x:c>
      <x:c r="U545" s="64" t="str">
        <x:f>IF(A545="","",IF(T545="重复","检查重复",IF(OR(R545="有证据",R545="有记录",R545="持续跟踪"),"可追踪","检查")))</x:f>
      </x:c>
    </x:row>
    <x:row r="546">
      <x:c r="A546" s="62"/>
      <x:c r="B546" s="62"/>
      <x:c r="C546" s="62"/>
      <x:c r="D546" s="66"/>
      <x:c r="E546" s="68"/>
      <x:c r="F546" s="62"/>
      <x:c r="G546" s="62"/>
      <x:c r="H546" s="62"/>
      <x:c r="I546" s="62"/>
      <x:c r="J546" s="62"/>
      <x:c r="K546" s="62"/>
      <x:c r="L546" s="62"/>
      <x:c r="M546" s="68"/>
      <x:c r="N546" s="68"/>
      <x:c r="O546" s="68"/>
      <x:c r="P546" s="71" t="str">
        <x:f>IF(A546="","",IF(N546&gt;0,N546,M546))</x:f>
      </x:c>
      <x:c r="Q546" s="72" t="n">
        <x:f>IF(A546="",0,IF(COUNTIF($A$5:A546,A546)=1,1,0))</x:f>
        <x:v>0</x:v>
      </x:c>
      <x:c r="R546" s="64" t="str">
        <x:f>IF(A546="","",IF(F546="C546成功",IF(AND(J546&lt;&gt;"",K546&lt;&gt;"",N546&gt;0),"有证据","缺C546证据"),IF(F546="C546发货确认中",IF(AND(J546&lt;&gt;"",K546&lt;&gt;""),"有证据","缺C546证据"),IF(F546="手动完结",IF(OR(L546&lt;&gt;"",O546&lt;&gt;"",S546&lt;&gt;""),"有记录","缺手工证据"),IF(OR(F546="卖出待补仓",F546="提交结果待确认",F546="异常待处理"),"持续跟踪","检查状态")))))</x:f>
      </x:c>
      <x:c r="T546" s="64" t="str">
        <x:f>IF(A546="","",IF(COUNTIF($A$5:$A$1204,A546)&gt;1,"重复",""))</x:f>
      </x:c>
      <x:c r="U546" s="64" t="str">
        <x:f>IF(A546="","",IF(T546="重复","检查重复",IF(OR(R546="有证据",R546="有记录",R546="持续跟踪"),"可追踪","检查")))</x:f>
      </x:c>
    </x:row>
    <x:row r="547">
      <x:c r="A547" s="62"/>
      <x:c r="B547" s="62"/>
      <x:c r="C547" s="62"/>
      <x:c r="D547" s="66"/>
      <x:c r="E547" s="68"/>
      <x:c r="F547" s="62"/>
      <x:c r="G547" s="62"/>
      <x:c r="H547" s="62"/>
      <x:c r="I547" s="62"/>
      <x:c r="J547" s="62"/>
      <x:c r="K547" s="62"/>
      <x:c r="L547" s="62"/>
      <x:c r="M547" s="68"/>
      <x:c r="N547" s="68"/>
      <x:c r="O547" s="68"/>
      <x:c r="P547" s="71" t="str">
        <x:f>IF(A547="","",IF(N547&gt;0,N547,M547))</x:f>
      </x:c>
      <x:c r="Q547" s="72" t="n">
        <x:f>IF(A547="",0,IF(COUNTIF($A$5:A547,A547)=1,1,0))</x:f>
        <x:v>0</x:v>
      </x:c>
      <x:c r="R547" s="64" t="str">
        <x:f>IF(A547="","",IF(F547="C547成功",IF(AND(J547&lt;&gt;"",K547&lt;&gt;"",N547&gt;0),"有证据","缺C547证据"),IF(F547="C547发货确认中",IF(AND(J547&lt;&gt;"",K547&lt;&gt;""),"有证据","缺C547证据"),IF(F547="手动完结",IF(OR(L547&lt;&gt;"",O547&lt;&gt;"",S547&lt;&gt;""),"有记录","缺手工证据"),IF(OR(F547="卖出待补仓",F547="提交结果待确认",F547="异常待处理"),"持续跟踪","检查状态")))))</x:f>
      </x:c>
      <x:c r="T547" s="64" t="str">
        <x:f>IF(A547="","",IF(COUNTIF($A$5:$A$1204,A547)&gt;1,"重复",""))</x:f>
      </x:c>
      <x:c r="U547" s="64" t="str">
        <x:f>IF(A547="","",IF(T547="重复","检查重复",IF(OR(R547="有证据",R547="有记录",R547="持续跟踪"),"可追踪","检查")))</x:f>
      </x:c>
    </x:row>
    <x:row r="548">
      <x:c r="A548" s="62"/>
      <x:c r="B548" s="62"/>
      <x:c r="C548" s="62"/>
      <x:c r="D548" s="66"/>
      <x:c r="E548" s="68"/>
      <x:c r="F548" s="62"/>
      <x:c r="G548" s="62"/>
      <x:c r="H548" s="62"/>
      <x:c r="I548" s="62"/>
      <x:c r="J548" s="62"/>
      <x:c r="K548" s="62"/>
      <x:c r="L548" s="62"/>
      <x:c r="M548" s="68"/>
      <x:c r="N548" s="68"/>
      <x:c r="O548" s="68"/>
      <x:c r="P548" s="71" t="str">
        <x:f>IF(A548="","",IF(N548&gt;0,N548,M548))</x:f>
      </x:c>
      <x:c r="Q548" s="72" t="n">
        <x:f>IF(A548="",0,IF(COUNTIF($A$5:A548,A548)=1,1,0))</x:f>
        <x:v>0</x:v>
      </x:c>
      <x:c r="R548" s="64" t="str">
        <x:f>IF(A548="","",IF(F548="C548成功",IF(AND(J548&lt;&gt;"",K548&lt;&gt;"",N548&gt;0),"有证据","缺C548证据"),IF(F548="C548发货确认中",IF(AND(J548&lt;&gt;"",K548&lt;&gt;""),"有证据","缺C548证据"),IF(F548="手动完结",IF(OR(L548&lt;&gt;"",O548&lt;&gt;"",S548&lt;&gt;""),"有记录","缺手工证据"),IF(OR(F548="卖出待补仓",F548="提交结果待确认",F548="异常待处理"),"持续跟踪","检查状态")))))</x:f>
      </x:c>
      <x:c r="T548" s="64" t="str">
        <x:f>IF(A548="","",IF(COUNTIF($A$5:$A$1204,A548)&gt;1,"重复",""))</x:f>
      </x:c>
      <x:c r="U548" s="64" t="str">
        <x:f>IF(A548="","",IF(T548="重复","检查重复",IF(OR(R548="有证据",R548="有记录",R548="持续跟踪"),"可追踪","检查")))</x:f>
      </x:c>
    </x:row>
    <x:row r="549">
      <x:c r="A549" s="62"/>
      <x:c r="B549" s="62"/>
      <x:c r="C549" s="62"/>
      <x:c r="D549" s="66"/>
      <x:c r="E549" s="68"/>
      <x:c r="F549" s="62"/>
      <x:c r="G549" s="62"/>
      <x:c r="H549" s="62"/>
      <x:c r="I549" s="62"/>
      <x:c r="J549" s="62"/>
      <x:c r="K549" s="62"/>
      <x:c r="L549" s="62"/>
      <x:c r="M549" s="68"/>
      <x:c r="N549" s="68"/>
      <x:c r="O549" s="68"/>
      <x:c r="P549" s="71" t="str">
        <x:f>IF(A549="","",IF(N549&gt;0,N549,M549))</x:f>
      </x:c>
      <x:c r="Q549" s="72" t="n">
        <x:f>IF(A549="",0,IF(COUNTIF($A$5:A549,A549)=1,1,0))</x:f>
        <x:v>0</x:v>
      </x:c>
      <x:c r="R549" s="64" t="str">
        <x:f>IF(A549="","",IF(F549="C549成功",IF(AND(J549&lt;&gt;"",K549&lt;&gt;"",N549&gt;0),"有证据","缺C549证据"),IF(F549="C549发货确认中",IF(AND(J549&lt;&gt;"",K549&lt;&gt;""),"有证据","缺C549证据"),IF(F549="手动完结",IF(OR(L549&lt;&gt;"",O549&lt;&gt;"",S549&lt;&gt;""),"有记录","缺手工证据"),IF(OR(F549="卖出待补仓",F549="提交结果待确认",F549="异常待处理"),"持续跟踪","检查状态")))))</x:f>
      </x:c>
      <x:c r="T549" s="64" t="str">
        <x:f>IF(A549="","",IF(COUNTIF($A$5:$A$1204,A549)&gt;1,"重复",""))</x:f>
      </x:c>
      <x:c r="U549" s="64" t="str">
        <x:f>IF(A549="","",IF(T549="重复","检查重复",IF(OR(R549="有证据",R549="有记录",R549="持续跟踪"),"可追踪","检查")))</x:f>
      </x:c>
    </x:row>
    <x:row r="550">
      <x:c r="A550" s="62"/>
      <x:c r="B550" s="62"/>
      <x:c r="C550" s="62"/>
      <x:c r="D550" s="66"/>
      <x:c r="E550" s="68"/>
      <x:c r="F550" s="62"/>
      <x:c r="G550" s="62"/>
      <x:c r="H550" s="62"/>
      <x:c r="I550" s="62"/>
      <x:c r="J550" s="62"/>
      <x:c r="K550" s="62"/>
      <x:c r="L550" s="62"/>
      <x:c r="M550" s="68"/>
      <x:c r="N550" s="68"/>
      <x:c r="O550" s="68"/>
      <x:c r="P550" s="71" t="str">
        <x:f>IF(A550="","",IF(N550&gt;0,N550,M550))</x:f>
      </x:c>
      <x:c r="Q550" s="72" t="n">
        <x:f>IF(A550="",0,IF(COUNTIF($A$5:A550,A550)=1,1,0))</x:f>
        <x:v>0</x:v>
      </x:c>
      <x:c r="R550" s="64" t="str">
        <x:f>IF(A550="","",IF(F550="C550成功",IF(AND(J550&lt;&gt;"",K550&lt;&gt;"",N550&gt;0),"有证据","缺C550证据"),IF(F550="C550发货确认中",IF(AND(J550&lt;&gt;"",K550&lt;&gt;""),"有证据","缺C550证据"),IF(F550="手动完结",IF(OR(L550&lt;&gt;"",O550&lt;&gt;"",S550&lt;&gt;""),"有记录","缺手工证据"),IF(OR(F550="卖出待补仓",F550="提交结果待确认",F550="异常待处理"),"持续跟踪","检查状态")))))</x:f>
      </x:c>
      <x:c r="T550" s="64" t="str">
        <x:f>IF(A550="","",IF(COUNTIF($A$5:$A$1204,A550)&gt;1,"重复",""))</x:f>
      </x:c>
      <x:c r="U550" s="64" t="str">
        <x:f>IF(A550="","",IF(T550="重复","检查重复",IF(OR(R550="有证据",R550="有记录",R550="持续跟踪"),"可追踪","检查")))</x:f>
      </x:c>
    </x:row>
    <x:row r="551">
      <x:c r="A551" s="62"/>
      <x:c r="B551" s="62"/>
      <x:c r="C551" s="62"/>
      <x:c r="D551" s="66"/>
      <x:c r="E551" s="68"/>
      <x:c r="F551" s="62"/>
      <x:c r="G551" s="62"/>
      <x:c r="H551" s="62"/>
      <x:c r="I551" s="62"/>
      <x:c r="J551" s="62"/>
      <x:c r="K551" s="62"/>
      <x:c r="L551" s="62"/>
      <x:c r="M551" s="68"/>
      <x:c r="N551" s="68"/>
      <x:c r="O551" s="68"/>
      <x:c r="P551" s="71" t="str">
        <x:f>IF(A551="","",IF(N551&gt;0,N551,M551))</x:f>
      </x:c>
      <x:c r="Q551" s="72" t="n">
        <x:f>IF(A551="",0,IF(COUNTIF($A$5:A551,A551)=1,1,0))</x:f>
        <x:v>0</x:v>
      </x:c>
      <x:c r="R551" s="64" t="str">
        <x:f>IF(A551="","",IF(F551="C551成功",IF(AND(J551&lt;&gt;"",K551&lt;&gt;"",N551&gt;0),"有证据","缺C551证据"),IF(F551="C551发货确认中",IF(AND(J551&lt;&gt;"",K551&lt;&gt;""),"有证据","缺C551证据"),IF(F551="手动完结",IF(OR(L551&lt;&gt;"",O551&lt;&gt;"",S551&lt;&gt;""),"有记录","缺手工证据"),IF(OR(F551="卖出待补仓",F551="提交结果待确认",F551="异常待处理"),"持续跟踪","检查状态")))))</x:f>
      </x:c>
      <x:c r="T551" s="64" t="str">
        <x:f>IF(A551="","",IF(COUNTIF($A$5:$A$1204,A551)&gt;1,"重复",""))</x:f>
      </x:c>
      <x:c r="U551" s="64" t="str">
        <x:f>IF(A551="","",IF(T551="重复","检查重复",IF(OR(R551="有证据",R551="有记录",R551="持续跟踪"),"可追踪","检查")))</x:f>
      </x:c>
    </x:row>
    <x:row r="552">
      <x:c r="A552" s="62"/>
      <x:c r="B552" s="62"/>
      <x:c r="C552" s="62"/>
      <x:c r="D552" s="66"/>
      <x:c r="E552" s="68"/>
      <x:c r="F552" s="62"/>
      <x:c r="G552" s="62"/>
      <x:c r="H552" s="62"/>
      <x:c r="I552" s="62"/>
      <x:c r="J552" s="62"/>
      <x:c r="K552" s="62"/>
      <x:c r="L552" s="62"/>
      <x:c r="M552" s="68"/>
      <x:c r="N552" s="68"/>
      <x:c r="O552" s="68"/>
      <x:c r="P552" s="71" t="str">
        <x:f>IF(A552="","",IF(N552&gt;0,N552,M552))</x:f>
      </x:c>
      <x:c r="Q552" s="72" t="n">
        <x:f>IF(A552="",0,IF(COUNTIF($A$5:A552,A552)=1,1,0))</x:f>
        <x:v>0</x:v>
      </x:c>
      <x:c r="R552" s="64" t="str">
        <x:f>IF(A552="","",IF(F552="C552成功",IF(AND(J552&lt;&gt;"",K552&lt;&gt;"",N552&gt;0),"有证据","缺C552证据"),IF(F552="C552发货确认中",IF(AND(J552&lt;&gt;"",K552&lt;&gt;""),"有证据","缺C552证据"),IF(F552="手动完结",IF(OR(L552&lt;&gt;"",O552&lt;&gt;"",S552&lt;&gt;""),"有记录","缺手工证据"),IF(OR(F552="卖出待补仓",F552="提交结果待确认",F552="异常待处理"),"持续跟踪","检查状态")))))</x:f>
      </x:c>
      <x:c r="T552" s="64" t="str">
        <x:f>IF(A552="","",IF(COUNTIF($A$5:$A$1204,A552)&gt;1,"重复",""))</x:f>
      </x:c>
      <x:c r="U552" s="64" t="str">
        <x:f>IF(A552="","",IF(T552="重复","检查重复",IF(OR(R552="有证据",R552="有记录",R552="持续跟踪"),"可追踪","检查")))</x:f>
      </x:c>
    </x:row>
    <x:row r="553">
      <x:c r="A553" s="62"/>
      <x:c r="B553" s="62"/>
      <x:c r="C553" s="62"/>
      <x:c r="D553" s="66"/>
      <x:c r="E553" s="68"/>
      <x:c r="F553" s="62"/>
      <x:c r="G553" s="62"/>
      <x:c r="H553" s="62"/>
      <x:c r="I553" s="62"/>
      <x:c r="J553" s="62"/>
      <x:c r="K553" s="62"/>
      <x:c r="L553" s="62"/>
      <x:c r="M553" s="68"/>
      <x:c r="N553" s="68"/>
      <x:c r="O553" s="68"/>
      <x:c r="P553" s="71" t="str">
        <x:f>IF(A553="","",IF(N553&gt;0,N553,M553))</x:f>
      </x:c>
      <x:c r="Q553" s="72" t="n">
        <x:f>IF(A553="",0,IF(COUNTIF($A$5:A553,A553)=1,1,0))</x:f>
        <x:v>0</x:v>
      </x:c>
      <x:c r="R553" s="64" t="str">
        <x:f>IF(A553="","",IF(F553="C553成功",IF(AND(J553&lt;&gt;"",K553&lt;&gt;"",N553&gt;0),"有证据","缺C553证据"),IF(F553="C553发货确认中",IF(AND(J553&lt;&gt;"",K553&lt;&gt;""),"有证据","缺C553证据"),IF(F553="手动完结",IF(OR(L553&lt;&gt;"",O553&lt;&gt;"",S553&lt;&gt;""),"有记录","缺手工证据"),IF(OR(F553="卖出待补仓",F553="提交结果待确认",F553="异常待处理"),"持续跟踪","检查状态")))))</x:f>
      </x:c>
      <x:c r="T553" s="64" t="str">
        <x:f>IF(A553="","",IF(COUNTIF($A$5:$A$1204,A553)&gt;1,"重复",""))</x:f>
      </x:c>
      <x:c r="U553" s="64" t="str">
        <x:f>IF(A553="","",IF(T553="重复","检查重复",IF(OR(R553="有证据",R553="有记录",R553="持续跟踪"),"可追踪","检查")))</x:f>
      </x:c>
    </x:row>
    <x:row r="554">
      <x:c r="A554" s="62"/>
      <x:c r="B554" s="62"/>
      <x:c r="C554" s="62"/>
      <x:c r="D554" s="66"/>
      <x:c r="E554" s="68"/>
      <x:c r="F554" s="62"/>
      <x:c r="G554" s="62"/>
      <x:c r="H554" s="62"/>
      <x:c r="I554" s="62"/>
      <x:c r="J554" s="62"/>
      <x:c r="K554" s="62"/>
      <x:c r="L554" s="62"/>
      <x:c r="M554" s="68"/>
      <x:c r="N554" s="68"/>
      <x:c r="O554" s="68"/>
      <x:c r="P554" s="71" t="str">
        <x:f>IF(A554="","",IF(N554&gt;0,N554,M554))</x:f>
      </x:c>
      <x:c r="Q554" s="72" t="n">
        <x:f>IF(A554="",0,IF(COUNTIF($A$5:A554,A554)=1,1,0))</x:f>
        <x:v>0</x:v>
      </x:c>
      <x:c r="R554" s="64" t="str">
        <x:f>IF(A554="","",IF(F554="C554成功",IF(AND(J554&lt;&gt;"",K554&lt;&gt;"",N554&gt;0),"有证据","缺C554证据"),IF(F554="C554发货确认中",IF(AND(J554&lt;&gt;"",K554&lt;&gt;""),"有证据","缺C554证据"),IF(F554="手动完结",IF(OR(L554&lt;&gt;"",O554&lt;&gt;"",S554&lt;&gt;""),"有记录","缺手工证据"),IF(OR(F554="卖出待补仓",F554="提交结果待确认",F554="异常待处理"),"持续跟踪","检查状态")))))</x:f>
      </x:c>
      <x:c r="T554" s="64" t="str">
        <x:f>IF(A554="","",IF(COUNTIF($A$5:$A$1204,A554)&gt;1,"重复",""))</x:f>
      </x:c>
      <x:c r="U554" s="64" t="str">
        <x:f>IF(A554="","",IF(T554="重复","检查重复",IF(OR(R554="有证据",R554="有记录",R554="持续跟踪"),"可追踪","检查")))</x:f>
      </x:c>
    </x:row>
    <x:row r="555">
      <x:c r="A555" s="62"/>
      <x:c r="B555" s="62"/>
      <x:c r="C555" s="62"/>
      <x:c r="D555" s="66"/>
      <x:c r="E555" s="68"/>
      <x:c r="F555" s="62"/>
      <x:c r="G555" s="62"/>
      <x:c r="H555" s="62"/>
      <x:c r="I555" s="62"/>
      <x:c r="J555" s="62"/>
      <x:c r="K555" s="62"/>
      <x:c r="L555" s="62"/>
      <x:c r="M555" s="68"/>
      <x:c r="N555" s="68"/>
      <x:c r="O555" s="68"/>
      <x:c r="P555" s="71" t="str">
        <x:f>IF(A555="","",IF(N555&gt;0,N555,M555))</x:f>
      </x:c>
      <x:c r="Q555" s="72" t="n">
        <x:f>IF(A555="",0,IF(COUNTIF($A$5:A555,A555)=1,1,0))</x:f>
        <x:v>0</x:v>
      </x:c>
      <x:c r="R555" s="64" t="str">
        <x:f>IF(A555="","",IF(F555="C555成功",IF(AND(J555&lt;&gt;"",K555&lt;&gt;"",N555&gt;0),"有证据","缺C555证据"),IF(F555="C555发货确认中",IF(AND(J555&lt;&gt;"",K555&lt;&gt;""),"有证据","缺C555证据"),IF(F555="手动完结",IF(OR(L555&lt;&gt;"",O555&lt;&gt;"",S555&lt;&gt;""),"有记录","缺手工证据"),IF(OR(F555="卖出待补仓",F555="提交结果待确认",F555="异常待处理"),"持续跟踪","检查状态")))))</x:f>
      </x:c>
      <x:c r="T555" s="64" t="str">
        <x:f>IF(A555="","",IF(COUNTIF($A$5:$A$1204,A555)&gt;1,"重复",""))</x:f>
      </x:c>
      <x:c r="U555" s="64" t="str">
        <x:f>IF(A555="","",IF(T555="重复","检查重复",IF(OR(R555="有证据",R555="有记录",R555="持续跟踪"),"可追踪","检查")))</x:f>
      </x:c>
    </x:row>
    <x:row r="556">
      <x:c r="A556" s="62"/>
      <x:c r="B556" s="62"/>
      <x:c r="C556" s="62"/>
      <x:c r="D556" s="66"/>
      <x:c r="E556" s="68"/>
      <x:c r="F556" s="62"/>
      <x:c r="G556" s="62"/>
      <x:c r="H556" s="62"/>
      <x:c r="I556" s="62"/>
      <x:c r="J556" s="62"/>
      <x:c r="K556" s="62"/>
      <x:c r="L556" s="62"/>
      <x:c r="M556" s="68"/>
      <x:c r="N556" s="68"/>
      <x:c r="O556" s="68"/>
      <x:c r="P556" s="71" t="str">
        <x:f>IF(A556="","",IF(N556&gt;0,N556,M556))</x:f>
      </x:c>
      <x:c r="Q556" s="72" t="n">
        <x:f>IF(A556="",0,IF(COUNTIF($A$5:A556,A556)=1,1,0))</x:f>
        <x:v>0</x:v>
      </x:c>
      <x:c r="R556" s="64" t="str">
        <x:f>IF(A556="","",IF(F556="C556成功",IF(AND(J556&lt;&gt;"",K556&lt;&gt;"",N556&gt;0),"有证据","缺C556证据"),IF(F556="C556发货确认中",IF(AND(J556&lt;&gt;"",K556&lt;&gt;""),"有证据","缺C556证据"),IF(F556="手动完结",IF(OR(L556&lt;&gt;"",O556&lt;&gt;"",S556&lt;&gt;""),"有记录","缺手工证据"),IF(OR(F556="卖出待补仓",F556="提交结果待确认",F556="异常待处理"),"持续跟踪","检查状态")))))</x:f>
      </x:c>
      <x:c r="T556" s="64" t="str">
        <x:f>IF(A556="","",IF(COUNTIF($A$5:$A$1204,A556)&gt;1,"重复",""))</x:f>
      </x:c>
      <x:c r="U556" s="64" t="str">
        <x:f>IF(A556="","",IF(T556="重复","检查重复",IF(OR(R556="有证据",R556="有记录",R556="持续跟踪"),"可追踪","检查")))</x:f>
      </x:c>
    </x:row>
    <x:row r="557">
      <x:c r="A557" s="62"/>
      <x:c r="B557" s="62"/>
      <x:c r="C557" s="62"/>
      <x:c r="D557" s="66"/>
      <x:c r="E557" s="68"/>
      <x:c r="F557" s="62"/>
      <x:c r="G557" s="62"/>
      <x:c r="H557" s="62"/>
      <x:c r="I557" s="62"/>
      <x:c r="J557" s="62"/>
      <x:c r="K557" s="62"/>
      <x:c r="L557" s="62"/>
      <x:c r="M557" s="68"/>
      <x:c r="N557" s="68"/>
      <x:c r="O557" s="68"/>
      <x:c r="P557" s="71" t="str">
        <x:f>IF(A557="","",IF(N557&gt;0,N557,M557))</x:f>
      </x:c>
      <x:c r="Q557" s="72" t="n">
        <x:f>IF(A557="",0,IF(COUNTIF($A$5:A557,A557)=1,1,0))</x:f>
        <x:v>0</x:v>
      </x:c>
      <x:c r="R557" s="64" t="str">
        <x:f>IF(A557="","",IF(F557="C557成功",IF(AND(J557&lt;&gt;"",K557&lt;&gt;"",N557&gt;0),"有证据","缺C557证据"),IF(F557="C557发货确认中",IF(AND(J557&lt;&gt;"",K557&lt;&gt;""),"有证据","缺C557证据"),IF(F557="手动完结",IF(OR(L557&lt;&gt;"",O557&lt;&gt;"",S557&lt;&gt;""),"有记录","缺手工证据"),IF(OR(F557="卖出待补仓",F557="提交结果待确认",F557="异常待处理"),"持续跟踪","检查状态")))))</x:f>
      </x:c>
      <x:c r="T557" s="64" t="str">
        <x:f>IF(A557="","",IF(COUNTIF($A$5:$A$1204,A557)&gt;1,"重复",""))</x:f>
      </x:c>
      <x:c r="U557" s="64" t="str">
        <x:f>IF(A557="","",IF(T557="重复","检查重复",IF(OR(R557="有证据",R557="有记录",R557="持续跟踪"),"可追踪","检查")))</x:f>
      </x:c>
    </x:row>
    <x:row r="558">
      <x:c r="A558" s="62"/>
      <x:c r="B558" s="62"/>
      <x:c r="C558" s="62"/>
      <x:c r="D558" s="66"/>
      <x:c r="E558" s="68"/>
      <x:c r="F558" s="62"/>
      <x:c r="G558" s="62"/>
      <x:c r="H558" s="62"/>
      <x:c r="I558" s="62"/>
      <x:c r="J558" s="62"/>
      <x:c r="K558" s="62"/>
      <x:c r="L558" s="62"/>
      <x:c r="M558" s="68"/>
      <x:c r="N558" s="68"/>
      <x:c r="O558" s="68"/>
      <x:c r="P558" s="71" t="str">
        <x:f>IF(A558="","",IF(N558&gt;0,N558,M558))</x:f>
      </x:c>
      <x:c r="Q558" s="72" t="n">
        <x:f>IF(A558="",0,IF(COUNTIF($A$5:A558,A558)=1,1,0))</x:f>
        <x:v>0</x:v>
      </x:c>
      <x:c r="R558" s="64" t="str">
        <x:f>IF(A558="","",IF(F558="C558成功",IF(AND(J558&lt;&gt;"",K558&lt;&gt;"",N558&gt;0),"有证据","缺C558证据"),IF(F558="C558发货确认中",IF(AND(J558&lt;&gt;"",K558&lt;&gt;""),"有证据","缺C558证据"),IF(F558="手动完结",IF(OR(L558&lt;&gt;"",O558&lt;&gt;"",S558&lt;&gt;""),"有记录","缺手工证据"),IF(OR(F558="卖出待补仓",F558="提交结果待确认",F558="异常待处理"),"持续跟踪","检查状态")))))</x:f>
      </x:c>
      <x:c r="T558" s="64" t="str">
        <x:f>IF(A558="","",IF(COUNTIF($A$5:$A$1204,A558)&gt;1,"重复",""))</x:f>
      </x:c>
      <x:c r="U558" s="64" t="str">
        <x:f>IF(A558="","",IF(T558="重复","检查重复",IF(OR(R558="有证据",R558="有记录",R558="持续跟踪"),"可追踪","检查")))</x:f>
      </x:c>
    </x:row>
    <x:row r="559">
      <x:c r="A559" s="62"/>
      <x:c r="B559" s="62"/>
      <x:c r="C559" s="62"/>
      <x:c r="D559" s="66"/>
      <x:c r="E559" s="68"/>
      <x:c r="F559" s="62"/>
      <x:c r="G559" s="62"/>
      <x:c r="H559" s="62"/>
      <x:c r="I559" s="62"/>
      <x:c r="J559" s="62"/>
      <x:c r="K559" s="62"/>
      <x:c r="L559" s="62"/>
      <x:c r="M559" s="68"/>
      <x:c r="N559" s="68"/>
      <x:c r="O559" s="68"/>
      <x:c r="P559" s="71" t="str">
        <x:f>IF(A559="","",IF(N559&gt;0,N559,M559))</x:f>
      </x:c>
      <x:c r="Q559" s="72" t="n">
        <x:f>IF(A559="",0,IF(COUNTIF($A$5:A559,A559)=1,1,0))</x:f>
        <x:v>0</x:v>
      </x:c>
      <x:c r="R559" s="64" t="str">
        <x:f>IF(A559="","",IF(F559="C559成功",IF(AND(J559&lt;&gt;"",K559&lt;&gt;"",N559&gt;0),"有证据","缺C559证据"),IF(F559="C559发货确认中",IF(AND(J559&lt;&gt;"",K559&lt;&gt;""),"有证据","缺C559证据"),IF(F559="手动完结",IF(OR(L559&lt;&gt;"",O559&lt;&gt;"",S559&lt;&gt;""),"有记录","缺手工证据"),IF(OR(F559="卖出待补仓",F559="提交结果待确认",F559="异常待处理"),"持续跟踪","检查状态")))))</x:f>
      </x:c>
      <x:c r="T559" s="64" t="str">
        <x:f>IF(A559="","",IF(COUNTIF($A$5:$A$1204,A559)&gt;1,"重复",""))</x:f>
      </x:c>
      <x:c r="U559" s="64" t="str">
        <x:f>IF(A559="","",IF(T559="重复","检查重复",IF(OR(R559="有证据",R559="有记录",R559="持续跟踪"),"可追踪","检查")))</x:f>
      </x:c>
    </x:row>
    <x:row r="560">
      <x:c r="A560" s="62"/>
      <x:c r="B560" s="62"/>
      <x:c r="C560" s="62"/>
      <x:c r="D560" s="66"/>
      <x:c r="E560" s="68"/>
      <x:c r="F560" s="62"/>
      <x:c r="G560" s="62"/>
      <x:c r="H560" s="62"/>
      <x:c r="I560" s="62"/>
      <x:c r="J560" s="62"/>
      <x:c r="K560" s="62"/>
      <x:c r="L560" s="62"/>
      <x:c r="M560" s="68"/>
      <x:c r="N560" s="68"/>
      <x:c r="O560" s="68"/>
      <x:c r="P560" s="71" t="str">
        <x:f>IF(A560="","",IF(N560&gt;0,N560,M560))</x:f>
      </x:c>
      <x:c r="Q560" s="72" t="n">
        <x:f>IF(A560="",0,IF(COUNTIF($A$5:A560,A560)=1,1,0))</x:f>
        <x:v>0</x:v>
      </x:c>
      <x:c r="R560" s="64" t="str">
        <x:f>IF(A560="","",IF(F560="C560成功",IF(AND(J560&lt;&gt;"",K560&lt;&gt;"",N560&gt;0),"有证据","缺C560证据"),IF(F560="C560发货确认中",IF(AND(J560&lt;&gt;"",K560&lt;&gt;""),"有证据","缺C560证据"),IF(F560="手动完结",IF(OR(L560&lt;&gt;"",O560&lt;&gt;"",S560&lt;&gt;""),"有记录","缺手工证据"),IF(OR(F560="卖出待补仓",F560="提交结果待确认",F560="异常待处理"),"持续跟踪","检查状态")))))</x:f>
      </x:c>
      <x:c r="T560" s="64" t="str">
        <x:f>IF(A560="","",IF(COUNTIF($A$5:$A$1204,A560)&gt;1,"重复",""))</x:f>
      </x:c>
      <x:c r="U560" s="64" t="str">
        <x:f>IF(A560="","",IF(T560="重复","检查重复",IF(OR(R560="有证据",R560="有记录",R560="持续跟踪"),"可追踪","检查")))</x:f>
      </x:c>
    </x:row>
    <x:row r="561">
      <x:c r="A561" s="62"/>
      <x:c r="B561" s="62"/>
      <x:c r="C561" s="62"/>
      <x:c r="D561" s="66"/>
      <x:c r="E561" s="68"/>
      <x:c r="F561" s="62"/>
      <x:c r="G561" s="62"/>
      <x:c r="H561" s="62"/>
      <x:c r="I561" s="62"/>
      <x:c r="J561" s="62"/>
      <x:c r="K561" s="62"/>
      <x:c r="L561" s="62"/>
      <x:c r="M561" s="68"/>
      <x:c r="N561" s="68"/>
      <x:c r="O561" s="68"/>
      <x:c r="P561" s="71" t="str">
        <x:f>IF(A561="","",IF(N561&gt;0,N561,M561))</x:f>
      </x:c>
      <x:c r="Q561" s="72" t="n">
        <x:f>IF(A561="",0,IF(COUNTIF($A$5:A561,A561)=1,1,0))</x:f>
        <x:v>0</x:v>
      </x:c>
      <x:c r="R561" s="64" t="str">
        <x:f>IF(A561="","",IF(F561="C561成功",IF(AND(J561&lt;&gt;"",K561&lt;&gt;"",N561&gt;0),"有证据","缺C561证据"),IF(F561="C561发货确认中",IF(AND(J561&lt;&gt;"",K561&lt;&gt;""),"有证据","缺C561证据"),IF(F561="手动完结",IF(OR(L561&lt;&gt;"",O561&lt;&gt;"",S561&lt;&gt;""),"有记录","缺手工证据"),IF(OR(F561="卖出待补仓",F561="提交结果待确认",F561="异常待处理"),"持续跟踪","检查状态")))))</x:f>
      </x:c>
      <x:c r="T561" s="64" t="str">
        <x:f>IF(A561="","",IF(COUNTIF($A$5:$A$1204,A561)&gt;1,"重复",""))</x:f>
      </x:c>
      <x:c r="U561" s="64" t="str">
        <x:f>IF(A561="","",IF(T561="重复","检查重复",IF(OR(R561="有证据",R561="有记录",R561="持续跟踪"),"可追踪","检查")))</x:f>
      </x:c>
    </x:row>
    <x:row r="562">
      <x:c r="A562" s="62"/>
      <x:c r="B562" s="62"/>
      <x:c r="C562" s="62"/>
      <x:c r="D562" s="66"/>
      <x:c r="E562" s="68"/>
      <x:c r="F562" s="62"/>
      <x:c r="G562" s="62"/>
      <x:c r="H562" s="62"/>
      <x:c r="I562" s="62"/>
      <x:c r="J562" s="62"/>
      <x:c r="K562" s="62"/>
      <x:c r="L562" s="62"/>
      <x:c r="M562" s="68"/>
      <x:c r="N562" s="68"/>
      <x:c r="O562" s="68"/>
      <x:c r="P562" s="71" t="str">
        <x:f>IF(A562="","",IF(N562&gt;0,N562,M562))</x:f>
      </x:c>
      <x:c r="Q562" s="72" t="n">
        <x:f>IF(A562="",0,IF(COUNTIF($A$5:A562,A562)=1,1,0))</x:f>
        <x:v>0</x:v>
      </x:c>
      <x:c r="R562" s="64" t="str">
        <x:f>IF(A562="","",IF(F562="C562成功",IF(AND(J562&lt;&gt;"",K562&lt;&gt;"",N562&gt;0),"有证据","缺C562证据"),IF(F562="C562发货确认中",IF(AND(J562&lt;&gt;"",K562&lt;&gt;""),"有证据","缺C562证据"),IF(F562="手动完结",IF(OR(L562&lt;&gt;"",O562&lt;&gt;"",S562&lt;&gt;""),"有记录","缺手工证据"),IF(OR(F562="卖出待补仓",F562="提交结果待确认",F562="异常待处理"),"持续跟踪","检查状态")))))</x:f>
      </x:c>
      <x:c r="T562" s="64" t="str">
        <x:f>IF(A562="","",IF(COUNTIF($A$5:$A$1204,A562)&gt;1,"重复",""))</x:f>
      </x:c>
      <x:c r="U562" s="64" t="str">
        <x:f>IF(A562="","",IF(T562="重复","检查重复",IF(OR(R562="有证据",R562="有记录",R562="持续跟踪"),"可追踪","检查")))</x:f>
      </x:c>
    </x:row>
    <x:row r="563">
      <x:c r="A563" s="62"/>
      <x:c r="B563" s="62"/>
      <x:c r="C563" s="62"/>
      <x:c r="D563" s="66"/>
      <x:c r="E563" s="68"/>
      <x:c r="F563" s="62"/>
      <x:c r="G563" s="62"/>
      <x:c r="H563" s="62"/>
      <x:c r="I563" s="62"/>
      <x:c r="J563" s="62"/>
      <x:c r="K563" s="62"/>
      <x:c r="L563" s="62"/>
      <x:c r="M563" s="68"/>
      <x:c r="N563" s="68"/>
      <x:c r="O563" s="68"/>
      <x:c r="P563" s="71" t="str">
        <x:f>IF(A563="","",IF(N563&gt;0,N563,M563))</x:f>
      </x:c>
      <x:c r="Q563" s="72" t="n">
        <x:f>IF(A563="",0,IF(COUNTIF($A$5:A563,A563)=1,1,0))</x:f>
        <x:v>0</x:v>
      </x:c>
      <x:c r="R563" s="64" t="str">
        <x:f>IF(A563="","",IF(F563="C563成功",IF(AND(J563&lt;&gt;"",K563&lt;&gt;"",N563&gt;0),"有证据","缺C563证据"),IF(F563="C563发货确认中",IF(AND(J563&lt;&gt;"",K563&lt;&gt;""),"有证据","缺C563证据"),IF(F563="手动完结",IF(OR(L563&lt;&gt;"",O563&lt;&gt;"",S563&lt;&gt;""),"有记录","缺手工证据"),IF(OR(F563="卖出待补仓",F563="提交结果待确认",F563="异常待处理"),"持续跟踪","检查状态")))))</x:f>
      </x:c>
      <x:c r="T563" s="64" t="str">
        <x:f>IF(A563="","",IF(COUNTIF($A$5:$A$1204,A563)&gt;1,"重复",""))</x:f>
      </x:c>
      <x:c r="U563" s="64" t="str">
        <x:f>IF(A563="","",IF(T563="重复","检查重复",IF(OR(R563="有证据",R563="有记录",R563="持续跟踪"),"可追踪","检查")))</x:f>
      </x:c>
    </x:row>
    <x:row r="564">
      <x:c r="A564" s="62"/>
      <x:c r="B564" s="62"/>
      <x:c r="C564" s="62"/>
      <x:c r="D564" s="66"/>
      <x:c r="E564" s="68"/>
      <x:c r="F564" s="62"/>
      <x:c r="G564" s="62"/>
      <x:c r="H564" s="62"/>
      <x:c r="I564" s="62"/>
      <x:c r="J564" s="62"/>
      <x:c r="K564" s="62"/>
      <x:c r="L564" s="62"/>
      <x:c r="M564" s="68"/>
      <x:c r="N564" s="68"/>
      <x:c r="O564" s="68"/>
      <x:c r="P564" s="71" t="str">
        <x:f>IF(A564="","",IF(N564&gt;0,N564,M564))</x:f>
      </x:c>
      <x:c r="Q564" s="72" t="n">
        <x:f>IF(A564="",0,IF(COUNTIF($A$5:A564,A564)=1,1,0))</x:f>
        <x:v>0</x:v>
      </x:c>
      <x:c r="R564" s="64" t="str">
        <x:f>IF(A564="","",IF(F564="C564成功",IF(AND(J564&lt;&gt;"",K564&lt;&gt;"",N564&gt;0),"有证据","缺C564证据"),IF(F564="C564发货确认中",IF(AND(J564&lt;&gt;"",K564&lt;&gt;""),"有证据","缺C564证据"),IF(F564="手动完结",IF(OR(L564&lt;&gt;"",O564&lt;&gt;"",S564&lt;&gt;""),"有记录","缺手工证据"),IF(OR(F564="卖出待补仓",F564="提交结果待确认",F564="异常待处理"),"持续跟踪","检查状态")))))</x:f>
      </x:c>
      <x:c r="T564" s="64" t="str">
        <x:f>IF(A564="","",IF(COUNTIF($A$5:$A$1204,A564)&gt;1,"重复",""))</x:f>
      </x:c>
      <x:c r="U564" s="64" t="str">
        <x:f>IF(A564="","",IF(T564="重复","检查重复",IF(OR(R564="有证据",R564="有记录",R564="持续跟踪"),"可追踪","检查")))</x:f>
      </x:c>
    </x:row>
    <x:row r="565">
      <x:c r="A565" s="62"/>
      <x:c r="B565" s="62"/>
      <x:c r="C565" s="62"/>
      <x:c r="D565" s="66"/>
      <x:c r="E565" s="68"/>
      <x:c r="F565" s="62"/>
      <x:c r="G565" s="62"/>
      <x:c r="H565" s="62"/>
      <x:c r="I565" s="62"/>
      <x:c r="J565" s="62"/>
      <x:c r="K565" s="62"/>
      <x:c r="L565" s="62"/>
      <x:c r="M565" s="68"/>
      <x:c r="N565" s="68"/>
      <x:c r="O565" s="68"/>
      <x:c r="P565" s="71" t="str">
        <x:f>IF(A565="","",IF(N565&gt;0,N565,M565))</x:f>
      </x:c>
      <x:c r="Q565" s="72" t="n">
        <x:f>IF(A565="",0,IF(COUNTIF($A$5:A565,A565)=1,1,0))</x:f>
        <x:v>0</x:v>
      </x:c>
      <x:c r="R565" s="64" t="str">
        <x:f>IF(A565="","",IF(F565="C565成功",IF(AND(J565&lt;&gt;"",K565&lt;&gt;"",N565&gt;0),"有证据","缺C565证据"),IF(F565="C565发货确认中",IF(AND(J565&lt;&gt;"",K565&lt;&gt;""),"有证据","缺C565证据"),IF(F565="手动完结",IF(OR(L565&lt;&gt;"",O565&lt;&gt;"",S565&lt;&gt;""),"有记录","缺手工证据"),IF(OR(F565="卖出待补仓",F565="提交结果待确认",F565="异常待处理"),"持续跟踪","检查状态")))))</x:f>
      </x:c>
      <x:c r="T565" s="64" t="str">
        <x:f>IF(A565="","",IF(COUNTIF($A$5:$A$1204,A565)&gt;1,"重复",""))</x:f>
      </x:c>
      <x:c r="U565" s="64" t="str">
        <x:f>IF(A565="","",IF(T565="重复","检查重复",IF(OR(R565="有证据",R565="有记录",R565="持续跟踪"),"可追踪","检查")))</x:f>
      </x:c>
    </x:row>
    <x:row r="566">
      <x:c r="A566" s="62"/>
      <x:c r="B566" s="62"/>
      <x:c r="C566" s="62"/>
      <x:c r="D566" s="66"/>
      <x:c r="E566" s="68"/>
      <x:c r="F566" s="62"/>
      <x:c r="G566" s="62"/>
      <x:c r="H566" s="62"/>
      <x:c r="I566" s="62"/>
      <x:c r="J566" s="62"/>
      <x:c r="K566" s="62"/>
      <x:c r="L566" s="62"/>
      <x:c r="M566" s="68"/>
      <x:c r="N566" s="68"/>
      <x:c r="O566" s="68"/>
      <x:c r="P566" s="71" t="str">
        <x:f>IF(A566="","",IF(N566&gt;0,N566,M566))</x:f>
      </x:c>
      <x:c r="Q566" s="72" t="n">
        <x:f>IF(A566="",0,IF(COUNTIF($A$5:A566,A566)=1,1,0))</x:f>
        <x:v>0</x:v>
      </x:c>
      <x:c r="R566" s="64" t="str">
        <x:f>IF(A566="","",IF(F566="C566成功",IF(AND(J566&lt;&gt;"",K566&lt;&gt;"",N566&gt;0),"有证据","缺C566证据"),IF(F566="C566发货确认中",IF(AND(J566&lt;&gt;"",K566&lt;&gt;""),"有证据","缺C566证据"),IF(F566="手动完结",IF(OR(L566&lt;&gt;"",O566&lt;&gt;"",S566&lt;&gt;""),"有记录","缺手工证据"),IF(OR(F566="卖出待补仓",F566="提交结果待确认",F566="异常待处理"),"持续跟踪","检查状态")))))</x:f>
      </x:c>
      <x:c r="T566" s="64" t="str">
        <x:f>IF(A566="","",IF(COUNTIF($A$5:$A$1204,A566)&gt;1,"重复",""))</x:f>
      </x:c>
      <x:c r="U566" s="64" t="str">
        <x:f>IF(A566="","",IF(T566="重复","检查重复",IF(OR(R566="有证据",R566="有记录",R566="持续跟踪"),"可追踪","检查")))</x:f>
      </x:c>
    </x:row>
    <x:row r="567">
      <x:c r="A567" s="62"/>
      <x:c r="B567" s="62"/>
      <x:c r="C567" s="62"/>
      <x:c r="D567" s="66"/>
      <x:c r="E567" s="68"/>
      <x:c r="F567" s="62"/>
      <x:c r="G567" s="62"/>
      <x:c r="H567" s="62"/>
      <x:c r="I567" s="62"/>
      <x:c r="J567" s="62"/>
      <x:c r="K567" s="62"/>
      <x:c r="L567" s="62"/>
      <x:c r="M567" s="68"/>
      <x:c r="N567" s="68"/>
      <x:c r="O567" s="68"/>
      <x:c r="P567" s="71" t="str">
        <x:f>IF(A567="","",IF(N567&gt;0,N567,M567))</x:f>
      </x:c>
      <x:c r="Q567" s="72" t="n">
        <x:f>IF(A567="",0,IF(COUNTIF($A$5:A567,A567)=1,1,0))</x:f>
        <x:v>0</x:v>
      </x:c>
      <x:c r="R567" s="64" t="str">
        <x:f>IF(A567="","",IF(F567="C567成功",IF(AND(J567&lt;&gt;"",K567&lt;&gt;"",N567&gt;0),"有证据","缺C567证据"),IF(F567="C567发货确认中",IF(AND(J567&lt;&gt;"",K567&lt;&gt;""),"有证据","缺C567证据"),IF(F567="手动完结",IF(OR(L567&lt;&gt;"",O567&lt;&gt;"",S567&lt;&gt;""),"有记录","缺手工证据"),IF(OR(F567="卖出待补仓",F567="提交结果待确认",F567="异常待处理"),"持续跟踪","检查状态")))))</x:f>
      </x:c>
      <x:c r="T567" s="64" t="str">
        <x:f>IF(A567="","",IF(COUNTIF($A$5:$A$1204,A567)&gt;1,"重复",""))</x:f>
      </x:c>
      <x:c r="U567" s="64" t="str">
        <x:f>IF(A567="","",IF(T567="重复","检查重复",IF(OR(R567="有证据",R567="有记录",R567="持续跟踪"),"可追踪","检查")))</x:f>
      </x:c>
    </x:row>
    <x:row r="568">
      <x:c r="A568" s="62"/>
      <x:c r="B568" s="62"/>
      <x:c r="C568" s="62"/>
      <x:c r="D568" s="66"/>
      <x:c r="E568" s="68"/>
      <x:c r="F568" s="62"/>
      <x:c r="G568" s="62"/>
      <x:c r="H568" s="62"/>
      <x:c r="I568" s="62"/>
      <x:c r="J568" s="62"/>
      <x:c r="K568" s="62"/>
      <x:c r="L568" s="62"/>
      <x:c r="M568" s="68"/>
      <x:c r="N568" s="68"/>
      <x:c r="O568" s="68"/>
      <x:c r="P568" s="71" t="str">
        <x:f>IF(A568="","",IF(N568&gt;0,N568,M568))</x:f>
      </x:c>
      <x:c r="Q568" s="72" t="n">
        <x:f>IF(A568="",0,IF(COUNTIF($A$5:A568,A568)=1,1,0))</x:f>
        <x:v>0</x:v>
      </x:c>
      <x:c r="R568" s="64" t="str">
        <x:f>IF(A568="","",IF(F568="C568成功",IF(AND(J568&lt;&gt;"",K568&lt;&gt;"",N568&gt;0),"有证据","缺C568证据"),IF(F568="C568发货确认中",IF(AND(J568&lt;&gt;"",K568&lt;&gt;""),"有证据","缺C568证据"),IF(F568="手动完结",IF(OR(L568&lt;&gt;"",O568&lt;&gt;"",S568&lt;&gt;""),"有记录","缺手工证据"),IF(OR(F568="卖出待补仓",F568="提交结果待确认",F568="异常待处理"),"持续跟踪","检查状态")))))</x:f>
      </x:c>
      <x:c r="T568" s="64" t="str">
        <x:f>IF(A568="","",IF(COUNTIF($A$5:$A$1204,A568)&gt;1,"重复",""))</x:f>
      </x:c>
      <x:c r="U568" s="64" t="str">
        <x:f>IF(A568="","",IF(T568="重复","检查重复",IF(OR(R568="有证据",R568="有记录",R568="持续跟踪"),"可追踪","检查")))</x:f>
      </x:c>
    </x:row>
    <x:row r="569">
      <x:c r="A569" s="62"/>
      <x:c r="B569" s="62"/>
      <x:c r="C569" s="62"/>
      <x:c r="D569" s="66"/>
      <x:c r="E569" s="68"/>
      <x:c r="F569" s="62"/>
      <x:c r="G569" s="62"/>
      <x:c r="H569" s="62"/>
      <x:c r="I569" s="62"/>
      <x:c r="J569" s="62"/>
      <x:c r="K569" s="62"/>
      <x:c r="L569" s="62"/>
      <x:c r="M569" s="68"/>
      <x:c r="N569" s="68"/>
      <x:c r="O569" s="68"/>
      <x:c r="P569" s="71" t="str">
        <x:f>IF(A569="","",IF(N569&gt;0,N569,M569))</x:f>
      </x:c>
      <x:c r="Q569" s="72" t="n">
        <x:f>IF(A569="",0,IF(COUNTIF($A$5:A569,A569)=1,1,0))</x:f>
        <x:v>0</x:v>
      </x:c>
      <x:c r="R569" s="64" t="str">
        <x:f>IF(A569="","",IF(F569="C569成功",IF(AND(J569&lt;&gt;"",K569&lt;&gt;"",N569&gt;0),"有证据","缺C569证据"),IF(F569="C569发货确认中",IF(AND(J569&lt;&gt;"",K569&lt;&gt;""),"有证据","缺C569证据"),IF(F569="手动完结",IF(OR(L569&lt;&gt;"",O569&lt;&gt;"",S569&lt;&gt;""),"有记录","缺手工证据"),IF(OR(F569="卖出待补仓",F569="提交结果待确认",F569="异常待处理"),"持续跟踪","检查状态")))))</x:f>
      </x:c>
      <x:c r="T569" s="64" t="str">
        <x:f>IF(A569="","",IF(COUNTIF($A$5:$A$1204,A569)&gt;1,"重复",""))</x:f>
      </x:c>
      <x:c r="U569" s="64" t="str">
        <x:f>IF(A569="","",IF(T569="重复","检查重复",IF(OR(R569="有证据",R569="有记录",R569="持续跟踪"),"可追踪","检查")))</x:f>
      </x:c>
    </x:row>
    <x:row r="570">
      <x:c r="A570" s="62"/>
      <x:c r="B570" s="62"/>
      <x:c r="C570" s="62"/>
      <x:c r="D570" s="66"/>
      <x:c r="E570" s="68"/>
      <x:c r="F570" s="62"/>
      <x:c r="G570" s="62"/>
      <x:c r="H570" s="62"/>
      <x:c r="I570" s="62"/>
      <x:c r="J570" s="62"/>
      <x:c r="K570" s="62"/>
      <x:c r="L570" s="62"/>
      <x:c r="M570" s="68"/>
      <x:c r="N570" s="68"/>
      <x:c r="O570" s="68"/>
      <x:c r="P570" s="71" t="str">
        <x:f>IF(A570="","",IF(N570&gt;0,N570,M570))</x:f>
      </x:c>
      <x:c r="Q570" s="72" t="n">
        <x:f>IF(A570="",0,IF(COUNTIF($A$5:A570,A570)=1,1,0))</x:f>
        <x:v>0</x:v>
      </x:c>
      <x:c r="R570" s="64" t="str">
        <x:f>IF(A570="","",IF(F570="C570成功",IF(AND(J570&lt;&gt;"",K570&lt;&gt;"",N570&gt;0),"有证据","缺C570证据"),IF(F570="C570发货确认中",IF(AND(J570&lt;&gt;"",K570&lt;&gt;""),"有证据","缺C570证据"),IF(F570="手动完结",IF(OR(L570&lt;&gt;"",O570&lt;&gt;"",S570&lt;&gt;""),"有记录","缺手工证据"),IF(OR(F570="卖出待补仓",F570="提交结果待确认",F570="异常待处理"),"持续跟踪","检查状态")))))</x:f>
      </x:c>
      <x:c r="T570" s="64" t="str">
        <x:f>IF(A570="","",IF(COUNTIF($A$5:$A$1204,A570)&gt;1,"重复",""))</x:f>
      </x:c>
      <x:c r="U570" s="64" t="str">
        <x:f>IF(A570="","",IF(T570="重复","检查重复",IF(OR(R570="有证据",R570="有记录",R570="持续跟踪"),"可追踪","检查")))</x:f>
      </x:c>
    </x:row>
    <x:row r="571">
      <x:c r="A571" s="62"/>
      <x:c r="B571" s="62"/>
      <x:c r="C571" s="62"/>
      <x:c r="D571" s="66"/>
      <x:c r="E571" s="68"/>
      <x:c r="F571" s="62"/>
      <x:c r="G571" s="62"/>
      <x:c r="H571" s="62"/>
      <x:c r="I571" s="62"/>
      <x:c r="J571" s="62"/>
      <x:c r="K571" s="62"/>
      <x:c r="L571" s="62"/>
      <x:c r="M571" s="68"/>
      <x:c r="N571" s="68"/>
      <x:c r="O571" s="68"/>
      <x:c r="P571" s="71" t="str">
        <x:f>IF(A571="","",IF(N571&gt;0,N571,M571))</x:f>
      </x:c>
      <x:c r="Q571" s="72" t="n">
        <x:f>IF(A571="",0,IF(COUNTIF($A$5:A571,A571)=1,1,0))</x:f>
        <x:v>0</x:v>
      </x:c>
      <x:c r="R571" s="64" t="str">
        <x:f>IF(A571="","",IF(F571="C571成功",IF(AND(J571&lt;&gt;"",K571&lt;&gt;"",N571&gt;0),"有证据","缺C571证据"),IF(F571="C571发货确认中",IF(AND(J571&lt;&gt;"",K571&lt;&gt;""),"有证据","缺C571证据"),IF(F571="手动完结",IF(OR(L571&lt;&gt;"",O571&lt;&gt;"",S571&lt;&gt;""),"有记录","缺手工证据"),IF(OR(F571="卖出待补仓",F571="提交结果待确认",F571="异常待处理"),"持续跟踪","检查状态")))))</x:f>
      </x:c>
      <x:c r="T571" s="64" t="str">
        <x:f>IF(A571="","",IF(COUNTIF($A$5:$A$1204,A571)&gt;1,"重复",""))</x:f>
      </x:c>
      <x:c r="U571" s="64" t="str">
        <x:f>IF(A571="","",IF(T571="重复","检查重复",IF(OR(R571="有证据",R571="有记录",R571="持续跟踪"),"可追踪","检查")))</x:f>
      </x:c>
    </x:row>
    <x:row r="572">
      <x:c r="A572" s="62"/>
      <x:c r="B572" s="62"/>
      <x:c r="C572" s="62"/>
      <x:c r="D572" s="66"/>
      <x:c r="E572" s="68"/>
      <x:c r="F572" s="62"/>
      <x:c r="G572" s="62"/>
      <x:c r="H572" s="62"/>
      <x:c r="I572" s="62"/>
      <x:c r="J572" s="62"/>
      <x:c r="K572" s="62"/>
      <x:c r="L572" s="62"/>
      <x:c r="M572" s="68"/>
      <x:c r="N572" s="68"/>
      <x:c r="O572" s="68"/>
      <x:c r="P572" s="71" t="str">
        <x:f>IF(A572="","",IF(N572&gt;0,N572,M572))</x:f>
      </x:c>
      <x:c r="Q572" s="72" t="n">
        <x:f>IF(A572="",0,IF(COUNTIF($A$5:A572,A572)=1,1,0))</x:f>
        <x:v>0</x:v>
      </x:c>
      <x:c r="R572" s="64" t="str">
        <x:f>IF(A572="","",IF(F572="C572成功",IF(AND(J572&lt;&gt;"",K572&lt;&gt;"",N572&gt;0),"有证据","缺C572证据"),IF(F572="C572发货确认中",IF(AND(J572&lt;&gt;"",K572&lt;&gt;""),"有证据","缺C572证据"),IF(F572="手动完结",IF(OR(L572&lt;&gt;"",O572&lt;&gt;"",S572&lt;&gt;""),"有记录","缺手工证据"),IF(OR(F572="卖出待补仓",F572="提交结果待确认",F572="异常待处理"),"持续跟踪","检查状态")))))</x:f>
      </x:c>
      <x:c r="T572" s="64" t="str">
        <x:f>IF(A572="","",IF(COUNTIF($A$5:$A$1204,A572)&gt;1,"重复",""))</x:f>
      </x:c>
      <x:c r="U572" s="64" t="str">
        <x:f>IF(A572="","",IF(T572="重复","检查重复",IF(OR(R572="有证据",R572="有记录",R572="持续跟踪"),"可追踪","检查")))</x:f>
      </x:c>
    </x:row>
    <x:row r="573">
      <x:c r="A573" s="62"/>
      <x:c r="B573" s="62"/>
      <x:c r="C573" s="62"/>
      <x:c r="D573" s="66"/>
      <x:c r="E573" s="68"/>
      <x:c r="F573" s="62"/>
      <x:c r="G573" s="62"/>
      <x:c r="H573" s="62"/>
      <x:c r="I573" s="62"/>
      <x:c r="J573" s="62"/>
      <x:c r="K573" s="62"/>
      <x:c r="L573" s="62"/>
      <x:c r="M573" s="68"/>
      <x:c r="N573" s="68"/>
      <x:c r="O573" s="68"/>
      <x:c r="P573" s="71" t="str">
        <x:f>IF(A573="","",IF(N573&gt;0,N573,M573))</x:f>
      </x:c>
      <x:c r="Q573" s="72" t="n">
        <x:f>IF(A573="",0,IF(COUNTIF($A$5:A573,A573)=1,1,0))</x:f>
        <x:v>0</x:v>
      </x:c>
      <x:c r="R573" s="64" t="str">
        <x:f>IF(A573="","",IF(F573="C573成功",IF(AND(J573&lt;&gt;"",K573&lt;&gt;"",N573&gt;0),"有证据","缺C573证据"),IF(F573="C573发货确认中",IF(AND(J573&lt;&gt;"",K573&lt;&gt;""),"有证据","缺C573证据"),IF(F573="手动完结",IF(OR(L573&lt;&gt;"",O573&lt;&gt;"",S573&lt;&gt;""),"有记录","缺手工证据"),IF(OR(F573="卖出待补仓",F573="提交结果待确认",F573="异常待处理"),"持续跟踪","检查状态")))))</x:f>
      </x:c>
      <x:c r="T573" s="64" t="str">
        <x:f>IF(A573="","",IF(COUNTIF($A$5:$A$1204,A573)&gt;1,"重复",""))</x:f>
      </x:c>
      <x:c r="U573" s="64" t="str">
        <x:f>IF(A573="","",IF(T573="重复","检查重复",IF(OR(R573="有证据",R573="有记录",R573="持续跟踪"),"可追踪","检查")))</x:f>
      </x:c>
    </x:row>
    <x:row r="574">
      <x:c r="A574" s="62"/>
      <x:c r="B574" s="62"/>
      <x:c r="C574" s="62"/>
      <x:c r="D574" s="66"/>
      <x:c r="E574" s="68"/>
      <x:c r="F574" s="62"/>
      <x:c r="G574" s="62"/>
      <x:c r="H574" s="62"/>
      <x:c r="I574" s="62"/>
      <x:c r="J574" s="62"/>
      <x:c r="K574" s="62"/>
      <x:c r="L574" s="62"/>
      <x:c r="M574" s="68"/>
      <x:c r="N574" s="68"/>
      <x:c r="O574" s="68"/>
      <x:c r="P574" s="71" t="str">
        <x:f>IF(A574="","",IF(N574&gt;0,N574,M574))</x:f>
      </x:c>
      <x:c r="Q574" s="72" t="n">
        <x:f>IF(A574="",0,IF(COUNTIF($A$5:A574,A574)=1,1,0))</x:f>
        <x:v>0</x:v>
      </x:c>
      <x:c r="R574" s="64" t="str">
        <x:f>IF(A574="","",IF(F574="C574成功",IF(AND(J574&lt;&gt;"",K574&lt;&gt;"",N574&gt;0),"有证据","缺C574证据"),IF(F574="C574发货确认中",IF(AND(J574&lt;&gt;"",K574&lt;&gt;""),"有证据","缺C574证据"),IF(F574="手动完结",IF(OR(L574&lt;&gt;"",O574&lt;&gt;"",S574&lt;&gt;""),"有记录","缺手工证据"),IF(OR(F574="卖出待补仓",F574="提交结果待确认",F574="异常待处理"),"持续跟踪","检查状态")))))</x:f>
      </x:c>
      <x:c r="T574" s="64" t="str">
        <x:f>IF(A574="","",IF(COUNTIF($A$5:$A$1204,A574)&gt;1,"重复",""))</x:f>
      </x:c>
      <x:c r="U574" s="64" t="str">
        <x:f>IF(A574="","",IF(T574="重复","检查重复",IF(OR(R574="有证据",R574="有记录",R574="持续跟踪"),"可追踪","检查")))</x:f>
      </x:c>
    </x:row>
    <x:row r="575">
      <x:c r="A575" s="62"/>
      <x:c r="B575" s="62"/>
      <x:c r="C575" s="62"/>
      <x:c r="D575" s="66"/>
      <x:c r="E575" s="68"/>
      <x:c r="F575" s="62"/>
      <x:c r="G575" s="62"/>
      <x:c r="H575" s="62"/>
      <x:c r="I575" s="62"/>
      <x:c r="J575" s="62"/>
      <x:c r="K575" s="62"/>
      <x:c r="L575" s="62"/>
      <x:c r="M575" s="68"/>
      <x:c r="N575" s="68"/>
      <x:c r="O575" s="68"/>
      <x:c r="P575" s="71" t="str">
        <x:f>IF(A575="","",IF(N575&gt;0,N575,M575))</x:f>
      </x:c>
      <x:c r="Q575" s="72" t="n">
        <x:f>IF(A575="",0,IF(COUNTIF($A$5:A575,A575)=1,1,0))</x:f>
        <x:v>0</x:v>
      </x:c>
      <x:c r="R575" s="64" t="str">
        <x:f>IF(A575="","",IF(F575="C575成功",IF(AND(J575&lt;&gt;"",K575&lt;&gt;"",N575&gt;0),"有证据","缺C575证据"),IF(F575="C575发货确认中",IF(AND(J575&lt;&gt;"",K575&lt;&gt;""),"有证据","缺C575证据"),IF(F575="手动完结",IF(OR(L575&lt;&gt;"",O575&lt;&gt;"",S575&lt;&gt;""),"有记录","缺手工证据"),IF(OR(F575="卖出待补仓",F575="提交结果待确认",F575="异常待处理"),"持续跟踪","检查状态")))))</x:f>
      </x:c>
      <x:c r="T575" s="64" t="str">
        <x:f>IF(A575="","",IF(COUNTIF($A$5:$A$1204,A575)&gt;1,"重复",""))</x:f>
      </x:c>
      <x:c r="U575" s="64" t="str">
        <x:f>IF(A575="","",IF(T575="重复","检查重复",IF(OR(R575="有证据",R575="有记录",R575="持续跟踪"),"可追踪","检查")))</x:f>
      </x:c>
    </x:row>
    <x:row r="576">
      <x:c r="A576" s="62"/>
      <x:c r="B576" s="62"/>
      <x:c r="C576" s="62"/>
      <x:c r="D576" s="66"/>
      <x:c r="E576" s="68"/>
      <x:c r="F576" s="62"/>
      <x:c r="G576" s="62"/>
      <x:c r="H576" s="62"/>
      <x:c r="I576" s="62"/>
      <x:c r="J576" s="62"/>
      <x:c r="K576" s="62"/>
      <x:c r="L576" s="62"/>
      <x:c r="M576" s="68"/>
      <x:c r="N576" s="68"/>
      <x:c r="O576" s="68"/>
      <x:c r="P576" s="71" t="str">
        <x:f>IF(A576="","",IF(N576&gt;0,N576,M576))</x:f>
      </x:c>
      <x:c r="Q576" s="72" t="n">
        <x:f>IF(A576="",0,IF(COUNTIF($A$5:A576,A576)=1,1,0))</x:f>
        <x:v>0</x:v>
      </x:c>
      <x:c r="R576" s="64" t="str">
        <x:f>IF(A576="","",IF(F576="C576成功",IF(AND(J576&lt;&gt;"",K576&lt;&gt;"",N576&gt;0),"有证据","缺C576证据"),IF(F576="C576发货确认中",IF(AND(J576&lt;&gt;"",K576&lt;&gt;""),"有证据","缺C576证据"),IF(F576="手动完结",IF(OR(L576&lt;&gt;"",O576&lt;&gt;"",S576&lt;&gt;""),"有记录","缺手工证据"),IF(OR(F576="卖出待补仓",F576="提交结果待确认",F576="异常待处理"),"持续跟踪","检查状态")))))</x:f>
      </x:c>
      <x:c r="T576" s="64" t="str">
        <x:f>IF(A576="","",IF(COUNTIF($A$5:$A$1204,A576)&gt;1,"重复",""))</x:f>
      </x:c>
      <x:c r="U576" s="64" t="str">
        <x:f>IF(A576="","",IF(T576="重复","检查重复",IF(OR(R576="有证据",R576="有记录",R576="持续跟踪"),"可追踪","检查")))</x:f>
      </x:c>
    </x:row>
    <x:row r="577">
      <x:c r="A577" s="62"/>
      <x:c r="B577" s="62"/>
      <x:c r="C577" s="62"/>
      <x:c r="D577" s="66"/>
      <x:c r="E577" s="68"/>
      <x:c r="F577" s="62"/>
      <x:c r="G577" s="62"/>
      <x:c r="H577" s="62"/>
      <x:c r="I577" s="62"/>
      <x:c r="J577" s="62"/>
      <x:c r="K577" s="62"/>
      <x:c r="L577" s="62"/>
      <x:c r="M577" s="68"/>
      <x:c r="N577" s="68"/>
      <x:c r="O577" s="68"/>
      <x:c r="P577" s="71" t="str">
        <x:f>IF(A577="","",IF(N577&gt;0,N577,M577))</x:f>
      </x:c>
      <x:c r="Q577" s="72" t="n">
        <x:f>IF(A577="",0,IF(COUNTIF($A$5:A577,A577)=1,1,0))</x:f>
        <x:v>0</x:v>
      </x:c>
      <x:c r="R577" s="64" t="str">
        <x:f>IF(A577="","",IF(F577="C577成功",IF(AND(J577&lt;&gt;"",K577&lt;&gt;"",N577&gt;0),"有证据","缺C577证据"),IF(F577="C577发货确认中",IF(AND(J577&lt;&gt;"",K577&lt;&gt;""),"有证据","缺C577证据"),IF(F577="手动完结",IF(OR(L577&lt;&gt;"",O577&lt;&gt;"",S577&lt;&gt;""),"有记录","缺手工证据"),IF(OR(F577="卖出待补仓",F577="提交结果待确认",F577="异常待处理"),"持续跟踪","检查状态")))))</x:f>
      </x:c>
      <x:c r="T577" s="64" t="str">
        <x:f>IF(A577="","",IF(COUNTIF($A$5:$A$1204,A577)&gt;1,"重复",""))</x:f>
      </x:c>
      <x:c r="U577" s="64" t="str">
        <x:f>IF(A577="","",IF(T577="重复","检查重复",IF(OR(R577="有证据",R577="有记录",R577="持续跟踪"),"可追踪","检查")))</x:f>
      </x:c>
    </x:row>
    <x:row r="578">
      <x:c r="A578" s="62"/>
      <x:c r="B578" s="62"/>
      <x:c r="C578" s="62"/>
      <x:c r="D578" s="66"/>
      <x:c r="E578" s="68"/>
      <x:c r="F578" s="62"/>
      <x:c r="G578" s="62"/>
      <x:c r="H578" s="62"/>
      <x:c r="I578" s="62"/>
      <x:c r="J578" s="62"/>
      <x:c r="K578" s="62"/>
      <x:c r="L578" s="62"/>
      <x:c r="M578" s="68"/>
      <x:c r="N578" s="68"/>
      <x:c r="O578" s="68"/>
      <x:c r="P578" s="71" t="str">
        <x:f>IF(A578="","",IF(N578&gt;0,N578,M578))</x:f>
      </x:c>
      <x:c r="Q578" s="72" t="n">
        <x:f>IF(A578="",0,IF(COUNTIF($A$5:A578,A578)=1,1,0))</x:f>
        <x:v>0</x:v>
      </x:c>
      <x:c r="R578" s="64" t="str">
        <x:f>IF(A578="","",IF(F578="C578成功",IF(AND(J578&lt;&gt;"",K578&lt;&gt;"",N578&gt;0),"有证据","缺C578证据"),IF(F578="C578发货确认中",IF(AND(J578&lt;&gt;"",K578&lt;&gt;""),"有证据","缺C578证据"),IF(F578="手动完结",IF(OR(L578&lt;&gt;"",O578&lt;&gt;"",S578&lt;&gt;""),"有记录","缺手工证据"),IF(OR(F578="卖出待补仓",F578="提交结果待确认",F578="异常待处理"),"持续跟踪","检查状态")))))</x:f>
      </x:c>
      <x:c r="T578" s="64" t="str">
        <x:f>IF(A578="","",IF(COUNTIF($A$5:$A$1204,A578)&gt;1,"重复",""))</x:f>
      </x:c>
      <x:c r="U578" s="64" t="str">
        <x:f>IF(A578="","",IF(T578="重复","检查重复",IF(OR(R578="有证据",R578="有记录",R578="持续跟踪"),"可追踪","检查")))</x:f>
      </x:c>
    </x:row>
    <x:row r="579">
      <x:c r="A579" s="62"/>
      <x:c r="B579" s="62"/>
      <x:c r="C579" s="62"/>
      <x:c r="D579" s="66"/>
      <x:c r="E579" s="68"/>
      <x:c r="F579" s="62"/>
      <x:c r="G579" s="62"/>
      <x:c r="H579" s="62"/>
      <x:c r="I579" s="62"/>
      <x:c r="J579" s="62"/>
      <x:c r="K579" s="62"/>
      <x:c r="L579" s="62"/>
      <x:c r="M579" s="68"/>
      <x:c r="N579" s="68"/>
      <x:c r="O579" s="68"/>
      <x:c r="P579" s="71" t="str">
        <x:f>IF(A579="","",IF(N579&gt;0,N579,M579))</x:f>
      </x:c>
      <x:c r="Q579" s="72" t="n">
        <x:f>IF(A579="",0,IF(COUNTIF($A$5:A579,A579)=1,1,0))</x:f>
        <x:v>0</x:v>
      </x:c>
      <x:c r="R579" s="64" t="str">
        <x:f>IF(A579="","",IF(F579="C579成功",IF(AND(J579&lt;&gt;"",K579&lt;&gt;"",N579&gt;0),"有证据","缺C579证据"),IF(F579="C579发货确认中",IF(AND(J579&lt;&gt;"",K579&lt;&gt;""),"有证据","缺C579证据"),IF(F579="手动完结",IF(OR(L579&lt;&gt;"",O579&lt;&gt;"",S579&lt;&gt;""),"有记录","缺手工证据"),IF(OR(F579="卖出待补仓",F579="提交结果待确认",F579="异常待处理"),"持续跟踪","检查状态")))))</x:f>
      </x:c>
      <x:c r="T579" s="64" t="str">
        <x:f>IF(A579="","",IF(COUNTIF($A$5:$A$1204,A579)&gt;1,"重复",""))</x:f>
      </x:c>
      <x:c r="U579" s="64" t="str">
        <x:f>IF(A579="","",IF(T579="重复","检查重复",IF(OR(R579="有证据",R579="有记录",R579="持续跟踪"),"可追踪","检查")))</x:f>
      </x:c>
    </x:row>
    <x:row r="580">
      <x:c r="A580" s="62"/>
      <x:c r="B580" s="62"/>
      <x:c r="C580" s="62"/>
      <x:c r="D580" s="66"/>
      <x:c r="E580" s="68"/>
      <x:c r="F580" s="62"/>
      <x:c r="G580" s="62"/>
      <x:c r="H580" s="62"/>
      <x:c r="I580" s="62"/>
      <x:c r="J580" s="62"/>
      <x:c r="K580" s="62"/>
      <x:c r="L580" s="62"/>
      <x:c r="M580" s="68"/>
      <x:c r="N580" s="68"/>
      <x:c r="O580" s="68"/>
      <x:c r="P580" s="71" t="str">
        <x:f>IF(A580="","",IF(N580&gt;0,N580,M580))</x:f>
      </x:c>
      <x:c r="Q580" s="72" t="n">
        <x:f>IF(A580="",0,IF(COUNTIF($A$5:A580,A580)=1,1,0))</x:f>
        <x:v>0</x:v>
      </x:c>
      <x:c r="R580" s="64" t="str">
        <x:f>IF(A580="","",IF(F580="C580成功",IF(AND(J580&lt;&gt;"",K580&lt;&gt;"",N580&gt;0),"有证据","缺C580证据"),IF(F580="C580发货确认中",IF(AND(J580&lt;&gt;"",K580&lt;&gt;""),"有证据","缺C580证据"),IF(F580="手动完结",IF(OR(L580&lt;&gt;"",O580&lt;&gt;"",S580&lt;&gt;""),"有记录","缺手工证据"),IF(OR(F580="卖出待补仓",F580="提交结果待确认",F580="异常待处理"),"持续跟踪","检查状态")))))</x:f>
      </x:c>
      <x:c r="T580" s="64" t="str">
        <x:f>IF(A580="","",IF(COUNTIF($A$5:$A$1204,A580)&gt;1,"重复",""))</x:f>
      </x:c>
      <x:c r="U580" s="64" t="str">
        <x:f>IF(A580="","",IF(T580="重复","检查重复",IF(OR(R580="有证据",R580="有记录",R580="持续跟踪"),"可追踪","检查")))</x:f>
      </x:c>
    </x:row>
    <x:row r="581">
      <x:c r="A581" s="62"/>
      <x:c r="B581" s="62"/>
      <x:c r="C581" s="62"/>
      <x:c r="D581" s="66"/>
      <x:c r="E581" s="68"/>
      <x:c r="F581" s="62"/>
      <x:c r="G581" s="62"/>
      <x:c r="H581" s="62"/>
      <x:c r="I581" s="62"/>
      <x:c r="J581" s="62"/>
      <x:c r="K581" s="62"/>
      <x:c r="L581" s="62"/>
      <x:c r="M581" s="68"/>
      <x:c r="N581" s="68"/>
      <x:c r="O581" s="68"/>
      <x:c r="P581" s="71" t="str">
        <x:f>IF(A581="","",IF(N581&gt;0,N581,M581))</x:f>
      </x:c>
      <x:c r="Q581" s="72" t="n">
        <x:f>IF(A581="",0,IF(COUNTIF($A$5:A581,A581)=1,1,0))</x:f>
        <x:v>0</x:v>
      </x:c>
      <x:c r="R581" s="64" t="str">
        <x:f>IF(A581="","",IF(F581="C581成功",IF(AND(J581&lt;&gt;"",K581&lt;&gt;"",N581&gt;0),"有证据","缺C581证据"),IF(F581="C581发货确认中",IF(AND(J581&lt;&gt;"",K581&lt;&gt;""),"有证据","缺C581证据"),IF(F581="手动完结",IF(OR(L581&lt;&gt;"",O581&lt;&gt;"",S581&lt;&gt;""),"有记录","缺手工证据"),IF(OR(F581="卖出待补仓",F581="提交结果待确认",F581="异常待处理"),"持续跟踪","检查状态")))))</x:f>
      </x:c>
      <x:c r="T581" s="64" t="str">
        <x:f>IF(A581="","",IF(COUNTIF($A$5:$A$1204,A581)&gt;1,"重复",""))</x:f>
      </x:c>
      <x:c r="U581" s="64" t="str">
        <x:f>IF(A581="","",IF(T581="重复","检查重复",IF(OR(R581="有证据",R581="有记录",R581="持续跟踪"),"可追踪","检查")))</x:f>
      </x:c>
    </x:row>
    <x:row r="582">
      <x:c r="A582" s="62"/>
      <x:c r="B582" s="62"/>
      <x:c r="C582" s="62"/>
      <x:c r="D582" s="66"/>
      <x:c r="E582" s="68"/>
      <x:c r="F582" s="62"/>
      <x:c r="G582" s="62"/>
      <x:c r="H582" s="62"/>
      <x:c r="I582" s="62"/>
      <x:c r="J582" s="62"/>
      <x:c r="K582" s="62"/>
      <x:c r="L582" s="62"/>
      <x:c r="M582" s="68"/>
      <x:c r="N582" s="68"/>
      <x:c r="O582" s="68"/>
      <x:c r="P582" s="71" t="str">
        <x:f>IF(A582="","",IF(N582&gt;0,N582,M582))</x:f>
      </x:c>
      <x:c r="Q582" s="72" t="n">
        <x:f>IF(A582="",0,IF(COUNTIF($A$5:A582,A582)=1,1,0))</x:f>
        <x:v>0</x:v>
      </x:c>
      <x:c r="R582" s="64" t="str">
        <x:f>IF(A582="","",IF(F582="C582成功",IF(AND(J582&lt;&gt;"",K582&lt;&gt;"",N582&gt;0),"有证据","缺C582证据"),IF(F582="C582发货确认中",IF(AND(J582&lt;&gt;"",K582&lt;&gt;""),"有证据","缺C582证据"),IF(F582="手动完结",IF(OR(L582&lt;&gt;"",O582&lt;&gt;"",S582&lt;&gt;""),"有记录","缺手工证据"),IF(OR(F582="卖出待补仓",F582="提交结果待确认",F582="异常待处理"),"持续跟踪","检查状态")))))</x:f>
      </x:c>
      <x:c r="T582" s="64" t="str">
        <x:f>IF(A582="","",IF(COUNTIF($A$5:$A$1204,A582)&gt;1,"重复",""))</x:f>
      </x:c>
      <x:c r="U582" s="64" t="str">
        <x:f>IF(A582="","",IF(T582="重复","检查重复",IF(OR(R582="有证据",R582="有记录",R582="持续跟踪"),"可追踪","检查")))</x:f>
      </x:c>
    </x:row>
    <x:row r="583">
      <x:c r="A583" s="62"/>
      <x:c r="B583" s="62"/>
      <x:c r="C583" s="62"/>
      <x:c r="D583" s="66"/>
      <x:c r="E583" s="68"/>
      <x:c r="F583" s="62"/>
      <x:c r="G583" s="62"/>
      <x:c r="H583" s="62"/>
      <x:c r="I583" s="62"/>
      <x:c r="J583" s="62"/>
      <x:c r="K583" s="62"/>
      <x:c r="L583" s="62"/>
      <x:c r="M583" s="68"/>
      <x:c r="N583" s="68"/>
      <x:c r="O583" s="68"/>
      <x:c r="P583" s="71" t="str">
        <x:f>IF(A583="","",IF(N583&gt;0,N583,M583))</x:f>
      </x:c>
      <x:c r="Q583" s="72" t="n">
        <x:f>IF(A583="",0,IF(COUNTIF($A$5:A583,A583)=1,1,0))</x:f>
        <x:v>0</x:v>
      </x:c>
      <x:c r="R583" s="64" t="str">
        <x:f>IF(A583="","",IF(F583="C583成功",IF(AND(J583&lt;&gt;"",K583&lt;&gt;"",N583&gt;0),"有证据","缺C583证据"),IF(F583="C583发货确认中",IF(AND(J583&lt;&gt;"",K583&lt;&gt;""),"有证据","缺C583证据"),IF(F583="手动完结",IF(OR(L583&lt;&gt;"",O583&lt;&gt;"",S583&lt;&gt;""),"有记录","缺手工证据"),IF(OR(F583="卖出待补仓",F583="提交结果待确认",F583="异常待处理"),"持续跟踪","检查状态")))))</x:f>
      </x:c>
      <x:c r="T583" s="64" t="str">
        <x:f>IF(A583="","",IF(COUNTIF($A$5:$A$1204,A583)&gt;1,"重复",""))</x:f>
      </x:c>
      <x:c r="U583" s="64" t="str">
        <x:f>IF(A583="","",IF(T583="重复","检查重复",IF(OR(R583="有证据",R583="有记录",R583="持续跟踪"),"可追踪","检查")))</x:f>
      </x:c>
    </x:row>
    <x:row r="584">
      <x:c r="A584" s="62"/>
      <x:c r="B584" s="62"/>
      <x:c r="C584" s="62"/>
      <x:c r="D584" s="66"/>
      <x:c r="E584" s="68"/>
      <x:c r="F584" s="62"/>
      <x:c r="G584" s="62"/>
      <x:c r="H584" s="62"/>
      <x:c r="I584" s="62"/>
      <x:c r="J584" s="62"/>
      <x:c r="K584" s="62"/>
      <x:c r="L584" s="62"/>
      <x:c r="M584" s="68"/>
      <x:c r="N584" s="68"/>
      <x:c r="O584" s="68"/>
      <x:c r="P584" s="71" t="str">
        <x:f>IF(A584="","",IF(N584&gt;0,N584,M584))</x:f>
      </x:c>
      <x:c r="Q584" s="72" t="n">
        <x:f>IF(A584="",0,IF(COUNTIF($A$5:A584,A584)=1,1,0))</x:f>
        <x:v>0</x:v>
      </x:c>
      <x:c r="R584" s="64" t="str">
        <x:f>IF(A584="","",IF(F584="C584成功",IF(AND(J584&lt;&gt;"",K584&lt;&gt;"",N584&gt;0),"有证据","缺C584证据"),IF(F584="C584发货确认中",IF(AND(J584&lt;&gt;"",K584&lt;&gt;""),"有证据","缺C584证据"),IF(F584="手动完结",IF(OR(L584&lt;&gt;"",O584&lt;&gt;"",S584&lt;&gt;""),"有记录","缺手工证据"),IF(OR(F584="卖出待补仓",F584="提交结果待确认",F584="异常待处理"),"持续跟踪","检查状态")))))</x:f>
      </x:c>
      <x:c r="T584" s="64" t="str">
        <x:f>IF(A584="","",IF(COUNTIF($A$5:$A$1204,A584)&gt;1,"重复",""))</x:f>
      </x:c>
      <x:c r="U584" s="64" t="str">
        <x:f>IF(A584="","",IF(T584="重复","检查重复",IF(OR(R584="有证据",R584="有记录",R584="持续跟踪"),"可追踪","检查")))</x:f>
      </x:c>
    </x:row>
    <x:row r="585">
      <x:c r="A585" s="62"/>
      <x:c r="B585" s="62"/>
      <x:c r="C585" s="62"/>
      <x:c r="D585" s="66"/>
      <x:c r="E585" s="68"/>
      <x:c r="F585" s="62"/>
      <x:c r="G585" s="62"/>
      <x:c r="H585" s="62"/>
      <x:c r="I585" s="62"/>
      <x:c r="J585" s="62"/>
      <x:c r="K585" s="62"/>
      <x:c r="L585" s="62"/>
      <x:c r="M585" s="68"/>
      <x:c r="N585" s="68"/>
      <x:c r="O585" s="68"/>
      <x:c r="P585" s="71" t="str">
        <x:f>IF(A585="","",IF(N585&gt;0,N585,M585))</x:f>
      </x:c>
      <x:c r="Q585" s="72" t="n">
        <x:f>IF(A585="",0,IF(COUNTIF($A$5:A585,A585)=1,1,0))</x:f>
        <x:v>0</x:v>
      </x:c>
      <x:c r="R585" s="64" t="str">
        <x:f>IF(A585="","",IF(F585="C585成功",IF(AND(J585&lt;&gt;"",K585&lt;&gt;"",N585&gt;0),"有证据","缺C585证据"),IF(F585="C585发货确认中",IF(AND(J585&lt;&gt;"",K585&lt;&gt;""),"有证据","缺C585证据"),IF(F585="手动完结",IF(OR(L585&lt;&gt;"",O585&lt;&gt;"",S585&lt;&gt;""),"有记录","缺手工证据"),IF(OR(F585="卖出待补仓",F585="提交结果待确认",F585="异常待处理"),"持续跟踪","检查状态")))))</x:f>
      </x:c>
      <x:c r="T585" s="64" t="str">
        <x:f>IF(A585="","",IF(COUNTIF($A$5:$A$1204,A585)&gt;1,"重复",""))</x:f>
      </x:c>
      <x:c r="U585" s="64" t="str">
        <x:f>IF(A585="","",IF(T585="重复","检查重复",IF(OR(R585="有证据",R585="有记录",R585="持续跟踪"),"可追踪","检查")))</x:f>
      </x:c>
    </x:row>
    <x:row r="586">
      <x:c r="A586" s="62"/>
      <x:c r="B586" s="62"/>
      <x:c r="C586" s="62"/>
      <x:c r="D586" s="66"/>
      <x:c r="E586" s="68"/>
      <x:c r="F586" s="62"/>
      <x:c r="G586" s="62"/>
      <x:c r="H586" s="62"/>
      <x:c r="I586" s="62"/>
      <x:c r="J586" s="62"/>
      <x:c r="K586" s="62"/>
      <x:c r="L586" s="62"/>
      <x:c r="M586" s="68"/>
      <x:c r="N586" s="68"/>
      <x:c r="O586" s="68"/>
      <x:c r="P586" s="71" t="str">
        <x:f>IF(A586="","",IF(N586&gt;0,N586,M586))</x:f>
      </x:c>
      <x:c r="Q586" s="72" t="n">
        <x:f>IF(A586="",0,IF(COUNTIF($A$5:A586,A586)=1,1,0))</x:f>
        <x:v>0</x:v>
      </x:c>
      <x:c r="R586" s="64" t="str">
        <x:f>IF(A586="","",IF(F586="C586成功",IF(AND(J586&lt;&gt;"",K586&lt;&gt;"",N586&gt;0),"有证据","缺C586证据"),IF(F586="C586发货确认中",IF(AND(J586&lt;&gt;"",K586&lt;&gt;""),"有证据","缺C586证据"),IF(F586="手动完结",IF(OR(L586&lt;&gt;"",O586&lt;&gt;"",S586&lt;&gt;""),"有记录","缺手工证据"),IF(OR(F586="卖出待补仓",F586="提交结果待确认",F586="异常待处理"),"持续跟踪","检查状态")))))</x:f>
      </x:c>
      <x:c r="T586" s="64" t="str">
        <x:f>IF(A586="","",IF(COUNTIF($A$5:$A$1204,A586)&gt;1,"重复",""))</x:f>
      </x:c>
      <x:c r="U586" s="64" t="str">
        <x:f>IF(A586="","",IF(T586="重复","检查重复",IF(OR(R586="有证据",R586="有记录",R586="持续跟踪"),"可追踪","检查")))</x:f>
      </x:c>
    </x:row>
    <x:row r="587">
      <x:c r="A587" s="62"/>
      <x:c r="B587" s="62"/>
      <x:c r="C587" s="62"/>
      <x:c r="D587" s="66"/>
      <x:c r="E587" s="68"/>
      <x:c r="F587" s="62"/>
      <x:c r="G587" s="62"/>
      <x:c r="H587" s="62"/>
      <x:c r="I587" s="62"/>
      <x:c r="J587" s="62"/>
      <x:c r="K587" s="62"/>
      <x:c r="L587" s="62"/>
      <x:c r="M587" s="68"/>
      <x:c r="N587" s="68"/>
      <x:c r="O587" s="68"/>
      <x:c r="P587" s="71" t="str">
        <x:f>IF(A587="","",IF(N587&gt;0,N587,M587))</x:f>
      </x:c>
      <x:c r="Q587" s="72" t="n">
        <x:f>IF(A587="",0,IF(COUNTIF($A$5:A587,A587)=1,1,0))</x:f>
        <x:v>0</x:v>
      </x:c>
      <x:c r="R587" s="64" t="str">
        <x:f>IF(A587="","",IF(F587="C587成功",IF(AND(J587&lt;&gt;"",K587&lt;&gt;"",N587&gt;0),"有证据","缺C587证据"),IF(F587="C587发货确认中",IF(AND(J587&lt;&gt;"",K587&lt;&gt;""),"有证据","缺C587证据"),IF(F587="手动完结",IF(OR(L587&lt;&gt;"",O587&lt;&gt;"",S587&lt;&gt;""),"有记录","缺手工证据"),IF(OR(F587="卖出待补仓",F587="提交结果待确认",F587="异常待处理"),"持续跟踪","检查状态")))))</x:f>
      </x:c>
      <x:c r="T587" s="64" t="str">
        <x:f>IF(A587="","",IF(COUNTIF($A$5:$A$1204,A587)&gt;1,"重复",""))</x:f>
      </x:c>
      <x:c r="U587" s="64" t="str">
        <x:f>IF(A587="","",IF(T587="重复","检查重复",IF(OR(R587="有证据",R587="有记录",R587="持续跟踪"),"可追踪","检查")))</x:f>
      </x:c>
    </x:row>
    <x:row r="588">
      <x:c r="A588" s="62"/>
      <x:c r="B588" s="62"/>
      <x:c r="C588" s="62"/>
      <x:c r="D588" s="66"/>
      <x:c r="E588" s="68"/>
      <x:c r="F588" s="62"/>
      <x:c r="G588" s="62"/>
      <x:c r="H588" s="62"/>
      <x:c r="I588" s="62"/>
      <x:c r="J588" s="62"/>
      <x:c r="K588" s="62"/>
      <x:c r="L588" s="62"/>
      <x:c r="M588" s="68"/>
      <x:c r="N588" s="68"/>
      <x:c r="O588" s="68"/>
      <x:c r="P588" s="71" t="str">
        <x:f>IF(A588="","",IF(N588&gt;0,N588,M588))</x:f>
      </x:c>
      <x:c r="Q588" s="72" t="n">
        <x:f>IF(A588="",0,IF(COUNTIF($A$5:A588,A588)=1,1,0))</x:f>
        <x:v>0</x:v>
      </x:c>
      <x:c r="R588" s="64" t="str">
        <x:f>IF(A588="","",IF(F588="C588成功",IF(AND(J588&lt;&gt;"",K588&lt;&gt;"",N588&gt;0),"有证据","缺C588证据"),IF(F588="C588发货确认中",IF(AND(J588&lt;&gt;"",K588&lt;&gt;""),"有证据","缺C588证据"),IF(F588="手动完结",IF(OR(L588&lt;&gt;"",O588&lt;&gt;"",S588&lt;&gt;""),"有记录","缺手工证据"),IF(OR(F588="卖出待补仓",F588="提交结果待确认",F588="异常待处理"),"持续跟踪","检查状态")))))</x:f>
      </x:c>
      <x:c r="T588" s="64" t="str">
        <x:f>IF(A588="","",IF(COUNTIF($A$5:$A$1204,A588)&gt;1,"重复",""))</x:f>
      </x:c>
      <x:c r="U588" s="64" t="str">
        <x:f>IF(A588="","",IF(T588="重复","检查重复",IF(OR(R588="有证据",R588="有记录",R588="持续跟踪"),"可追踪","检查")))</x:f>
      </x:c>
    </x:row>
    <x:row r="589">
      <x:c r="A589" s="62"/>
      <x:c r="B589" s="62"/>
      <x:c r="C589" s="62"/>
      <x:c r="D589" s="66"/>
      <x:c r="E589" s="68"/>
      <x:c r="F589" s="62"/>
      <x:c r="G589" s="62"/>
      <x:c r="H589" s="62"/>
      <x:c r="I589" s="62"/>
      <x:c r="J589" s="62"/>
      <x:c r="K589" s="62"/>
      <x:c r="L589" s="62"/>
      <x:c r="M589" s="68"/>
      <x:c r="N589" s="68"/>
      <x:c r="O589" s="68"/>
      <x:c r="P589" s="71" t="str">
        <x:f>IF(A589="","",IF(N589&gt;0,N589,M589))</x:f>
      </x:c>
      <x:c r="Q589" s="72" t="n">
        <x:f>IF(A589="",0,IF(COUNTIF($A$5:A589,A589)=1,1,0))</x:f>
        <x:v>0</x:v>
      </x:c>
      <x:c r="R589" s="64" t="str">
        <x:f>IF(A589="","",IF(F589="C589成功",IF(AND(J589&lt;&gt;"",K589&lt;&gt;"",N589&gt;0),"有证据","缺C589证据"),IF(F589="C589发货确认中",IF(AND(J589&lt;&gt;"",K589&lt;&gt;""),"有证据","缺C589证据"),IF(F589="手动完结",IF(OR(L589&lt;&gt;"",O589&lt;&gt;"",S589&lt;&gt;""),"有记录","缺手工证据"),IF(OR(F589="卖出待补仓",F589="提交结果待确认",F589="异常待处理"),"持续跟踪","检查状态")))))</x:f>
      </x:c>
      <x:c r="T589" s="64" t="str">
        <x:f>IF(A589="","",IF(COUNTIF($A$5:$A$1204,A589)&gt;1,"重复",""))</x:f>
      </x:c>
      <x:c r="U589" s="64" t="str">
        <x:f>IF(A589="","",IF(T589="重复","检查重复",IF(OR(R589="有证据",R589="有记录",R589="持续跟踪"),"可追踪","检查")))</x:f>
      </x:c>
    </x:row>
    <x:row r="590">
      <x:c r="A590" s="62"/>
      <x:c r="B590" s="62"/>
      <x:c r="C590" s="62"/>
      <x:c r="D590" s="66"/>
      <x:c r="E590" s="68"/>
      <x:c r="F590" s="62"/>
      <x:c r="G590" s="62"/>
      <x:c r="H590" s="62"/>
      <x:c r="I590" s="62"/>
      <x:c r="J590" s="62"/>
      <x:c r="K590" s="62"/>
      <x:c r="L590" s="62"/>
      <x:c r="M590" s="68"/>
      <x:c r="N590" s="68"/>
      <x:c r="O590" s="68"/>
      <x:c r="P590" s="71" t="str">
        <x:f>IF(A590="","",IF(N590&gt;0,N590,M590))</x:f>
      </x:c>
      <x:c r="Q590" s="72" t="n">
        <x:f>IF(A590="",0,IF(COUNTIF($A$5:A590,A590)=1,1,0))</x:f>
        <x:v>0</x:v>
      </x:c>
      <x:c r="R590" s="64" t="str">
        <x:f>IF(A590="","",IF(F590="C590成功",IF(AND(J590&lt;&gt;"",K590&lt;&gt;"",N590&gt;0),"有证据","缺C590证据"),IF(F590="C590发货确认中",IF(AND(J590&lt;&gt;"",K590&lt;&gt;""),"有证据","缺C590证据"),IF(F590="手动完结",IF(OR(L590&lt;&gt;"",O590&lt;&gt;"",S590&lt;&gt;""),"有记录","缺手工证据"),IF(OR(F590="卖出待补仓",F590="提交结果待确认",F590="异常待处理"),"持续跟踪","检查状态")))))</x:f>
      </x:c>
      <x:c r="T590" s="64" t="str">
        <x:f>IF(A590="","",IF(COUNTIF($A$5:$A$1204,A590)&gt;1,"重复",""))</x:f>
      </x:c>
      <x:c r="U590" s="64" t="str">
        <x:f>IF(A590="","",IF(T590="重复","检查重复",IF(OR(R590="有证据",R590="有记录",R590="持续跟踪"),"可追踪","检查")))</x:f>
      </x:c>
    </x:row>
    <x:row r="591">
      <x:c r="A591" s="62"/>
      <x:c r="B591" s="62"/>
      <x:c r="C591" s="62"/>
      <x:c r="D591" s="66"/>
      <x:c r="E591" s="68"/>
      <x:c r="F591" s="62"/>
      <x:c r="G591" s="62"/>
      <x:c r="H591" s="62"/>
      <x:c r="I591" s="62"/>
      <x:c r="J591" s="62"/>
      <x:c r="K591" s="62"/>
      <x:c r="L591" s="62"/>
      <x:c r="M591" s="68"/>
      <x:c r="N591" s="68"/>
      <x:c r="O591" s="68"/>
      <x:c r="P591" s="71" t="str">
        <x:f>IF(A591="","",IF(N591&gt;0,N591,M591))</x:f>
      </x:c>
      <x:c r="Q591" s="72" t="n">
        <x:f>IF(A591="",0,IF(COUNTIF($A$5:A591,A591)=1,1,0))</x:f>
        <x:v>0</x:v>
      </x:c>
      <x:c r="R591" s="64" t="str">
        <x:f>IF(A591="","",IF(F591="C591成功",IF(AND(J591&lt;&gt;"",K591&lt;&gt;"",N591&gt;0),"有证据","缺C591证据"),IF(F591="C591发货确认中",IF(AND(J591&lt;&gt;"",K591&lt;&gt;""),"有证据","缺C591证据"),IF(F591="手动完结",IF(OR(L591&lt;&gt;"",O591&lt;&gt;"",S591&lt;&gt;""),"有记录","缺手工证据"),IF(OR(F591="卖出待补仓",F591="提交结果待确认",F591="异常待处理"),"持续跟踪","检查状态")))))</x:f>
      </x:c>
      <x:c r="T591" s="64" t="str">
        <x:f>IF(A591="","",IF(COUNTIF($A$5:$A$1204,A591)&gt;1,"重复",""))</x:f>
      </x:c>
      <x:c r="U591" s="64" t="str">
        <x:f>IF(A591="","",IF(T591="重复","检查重复",IF(OR(R591="有证据",R591="有记录",R591="持续跟踪"),"可追踪","检查")))</x:f>
      </x:c>
    </x:row>
    <x:row r="592">
      <x:c r="A592" s="62"/>
      <x:c r="B592" s="62"/>
      <x:c r="C592" s="62"/>
      <x:c r="D592" s="66"/>
      <x:c r="E592" s="68"/>
      <x:c r="F592" s="62"/>
      <x:c r="G592" s="62"/>
      <x:c r="H592" s="62"/>
      <x:c r="I592" s="62"/>
      <x:c r="J592" s="62"/>
      <x:c r="K592" s="62"/>
      <x:c r="L592" s="62"/>
      <x:c r="M592" s="68"/>
      <x:c r="N592" s="68"/>
      <x:c r="O592" s="68"/>
      <x:c r="P592" s="71" t="str">
        <x:f>IF(A592="","",IF(N592&gt;0,N592,M592))</x:f>
      </x:c>
      <x:c r="Q592" s="72" t="n">
        <x:f>IF(A592="",0,IF(COUNTIF($A$5:A592,A592)=1,1,0))</x:f>
        <x:v>0</x:v>
      </x:c>
      <x:c r="R592" s="64" t="str">
        <x:f>IF(A592="","",IF(F592="C592成功",IF(AND(J592&lt;&gt;"",K592&lt;&gt;"",N592&gt;0),"有证据","缺C592证据"),IF(F592="C592发货确认中",IF(AND(J592&lt;&gt;"",K592&lt;&gt;""),"有证据","缺C592证据"),IF(F592="手动完结",IF(OR(L592&lt;&gt;"",O592&lt;&gt;"",S592&lt;&gt;""),"有记录","缺手工证据"),IF(OR(F592="卖出待补仓",F592="提交结果待确认",F592="异常待处理"),"持续跟踪","检查状态")))))</x:f>
      </x:c>
      <x:c r="T592" s="64" t="str">
        <x:f>IF(A592="","",IF(COUNTIF($A$5:$A$1204,A592)&gt;1,"重复",""))</x:f>
      </x:c>
      <x:c r="U592" s="64" t="str">
        <x:f>IF(A592="","",IF(T592="重复","检查重复",IF(OR(R592="有证据",R592="有记录",R592="持续跟踪"),"可追踪","检查")))</x:f>
      </x:c>
    </x:row>
    <x:row r="593">
      <x:c r="A593" s="62"/>
      <x:c r="B593" s="62"/>
      <x:c r="C593" s="62"/>
      <x:c r="D593" s="66"/>
      <x:c r="E593" s="68"/>
      <x:c r="F593" s="62"/>
      <x:c r="G593" s="62"/>
      <x:c r="H593" s="62"/>
      <x:c r="I593" s="62"/>
      <x:c r="J593" s="62"/>
      <x:c r="K593" s="62"/>
      <x:c r="L593" s="62"/>
      <x:c r="M593" s="68"/>
      <x:c r="N593" s="68"/>
      <x:c r="O593" s="68"/>
      <x:c r="P593" s="71" t="str">
        <x:f>IF(A593="","",IF(N593&gt;0,N593,M593))</x:f>
      </x:c>
      <x:c r="Q593" s="72" t="n">
        <x:f>IF(A593="",0,IF(COUNTIF($A$5:A593,A593)=1,1,0))</x:f>
        <x:v>0</x:v>
      </x:c>
      <x:c r="R593" s="64" t="str">
        <x:f>IF(A593="","",IF(F593="C593成功",IF(AND(J593&lt;&gt;"",K593&lt;&gt;"",N593&gt;0),"有证据","缺C593证据"),IF(F593="C593发货确认中",IF(AND(J593&lt;&gt;"",K593&lt;&gt;""),"有证据","缺C593证据"),IF(F593="手动完结",IF(OR(L593&lt;&gt;"",O593&lt;&gt;"",S593&lt;&gt;""),"有记录","缺手工证据"),IF(OR(F593="卖出待补仓",F593="提交结果待确认",F593="异常待处理"),"持续跟踪","检查状态")))))</x:f>
      </x:c>
      <x:c r="T593" s="64" t="str">
        <x:f>IF(A593="","",IF(COUNTIF($A$5:$A$1204,A593)&gt;1,"重复",""))</x:f>
      </x:c>
      <x:c r="U593" s="64" t="str">
        <x:f>IF(A593="","",IF(T593="重复","检查重复",IF(OR(R593="有证据",R593="有记录",R593="持续跟踪"),"可追踪","检查")))</x:f>
      </x:c>
    </x:row>
    <x:row r="594">
      <x:c r="A594" s="62"/>
      <x:c r="B594" s="62"/>
      <x:c r="C594" s="62"/>
      <x:c r="D594" s="66"/>
      <x:c r="E594" s="68"/>
      <x:c r="F594" s="62"/>
      <x:c r="G594" s="62"/>
      <x:c r="H594" s="62"/>
      <x:c r="I594" s="62"/>
      <x:c r="J594" s="62"/>
      <x:c r="K594" s="62"/>
      <x:c r="L594" s="62"/>
      <x:c r="M594" s="68"/>
      <x:c r="N594" s="68"/>
      <x:c r="O594" s="68"/>
      <x:c r="P594" s="71" t="str">
        <x:f>IF(A594="","",IF(N594&gt;0,N594,M594))</x:f>
      </x:c>
      <x:c r="Q594" s="72" t="n">
        <x:f>IF(A594="",0,IF(COUNTIF($A$5:A594,A594)=1,1,0))</x:f>
        <x:v>0</x:v>
      </x:c>
      <x:c r="R594" s="64" t="str">
        <x:f>IF(A594="","",IF(F594="C594成功",IF(AND(J594&lt;&gt;"",K594&lt;&gt;"",N594&gt;0),"有证据","缺C594证据"),IF(F594="C594发货确认中",IF(AND(J594&lt;&gt;"",K594&lt;&gt;""),"有证据","缺C594证据"),IF(F594="手动完结",IF(OR(L594&lt;&gt;"",O594&lt;&gt;"",S594&lt;&gt;""),"有记录","缺手工证据"),IF(OR(F594="卖出待补仓",F594="提交结果待确认",F594="异常待处理"),"持续跟踪","检查状态")))))</x:f>
      </x:c>
      <x:c r="T594" s="64" t="str">
        <x:f>IF(A594="","",IF(COUNTIF($A$5:$A$1204,A594)&gt;1,"重复",""))</x:f>
      </x:c>
      <x:c r="U594" s="64" t="str">
        <x:f>IF(A594="","",IF(T594="重复","检查重复",IF(OR(R594="有证据",R594="有记录",R594="持续跟踪"),"可追踪","检查")))</x:f>
      </x:c>
    </x:row>
    <x:row r="595">
      <x:c r="A595" s="62"/>
      <x:c r="B595" s="62"/>
      <x:c r="C595" s="62"/>
      <x:c r="D595" s="66"/>
      <x:c r="E595" s="68"/>
      <x:c r="F595" s="62"/>
      <x:c r="G595" s="62"/>
      <x:c r="H595" s="62"/>
      <x:c r="I595" s="62"/>
      <x:c r="J595" s="62"/>
      <x:c r="K595" s="62"/>
      <x:c r="L595" s="62"/>
      <x:c r="M595" s="68"/>
      <x:c r="N595" s="68"/>
      <x:c r="O595" s="68"/>
      <x:c r="P595" s="71" t="str">
        <x:f>IF(A595="","",IF(N595&gt;0,N595,M595))</x:f>
      </x:c>
      <x:c r="Q595" s="72" t="n">
        <x:f>IF(A595="",0,IF(COUNTIF($A$5:A595,A595)=1,1,0))</x:f>
        <x:v>0</x:v>
      </x:c>
      <x:c r="R595" s="64" t="str">
        <x:f>IF(A595="","",IF(F595="C595成功",IF(AND(J595&lt;&gt;"",K595&lt;&gt;"",N595&gt;0),"有证据","缺C595证据"),IF(F595="C595发货确认中",IF(AND(J595&lt;&gt;"",K595&lt;&gt;""),"有证据","缺C595证据"),IF(F595="手动完结",IF(OR(L595&lt;&gt;"",O595&lt;&gt;"",S595&lt;&gt;""),"有记录","缺手工证据"),IF(OR(F595="卖出待补仓",F595="提交结果待确认",F595="异常待处理"),"持续跟踪","检查状态")))))</x:f>
      </x:c>
      <x:c r="T595" s="64" t="str">
        <x:f>IF(A595="","",IF(COUNTIF($A$5:$A$1204,A595)&gt;1,"重复",""))</x:f>
      </x:c>
      <x:c r="U595" s="64" t="str">
        <x:f>IF(A595="","",IF(T595="重复","检查重复",IF(OR(R595="有证据",R595="有记录",R595="持续跟踪"),"可追踪","检查")))</x:f>
      </x:c>
    </x:row>
    <x:row r="596">
      <x:c r="A596" s="62"/>
      <x:c r="B596" s="62"/>
      <x:c r="C596" s="62"/>
      <x:c r="D596" s="66"/>
      <x:c r="E596" s="68"/>
      <x:c r="F596" s="62"/>
      <x:c r="G596" s="62"/>
      <x:c r="H596" s="62"/>
      <x:c r="I596" s="62"/>
      <x:c r="J596" s="62"/>
      <x:c r="K596" s="62"/>
      <x:c r="L596" s="62"/>
      <x:c r="M596" s="68"/>
      <x:c r="N596" s="68"/>
      <x:c r="O596" s="68"/>
      <x:c r="P596" s="71" t="str">
        <x:f>IF(A596="","",IF(N596&gt;0,N596,M596))</x:f>
      </x:c>
      <x:c r="Q596" s="72" t="n">
        <x:f>IF(A596="",0,IF(COUNTIF($A$5:A596,A596)=1,1,0))</x:f>
        <x:v>0</x:v>
      </x:c>
      <x:c r="R596" s="64" t="str">
        <x:f>IF(A596="","",IF(F596="C596成功",IF(AND(J596&lt;&gt;"",K596&lt;&gt;"",N596&gt;0),"有证据","缺C596证据"),IF(F596="C596发货确认中",IF(AND(J596&lt;&gt;"",K596&lt;&gt;""),"有证据","缺C596证据"),IF(F596="手动完结",IF(OR(L596&lt;&gt;"",O596&lt;&gt;"",S596&lt;&gt;""),"有记录","缺手工证据"),IF(OR(F596="卖出待补仓",F596="提交结果待确认",F596="异常待处理"),"持续跟踪","检查状态")))))</x:f>
      </x:c>
      <x:c r="T596" s="64" t="str">
        <x:f>IF(A596="","",IF(COUNTIF($A$5:$A$1204,A596)&gt;1,"重复",""))</x:f>
      </x:c>
      <x:c r="U596" s="64" t="str">
        <x:f>IF(A596="","",IF(T596="重复","检查重复",IF(OR(R596="有证据",R596="有记录",R596="持续跟踪"),"可追踪","检查")))</x:f>
      </x:c>
    </x:row>
    <x:row r="597">
      <x:c r="A597" s="62"/>
      <x:c r="B597" s="62"/>
      <x:c r="C597" s="62"/>
      <x:c r="D597" s="66"/>
      <x:c r="E597" s="68"/>
      <x:c r="F597" s="62"/>
      <x:c r="G597" s="62"/>
      <x:c r="H597" s="62"/>
      <x:c r="I597" s="62"/>
      <x:c r="J597" s="62"/>
      <x:c r="K597" s="62"/>
      <x:c r="L597" s="62"/>
      <x:c r="M597" s="68"/>
      <x:c r="N597" s="68"/>
      <x:c r="O597" s="68"/>
      <x:c r="P597" s="71" t="str">
        <x:f>IF(A597="","",IF(N597&gt;0,N597,M597))</x:f>
      </x:c>
      <x:c r="Q597" s="72" t="n">
        <x:f>IF(A597="",0,IF(COUNTIF($A$5:A597,A597)=1,1,0))</x:f>
        <x:v>0</x:v>
      </x:c>
      <x:c r="R597" s="64" t="str">
        <x:f>IF(A597="","",IF(F597="C597成功",IF(AND(J597&lt;&gt;"",K597&lt;&gt;"",N597&gt;0),"有证据","缺C597证据"),IF(F597="C597发货确认中",IF(AND(J597&lt;&gt;"",K597&lt;&gt;""),"有证据","缺C597证据"),IF(F597="手动完结",IF(OR(L597&lt;&gt;"",O597&lt;&gt;"",S597&lt;&gt;""),"有记录","缺手工证据"),IF(OR(F597="卖出待补仓",F597="提交结果待确认",F597="异常待处理"),"持续跟踪","检查状态")))))</x:f>
      </x:c>
      <x:c r="T597" s="64" t="str">
        <x:f>IF(A597="","",IF(COUNTIF($A$5:$A$1204,A597)&gt;1,"重复",""))</x:f>
      </x:c>
      <x:c r="U597" s="64" t="str">
        <x:f>IF(A597="","",IF(T597="重复","检查重复",IF(OR(R597="有证据",R597="有记录",R597="持续跟踪"),"可追踪","检查")))</x:f>
      </x:c>
    </x:row>
    <x:row r="598">
      <x:c r="A598" s="62"/>
      <x:c r="B598" s="62"/>
      <x:c r="C598" s="62"/>
      <x:c r="D598" s="66"/>
      <x:c r="E598" s="68"/>
      <x:c r="F598" s="62"/>
      <x:c r="G598" s="62"/>
      <x:c r="H598" s="62"/>
      <x:c r="I598" s="62"/>
      <x:c r="J598" s="62"/>
      <x:c r="K598" s="62"/>
      <x:c r="L598" s="62"/>
      <x:c r="M598" s="68"/>
      <x:c r="N598" s="68"/>
      <x:c r="O598" s="68"/>
      <x:c r="P598" s="71" t="str">
        <x:f>IF(A598="","",IF(N598&gt;0,N598,M598))</x:f>
      </x:c>
      <x:c r="Q598" s="72" t="n">
        <x:f>IF(A598="",0,IF(COUNTIF($A$5:A598,A598)=1,1,0))</x:f>
        <x:v>0</x:v>
      </x:c>
      <x:c r="R598" s="64" t="str">
        <x:f>IF(A598="","",IF(F598="C598成功",IF(AND(J598&lt;&gt;"",K598&lt;&gt;"",N598&gt;0),"有证据","缺C598证据"),IF(F598="C598发货确认中",IF(AND(J598&lt;&gt;"",K598&lt;&gt;""),"有证据","缺C598证据"),IF(F598="手动完结",IF(OR(L598&lt;&gt;"",O598&lt;&gt;"",S598&lt;&gt;""),"有记录","缺手工证据"),IF(OR(F598="卖出待补仓",F598="提交结果待确认",F598="异常待处理"),"持续跟踪","检查状态")))))</x:f>
      </x:c>
      <x:c r="T598" s="64" t="str">
        <x:f>IF(A598="","",IF(COUNTIF($A$5:$A$1204,A598)&gt;1,"重复",""))</x:f>
      </x:c>
      <x:c r="U598" s="64" t="str">
        <x:f>IF(A598="","",IF(T598="重复","检查重复",IF(OR(R598="有证据",R598="有记录",R598="持续跟踪"),"可追踪","检查")))</x:f>
      </x:c>
    </x:row>
    <x:row r="599">
      <x:c r="A599" s="62"/>
      <x:c r="B599" s="62"/>
      <x:c r="C599" s="62"/>
      <x:c r="D599" s="66"/>
      <x:c r="E599" s="68"/>
      <x:c r="F599" s="62"/>
      <x:c r="G599" s="62"/>
      <x:c r="H599" s="62"/>
      <x:c r="I599" s="62"/>
      <x:c r="J599" s="62"/>
      <x:c r="K599" s="62"/>
      <x:c r="L599" s="62"/>
      <x:c r="M599" s="68"/>
      <x:c r="N599" s="68"/>
      <x:c r="O599" s="68"/>
      <x:c r="P599" s="71" t="str">
        <x:f>IF(A599="","",IF(N599&gt;0,N599,M599))</x:f>
      </x:c>
      <x:c r="Q599" s="72" t="n">
        <x:f>IF(A599="",0,IF(COUNTIF($A$5:A599,A599)=1,1,0))</x:f>
        <x:v>0</x:v>
      </x:c>
      <x:c r="R599" s="64" t="str">
        <x:f>IF(A599="","",IF(F599="C599成功",IF(AND(J599&lt;&gt;"",K599&lt;&gt;"",N599&gt;0),"有证据","缺C599证据"),IF(F599="C599发货确认中",IF(AND(J599&lt;&gt;"",K599&lt;&gt;""),"有证据","缺C599证据"),IF(F599="手动完结",IF(OR(L599&lt;&gt;"",O599&lt;&gt;"",S599&lt;&gt;""),"有记录","缺手工证据"),IF(OR(F599="卖出待补仓",F599="提交结果待确认",F599="异常待处理"),"持续跟踪","检查状态")))))</x:f>
      </x:c>
      <x:c r="T599" s="64" t="str">
        <x:f>IF(A599="","",IF(COUNTIF($A$5:$A$1204,A599)&gt;1,"重复",""))</x:f>
      </x:c>
      <x:c r="U599" s="64" t="str">
        <x:f>IF(A599="","",IF(T599="重复","检查重复",IF(OR(R599="有证据",R599="有记录",R599="持续跟踪"),"可追踪","检查")))</x:f>
      </x:c>
    </x:row>
    <x:row r="600">
      <x:c r="A600" s="62"/>
      <x:c r="B600" s="62"/>
      <x:c r="C600" s="62"/>
      <x:c r="D600" s="66"/>
      <x:c r="E600" s="68"/>
      <x:c r="F600" s="62"/>
      <x:c r="G600" s="62"/>
      <x:c r="H600" s="62"/>
      <x:c r="I600" s="62"/>
      <x:c r="J600" s="62"/>
      <x:c r="K600" s="62"/>
      <x:c r="L600" s="62"/>
      <x:c r="M600" s="68"/>
      <x:c r="N600" s="68"/>
      <x:c r="O600" s="68"/>
      <x:c r="P600" s="71" t="str">
        <x:f>IF(A600="","",IF(N600&gt;0,N600,M600))</x:f>
      </x:c>
      <x:c r="Q600" s="72" t="n">
        <x:f>IF(A600="",0,IF(COUNTIF($A$5:A600,A600)=1,1,0))</x:f>
        <x:v>0</x:v>
      </x:c>
      <x:c r="R600" s="64" t="str">
        <x:f>IF(A600="","",IF(F600="C600成功",IF(AND(J600&lt;&gt;"",K600&lt;&gt;"",N600&gt;0),"有证据","缺C600证据"),IF(F600="C600发货确认中",IF(AND(J600&lt;&gt;"",K600&lt;&gt;""),"有证据","缺C600证据"),IF(F600="手动完结",IF(OR(L600&lt;&gt;"",O600&lt;&gt;"",S600&lt;&gt;""),"有记录","缺手工证据"),IF(OR(F600="卖出待补仓",F600="提交结果待确认",F600="异常待处理"),"持续跟踪","检查状态")))))</x:f>
      </x:c>
      <x:c r="T600" s="64" t="str">
        <x:f>IF(A600="","",IF(COUNTIF($A$5:$A$1204,A600)&gt;1,"重复",""))</x:f>
      </x:c>
      <x:c r="U600" s="64" t="str">
        <x:f>IF(A600="","",IF(T600="重复","检查重复",IF(OR(R600="有证据",R600="有记录",R600="持续跟踪"),"可追踪","检查")))</x:f>
      </x:c>
    </x:row>
    <x:row r="601">
      <x:c r="A601" s="62"/>
      <x:c r="B601" s="62"/>
      <x:c r="C601" s="62"/>
      <x:c r="D601" s="66"/>
      <x:c r="E601" s="68"/>
      <x:c r="F601" s="62"/>
      <x:c r="G601" s="62"/>
      <x:c r="H601" s="62"/>
      <x:c r="I601" s="62"/>
      <x:c r="J601" s="62"/>
      <x:c r="K601" s="62"/>
      <x:c r="L601" s="62"/>
      <x:c r="M601" s="68"/>
      <x:c r="N601" s="68"/>
      <x:c r="O601" s="68"/>
      <x:c r="P601" s="71" t="str">
        <x:f>IF(A601="","",IF(N601&gt;0,N601,M601))</x:f>
      </x:c>
      <x:c r="Q601" s="72" t="n">
        <x:f>IF(A601="",0,IF(COUNTIF($A$5:A601,A601)=1,1,0))</x:f>
        <x:v>0</x:v>
      </x:c>
      <x:c r="R601" s="64" t="str">
        <x:f>IF(A601="","",IF(F601="C601成功",IF(AND(J601&lt;&gt;"",K601&lt;&gt;"",N601&gt;0),"有证据","缺C601证据"),IF(F601="C601发货确认中",IF(AND(J601&lt;&gt;"",K601&lt;&gt;""),"有证据","缺C601证据"),IF(F601="手动完结",IF(OR(L601&lt;&gt;"",O601&lt;&gt;"",S601&lt;&gt;""),"有记录","缺手工证据"),IF(OR(F601="卖出待补仓",F601="提交结果待确认",F601="异常待处理"),"持续跟踪","检查状态")))))</x:f>
      </x:c>
      <x:c r="T601" s="64" t="str">
        <x:f>IF(A601="","",IF(COUNTIF($A$5:$A$1204,A601)&gt;1,"重复",""))</x:f>
      </x:c>
      <x:c r="U601" s="64" t="str">
        <x:f>IF(A601="","",IF(T601="重复","检查重复",IF(OR(R601="有证据",R601="有记录",R601="持续跟踪"),"可追踪","检查")))</x:f>
      </x:c>
    </x:row>
    <x:row r="602">
      <x:c r="A602" s="62"/>
      <x:c r="B602" s="62"/>
      <x:c r="C602" s="62"/>
      <x:c r="D602" s="66"/>
      <x:c r="E602" s="68"/>
      <x:c r="F602" s="62"/>
      <x:c r="G602" s="62"/>
      <x:c r="H602" s="62"/>
      <x:c r="I602" s="62"/>
      <x:c r="J602" s="62"/>
      <x:c r="K602" s="62"/>
      <x:c r="L602" s="62"/>
      <x:c r="M602" s="68"/>
      <x:c r="N602" s="68"/>
      <x:c r="O602" s="68"/>
      <x:c r="P602" s="71" t="str">
        <x:f>IF(A602="","",IF(N602&gt;0,N602,M602))</x:f>
      </x:c>
      <x:c r="Q602" s="72" t="n">
        <x:f>IF(A602="",0,IF(COUNTIF($A$5:A602,A602)=1,1,0))</x:f>
        <x:v>0</x:v>
      </x:c>
      <x:c r="R602" s="64" t="str">
        <x:f>IF(A602="","",IF(F602="C602成功",IF(AND(J602&lt;&gt;"",K602&lt;&gt;"",N602&gt;0),"有证据","缺C602证据"),IF(F602="C602发货确认中",IF(AND(J602&lt;&gt;"",K602&lt;&gt;""),"有证据","缺C602证据"),IF(F602="手动完结",IF(OR(L602&lt;&gt;"",O602&lt;&gt;"",S602&lt;&gt;""),"有记录","缺手工证据"),IF(OR(F602="卖出待补仓",F602="提交结果待确认",F602="异常待处理"),"持续跟踪","检查状态")))))</x:f>
      </x:c>
      <x:c r="T602" s="64" t="str">
        <x:f>IF(A602="","",IF(COUNTIF($A$5:$A$1204,A602)&gt;1,"重复",""))</x:f>
      </x:c>
      <x:c r="U602" s="64" t="str">
        <x:f>IF(A602="","",IF(T602="重复","检查重复",IF(OR(R602="有证据",R602="有记录",R602="持续跟踪"),"可追踪","检查")))</x:f>
      </x:c>
    </x:row>
    <x:row r="603">
      <x:c r="A603" s="62"/>
      <x:c r="B603" s="62"/>
      <x:c r="C603" s="62"/>
      <x:c r="D603" s="66"/>
      <x:c r="E603" s="68"/>
      <x:c r="F603" s="62"/>
      <x:c r="G603" s="62"/>
      <x:c r="H603" s="62"/>
      <x:c r="I603" s="62"/>
      <x:c r="J603" s="62"/>
      <x:c r="K603" s="62"/>
      <x:c r="L603" s="62"/>
      <x:c r="M603" s="68"/>
      <x:c r="N603" s="68"/>
      <x:c r="O603" s="68"/>
      <x:c r="P603" s="71" t="str">
        <x:f>IF(A603="","",IF(N603&gt;0,N603,M603))</x:f>
      </x:c>
      <x:c r="Q603" s="72" t="n">
        <x:f>IF(A603="",0,IF(COUNTIF($A$5:A603,A603)=1,1,0))</x:f>
        <x:v>0</x:v>
      </x:c>
      <x:c r="R603" s="64" t="str">
        <x:f>IF(A603="","",IF(F603="C603成功",IF(AND(J603&lt;&gt;"",K603&lt;&gt;"",N603&gt;0),"有证据","缺C603证据"),IF(F603="C603发货确认中",IF(AND(J603&lt;&gt;"",K603&lt;&gt;""),"有证据","缺C603证据"),IF(F603="手动完结",IF(OR(L603&lt;&gt;"",O603&lt;&gt;"",S603&lt;&gt;""),"有记录","缺手工证据"),IF(OR(F603="卖出待补仓",F603="提交结果待确认",F603="异常待处理"),"持续跟踪","检查状态")))))</x:f>
      </x:c>
      <x:c r="T603" s="64" t="str">
        <x:f>IF(A603="","",IF(COUNTIF($A$5:$A$1204,A603)&gt;1,"重复",""))</x:f>
      </x:c>
      <x:c r="U603" s="64" t="str">
        <x:f>IF(A603="","",IF(T603="重复","检查重复",IF(OR(R603="有证据",R603="有记录",R603="持续跟踪"),"可追踪","检查")))</x:f>
      </x:c>
    </x:row>
    <x:row r="604">
      <x:c r="A604" s="62"/>
      <x:c r="B604" s="62"/>
      <x:c r="C604" s="62"/>
      <x:c r="D604" s="66"/>
      <x:c r="E604" s="68"/>
      <x:c r="F604" s="62"/>
      <x:c r="G604" s="62"/>
      <x:c r="H604" s="62"/>
      <x:c r="I604" s="62"/>
      <x:c r="J604" s="62"/>
      <x:c r="K604" s="62"/>
      <x:c r="L604" s="62"/>
      <x:c r="M604" s="68"/>
      <x:c r="N604" s="68"/>
      <x:c r="O604" s="68"/>
      <x:c r="P604" s="71" t="str">
        <x:f>IF(A604="","",IF(N604&gt;0,N604,M604))</x:f>
      </x:c>
      <x:c r="Q604" s="72" t="n">
        <x:f>IF(A604="",0,IF(COUNTIF($A$5:A604,A604)=1,1,0))</x:f>
        <x:v>0</x:v>
      </x:c>
      <x:c r="R604" s="64" t="str">
        <x:f>IF(A604="","",IF(F604="C604成功",IF(AND(J604&lt;&gt;"",K604&lt;&gt;"",N604&gt;0),"有证据","缺C604证据"),IF(F604="C604发货确认中",IF(AND(J604&lt;&gt;"",K604&lt;&gt;""),"有证据","缺C604证据"),IF(F604="手动完结",IF(OR(L604&lt;&gt;"",O604&lt;&gt;"",S604&lt;&gt;""),"有记录","缺手工证据"),IF(OR(F604="卖出待补仓",F604="提交结果待确认",F604="异常待处理"),"持续跟踪","检查状态")))))</x:f>
      </x:c>
      <x:c r="T604" s="64" t="str">
        <x:f>IF(A604="","",IF(COUNTIF($A$5:$A$1204,A604)&gt;1,"重复",""))</x:f>
      </x:c>
      <x:c r="U604" s="64" t="str">
        <x:f>IF(A604="","",IF(T604="重复","检查重复",IF(OR(R604="有证据",R604="有记录",R604="持续跟踪"),"可追踪","检查")))</x:f>
      </x:c>
    </x:row>
    <x:row r="605">
      <x:c r="A605" s="62"/>
      <x:c r="B605" s="62"/>
      <x:c r="C605" s="62"/>
      <x:c r="D605" s="66"/>
      <x:c r="E605" s="68"/>
      <x:c r="F605" s="62"/>
      <x:c r="G605" s="62"/>
      <x:c r="H605" s="62"/>
      <x:c r="I605" s="62"/>
      <x:c r="J605" s="62"/>
      <x:c r="K605" s="62"/>
      <x:c r="L605" s="62"/>
      <x:c r="M605" s="68"/>
      <x:c r="N605" s="68"/>
      <x:c r="O605" s="68"/>
      <x:c r="P605" s="71" t="str">
        <x:f>IF(A605="","",IF(N605&gt;0,N605,M605))</x:f>
      </x:c>
      <x:c r="Q605" s="72" t="n">
        <x:f>IF(A605="",0,IF(COUNTIF($A$5:A605,A605)=1,1,0))</x:f>
        <x:v>0</x:v>
      </x:c>
      <x:c r="R605" s="64" t="str">
        <x:f>IF(A605="","",IF(F605="C605成功",IF(AND(J605&lt;&gt;"",K605&lt;&gt;"",N605&gt;0),"有证据","缺C605证据"),IF(F605="C605发货确认中",IF(AND(J605&lt;&gt;"",K605&lt;&gt;""),"有证据","缺C605证据"),IF(F605="手动完结",IF(OR(L605&lt;&gt;"",O605&lt;&gt;"",S605&lt;&gt;""),"有记录","缺手工证据"),IF(OR(F605="卖出待补仓",F605="提交结果待确认",F605="异常待处理"),"持续跟踪","检查状态")))))</x:f>
      </x:c>
      <x:c r="T605" s="64" t="str">
        <x:f>IF(A605="","",IF(COUNTIF($A$5:$A$1204,A605)&gt;1,"重复",""))</x:f>
      </x:c>
      <x:c r="U605" s="64" t="str">
        <x:f>IF(A605="","",IF(T605="重复","检查重复",IF(OR(R605="有证据",R605="有记录",R605="持续跟踪"),"可追踪","检查")))</x:f>
      </x:c>
    </x:row>
    <x:row r="606">
      <x:c r="A606" s="62"/>
      <x:c r="B606" s="62"/>
      <x:c r="C606" s="62"/>
      <x:c r="D606" s="66"/>
      <x:c r="E606" s="68"/>
      <x:c r="F606" s="62"/>
      <x:c r="G606" s="62"/>
      <x:c r="H606" s="62"/>
      <x:c r="I606" s="62"/>
      <x:c r="J606" s="62"/>
      <x:c r="K606" s="62"/>
      <x:c r="L606" s="62"/>
      <x:c r="M606" s="68"/>
      <x:c r="N606" s="68"/>
      <x:c r="O606" s="68"/>
      <x:c r="P606" s="71" t="str">
        <x:f>IF(A606="","",IF(N606&gt;0,N606,M606))</x:f>
      </x:c>
      <x:c r="Q606" s="72" t="n">
        <x:f>IF(A606="",0,IF(COUNTIF($A$5:A606,A606)=1,1,0))</x:f>
        <x:v>0</x:v>
      </x:c>
      <x:c r="R606" s="64" t="str">
        <x:f>IF(A606="","",IF(F606="C606成功",IF(AND(J606&lt;&gt;"",K606&lt;&gt;"",N606&gt;0),"有证据","缺C606证据"),IF(F606="C606发货确认中",IF(AND(J606&lt;&gt;"",K606&lt;&gt;""),"有证据","缺C606证据"),IF(F606="手动完结",IF(OR(L606&lt;&gt;"",O606&lt;&gt;"",S606&lt;&gt;""),"有记录","缺手工证据"),IF(OR(F606="卖出待补仓",F606="提交结果待确认",F606="异常待处理"),"持续跟踪","检查状态")))))</x:f>
      </x:c>
      <x:c r="T606" s="64" t="str">
        <x:f>IF(A606="","",IF(COUNTIF($A$5:$A$1204,A606)&gt;1,"重复",""))</x:f>
      </x:c>
      <x:c r="U606" s="64" t="str">
        <x:f>IF(A606="","",IF(T606="重复","检查重复",IF(OR(R606="有证据",R606="有记录",R606="持续跟踪"),"可追踪","检查")))</x:f>
      </x:c>
    </x:row>
    <x:row r="607">
      <x:c r="A607" s="62"/>
      <x:c r="B607" s="62"/>
      <x:c r="C607" s="62"/>
      <x:c r="D607" s="66"/>
      <x:c r="E607" s="68"/>
      <x:c r="F607" s="62"/>
      <x:c r="G607" s="62"/>
      <x:c r="H607" s="62"/>
      <x:c r="I607" s="62"/>
      <x:c r="J607" s="62"/>
      <x:c r="K607" s="62"/>
      <x:c r="L607" s="62"/>
      <x:c r="M607" s="68"/>
      <x:c r="N607" s="68"/>
      <x:c r="O607" s="68"/>
      <x:c r="P607" s="71" t="str">
        <x:f>IF(A607="","",IF(N607&gt;0,N607,M607))</x:f>
      </x:c>
      <x:c r="Q607" s="72" t="n">
        <x:f>IF(A607="",0,IF(COUNTIF($A$5:A607,A607)=1,1,0))</x:f>
        <x:v>0</x:v>
      </x:c>
      <x:c r="R607" s="64" t="str">
        <x:f>IF(A607="","",IF(F607="C607成功",IF(AND(J607&lt;&gt;"",K607&lt;&gt;"",N607&gt;0),"有证据","缺C607证据"),IF(F607="C607发货确认中",IF(AND(J607&lt;&gt;"",K607&lt;&gt;""),"有证据","缺C607证据"),IF(F607="手动完结",IF(OR(L607&lt;&gt;"",O607&lt;&gt;"",S607&lt;&gt;""),"有记录","缺手工证据"),IF(OR(F607="卖出待补仓",F607="提交结果待确认",F607="异常待处理"),"持续跟踪","检查状态")))))</x:f>
      </x:c>
      <x:c r="T607" s="64" t="str">
        <x:f>IF(A607="","",IF(COUNTIF($A$5:$A$1204,A607)&gt;1,"重复",""))</x:f>
      </x:c>
      <x:c r="U607" s="64" t="str">
        <x:f>IF(A607="","",IF(T607="重复","检查重复",IF(OR(R607="有证据",R607="有记录",R607="持续跟踪"),"可追踪","检查")))</x:f>
      </x:c>
    </x:row>
    <x:row r="608">
      <x:c r="A608" s="62"/>
      <x:c r="B608" s="62"/>
      <x:c r="C608" s="62"/>
      <x:c r="D608" s="66"/>
      <x:c r="E608" s="68"/>
      <x:c r="F608" s="62"/>
      <x:c r="G608" s="62"/>
      <x:c r="H608" s="62"/>
      <x:c r="I608" s="62"/>
      <x:c r="J608" s="62"/>
      <x:c r="K608" s="62"/>
      <x:c r="L608" s="62"/>
      <x:c r="M608" s="68"/>
      <x:c r="N608" s="68"/>
      <x:c r="O608" s="68"/>
      <x:c r="P608" s="71" t="str">
        <x:f>IF(A608="","",IF(N608&gt;0,N608,M608))</x:f>
      </x:c>
      <x:c r="Q608" s="72" t="n">
        <x:f>IF(A608="",0,IF(COUNTIF($A$5:A608,A608)=1,1,0))</x:f>
        <x:v>0</x:v>
      </x:c>
      <x:c r="R608" s="64" t="str">
        <x:f>IF(A608="","",IF(F608="C608成功",IF(AND(J608&lt;&gt;"",K608&lt;&gt;"",N608&gt;0),"有证据","缺C608证据"),IF(F608="C608发货确认中",IF(AND(J608&lt;&gt;"",K608&lt;&gt;""),"有证据","缺C608证据"),IF(F608="手动完结",IF(OR(L608&lt;&gt;"",O608&lt;&gt;"",S608&lt;&gt;""),"有记录","缺手工证据"),IF(OR(F608="卖出待补仓",F608="提交结果待确认",F608="异常待处理"),"持续跟踪","检查状态")))))</x:f>
      </x:c>
      <x:c r="T608" s="64" t="str">
        <x:f>IF(A608="","",IF(COUNTIF($A$5:$A$1204,A608)&gt;1,"重复",""))</x:f>
      </x:c>
      <x:c r="U608" s="64" t="str">
        <x:f>IF(A608="","",IF(T608="重复","检查重复",IF(OR(R608="有证据",R608="有记录",R608="持续跟踪"),"可追踪","检查")))</x:f>
      </x:c>
    </x:row>
    <x:row r="609">
      <x:c r="A609" s="62"/>
      <x:c r="B609" s="62"/>
      <x:c r="C609" s="62"/>
      <x:c r="D609" s="66"/>
      <x:c r="E609" s="68"/>
      <x:c r="F609" s="62"/>
      <x:c r="G609" s="62"/>
      <x:c r="H609" s="62"/>
      <x:c r="I609" s="62"/>
      <x:c r="J609" s="62"/>
      <x:c r="K609" s="62"/>
      <x:c r="L609" s="62"/>
      <x:c r="M609" s="68"/>
      <x:c r="N609" s="68"/>
      <x:c r="O609" s="68"/>
      <x:c r="P609" s="71" t="str">
        <x:f>IF(A609="","",IF(N609&gt;0,N609,M609))</x:f>
      </x:c>
      <x:c r="Q609" s="72" t="n">
        <x:f>IF(A609="",0,IF(COUNTIF($A$5:A609,A609)=1,1,0))</x:f>
        <x:v>0</x:v>
      </x:c>
      <x:c r="R609" s="64" t="str">
        <x:f>IF(A609="","",IF(F609="C609成功",IF(AND(J609&lt;&gt;"",K609&lt;&gt;"",N609&gt;0),"有证据","缺C609证据"),IF(F609="C609发货确认中",IF(AND(J609&lt;&gt;"",K609&lt;&gt;""),"有证据","缺C609证据"),IF(F609="手动完结",IF(OR(L609&lt;&gt;"",O609&lt;&gt;"",S609&lt;&gt;""),"有记录","缺手工证据"),IF(OR(F609="卖出待补仓",F609="提交结果待确认",F609="异常待处理"),"持续跟踪","检查状态")))))</x:f>
      </x:c>
      <x:c r="T609" s="64" t="str">
        <x:f>IF(A609="","",IF(COUNTIF($A$5:$A$1204,A609)&gt;1,"重复",""))</x:f>
      </x:c>
      <x:c r="U609" s="64" t="str">
        <x:f>IF(A609="","",IF(T609="重复","检查重复",IF(OR(R609="有证据",R609="有记录",R609="持续跟踪"),"可追踪","检查")))</x:f>
      </x:c>
    </x:row>
    <x:row r="610">
      <x:c r="A610" s="62"/>
      <x:c r="B610" s="62"/>
      <x:c r="C610" s="62"/>
      <x:c r="D610" s="66"/>
      <x:c r="E610" s="68"/>
      <x:c r="F610" s="62"/>
      <x:c r="G610" s="62"/>
      <x:c r="H610" s="62"/>
      <x:c r="I610" s="62"/>
      <x:c r="J610" s="62"/>
      <x:c r="K610" s="62"/>
      <x:c r="L610" s="62"/>
      <x:c r="M610" s="68"/>
      <x:c r="N610" s="68"/>
      <x:c r="O610" s="68"/>
      <x:c r="P610" s="71" t="str">
        <x:f>IF(A610="","",IF(N610&gt;0,N610,M610))</x:f>
      </x:c>
      <x:c r="Q610" s="72" t="n">
        <x:f>IF(A610="",0,IF(COUNTIF($A$5:A610,A610)=1,1,0))</x:f>
        <x:v>0</x:v>
      </x:c>
      <x:c r="R610" s="64" t="str">
        <x:f>IF(A610="","",IF(F610="C610成功",IF(AND(J610&lt;&gt;"",K610&lt;&gt;"",N610&gt;0),"有证据","缺C610证据"),IF(F610="C610发货确认中",IF(AND(J610&lt;&gt;"",K610&lt;&gt;""),"有证据","缺C610证据"),IF(F610="手动完结",IF(OR(L610&lt;&gt;"",O610&lt;&gt;"",S610&lt;&gt;""),"有记录","缺手工证据"),IF(OR(F610="卖出待补仓",F610="提交结果待确认",F610="异常待处理"),"持续跟踪","检查状态")))))</x:f>
      </x:c>
      <x:c r="T610" s="64" t="str">
        <x:f>IF(A610="","",IF(COUNTIF($A$5:$A$1204,A610)&gt;1,"重复",""))</x:f>
      </x:c>
      <x:c r="U610" s="64" t="str">
        <x:f>IF(A610="","",IF(T610="重复","检查重复",IF(OR(R610="有证据",R610="有记录",R610="持续跟踪"),"可追踪","检查")))</x:f>
      </x:c>
    </x:row>
    <x:row r="611">
      <x:c r="A611" s="62"/>
      <x:c r="B611" s="62"/>
      <x:c r="C611" s="62"/>
      <x:c r="D611" s="66"/>
      <x:c r="E611" s="68"/>
      <x:c r="F611" s="62"/>
      <x:c r="G611" s="62"/>
      <x:c r="H611" s="62"/>
      <x:c r="I611" s="62"/>
      <x:c r="J611" s="62"/>
      <x:c r="K611" s="62"/>
      <x:c r="L611" s="62"/>
      <x:c r="M611" s="68"/>
      <x:c r="N611" s="68"/>
      <x:c r="O611" s="68"/>
      <x:c r="P611" s="71" t="str">
        <x:f>IF(A611="","",IF(N611&gt;0,N611,M611))</x:f>
      </x:c>
      <x:c r="Q611" s="72" t="n">
        <x:f>IF(A611="",0,IF(COUNTIF($A$5:A611,A611)=1,1,0))</x:f>
        <x:v>0</x:v>
      </x:c>
      <x:c r="R611" s="64" t="str">
        <x:f>IF(A611="","",IF(F611="C611成功",IF(AND(J611&lt;&gt;"",K611&lt;&gt;"",N611&gt;0),"有证据","缺C611证据"),IF(F611="C611发货确认中",IF(AND(J611&lt;&gt;"",K611&lt;&gt;""),"有证据","缺C611证据"),IF(F611="手动完结",IF(OR(L611&lt;&gt;"",O611&lt;&gt;"",S611&lt;&gt;""),"有记录","缺手工证据"),IF(OR(F611="卖出待补仓",F611="提交结果待确认",F611="异常待处理"),"持续跟踪","检查状态")))))</x:f>
      </x:c>
      <x:c r="T611" s="64" t="str">
        <x:f>IF(A611="","",IF(COUNTIF($A$5:$A$1204,A611)&gt;1,"重复",""))</x:f>
      </x:c>
      <x:c r="U611" s="64" t="str">
        <x:f>IF(A611="","",IF(T611="重复","检查重复",IF(OR(R611="有证据",R611="有记录",R611="持续跟踪"),"可追踪","检查")))</x:f>
      </x:c>
    </x:row>
    <x:row r="612">
      <x:c r="A612" s="62"/>
      <x:c r="B612" s="62"/>
      <x:c r="C612" s="62"/>
      <x:c r="D612" s="66"/>
      <x:c r="E612" s="68"/>
      <x:c r="F612" s="62"/>
      <x:c r="G612" s="62"/>
      <x:c r="H612" s="62"/>
      <x:c r="I612" s="62"/>
      <x:c r="J612" s="62"/>
      <x:c r="K612" s="62"/>
      <x:c r="L612" s="62"/>
      <x:c r="M612" s="68"/>
      <x:c r="N612" s="68"/>
      <x:c r="O612" s="68"/>
      <x:c r="P612" s="71" t="str">
        <x:f>IF(A612="","",IF(N612&gt;0,N612,M612))</x:f>
      </x:c>
      <x:c r="Q612" s="72" t="n">
        <x:f>IF(A612="",0,IF(COUNTIF($A$5:A612,A612)=1,1,0))</x:f>
        <x:v>0</x:v>
      </x:c>
      <x:c r="R612" s="64" t="str">
        <x:f>IF(A612="","",IF(F612="C612成功",IF(AND(J612&lt;&gt;"",K612&lt;&gt;"",N612&gt;0),"有证据","缺C612证据"),IF(F612="C612发货确认中",IF(AND(J612&lt;&gt;"",K612&lt;&gt;""),"有证据","缺C612证据"),IF(F612="手动完结",IF(OR(L612&lt;&gt;"",O612&lt;&gt;"",S612&lt;&gt;""),"有记录","缺手工证据"),IF(OR(F612="卖出待补仓",F612="提交结果待确认",F612="异常待处理"),"持续跟踪","检查状态")))))</x:f>
      </x:c>
      <x:c r="T612" s="64" t="str">
        <x:f>IF(A612="","",IF(COUNTIF($A$5:$A$1204,A612)&gt;1,"重复",""))</x:f>
      </x:c>
      <x:c r="U612" s="64" t="str">
        <x:f>IF(A612="","",IF(T612="重复","检查重复",IF(OR(R612="有证据",R612="有记录",R612="持续跟踪"),"可追踪","检查")))</x:f>
      </x:c>
    </x:row>
    <x:row r="613">
      <x:c r="A613" s="62"/>
      <x:c r="B613" s="62"/>
      <x:c r="C613" s="62"/>
      <x:c r="D613" s="66"/>
      <x:c r="E613" s="68"/>
      <x:c r="F613" s="62"/>
      <x:c r="G613" s="62"/>
      <x:c r="H613" s="62"/>
      <x:c r="I613" s="62"/>
      <x:c r="J613" s="62"/>
      <x:c r="K613" s="62"/>
      <x:c r="L613" s="62"/>
      <x:c r="M613" s="68"/>
      <x:c r="N613" s="68"/>
      <x:c r="O613" s="68"/>
      <x:c r="P613" s="71" t="str">
        <x:f>IF(A613="","",IF(N613&gt;0,N613,M613))</x:f>
      </x:c>
      <x:c r="Q613" s="72" t="n">
        <x:f>IF(A613="",0,IF(COUNTIF($A$5:A613,A613)=1,1,0))</x:f>
        <x:v>0</x:v>
      </x:c>
      <x:c r="R613" s="64" t="str">
        <x:f>IF(A613="","",IF(F613="C613成功",IF(AND(J613&lt;&gt;"",K613&lt;&gt;"",N613&gt;0),"有证据","缺C613证据"),IF(F613="C613发货确认中",IF(AND(J613&lt;&gt;"",K613&lt;&gt;""),"有证据","缺C613证据"),IF(F613="手动完结",IF(OR(L613&lt;&gt;"",O613&lt;&gt;"",S613&lt;&gt;""),"有记录","缺手工证据"),IF(OR(F613="卖出待补仓",F613="提交结果待确认",F613="异常待处理"),"持续跟踪","检查状态")))))</x:f>
      </x:c>
      <x:c r="T613" s="64" t="str">
        <x:f>IF(A613="","",IF(COUNTIF($A$5:$A$1204,A613)&gt;1,"重复",""))</x:f>
      </x:c>
      <x:c r="U613" s="64" t="str">
        <x:f>IF(A613="","",IF(T613="重复","检查重复",IF(OR(R613="有证据",R613="有记录",R613="持续跟踪"),"可追踪","检查")))</x:f>
      </x:c>
    </x:row>
    <x:row r="614">
      <x:c r="A614" s="62"/>
      <x:c r="B614" s="62"/>
      <x:c r="C614" s="62"/>
      <x:c r="D614" s="66"/>
      <x:c r="E614" s="68"/>
      <x:c r="F614" s="62"/>
      <x:c r="G614" s="62"/>
      <x:c r="H614" s="62"/>
      <x:c r="I614" s="62"/>
      <x:c r="J614" s="62"/>
      <x:c r="K614" s="62"/>
      <x:c r="L614" s="62"/>
      <x:c r="M614" s="68"/>
      <x:c r="N614" s="68"/>
      <x:c r="O614" s="68"/>
      <x:c r="P614" s="71" t="str">
        <x:f>IF(A614="","",IF(N614&gt;0,N614,M614))</x:f>
      </x:c>
      <x:c r="Q614" s="72" t="n">
        <x:f>IF(A614="",0,IF(COUNTIF($A$5:A614,A614)=1,1,0))</x:f>
        <x:v>0</x:v>
      </x:c>
      <x:c r="R614" s="64" t="str">
        <x:f>IF(A614="","",IF(F614="C614成功",IF(AND(J614&lt;&gt;"",K614&lt;&gt;"",N614&gt;0),"有证据","缺C614证据"),IF(F614="C614发货确认中",IF(AND(J614&lt;&gt;"",K614&lt;&gt;""),"有证据","缺C614证据"),IF(F614="手动完结",IF(OR(L614&lt;&gt;"",O614&lt;&gt;"",S614&lt;&gt;""),"有记录","缺手工证据"),IF(OR(F614="卖出待补仓",F614="提交结果待确认",F614="异常待处理"),"持续跟踪","检查状态")))))</x:f>
      </x:c>
      <x:c r="T614" s="64" t="str">
        <x:f>IF(A614="","",IF(COUNTIF($A$5:$A$1204,A614)&gt;1,"重复",""))</x:f>
      </x:c>
      <x:c r="U614" s="64" t="str">
        <x:f>IF(A614="","",IF(T614="重复","检查重复",IF(OR(R614="有证据",R614="有记录",R614="持续跟踪"),"可追踪","检查")))</x:f>
      </x:c>
    </x:row>
    <x:row r="615">
      <x:c r="A615" s="62"/>
      <x:c r="B615" s="62"/>
      <x:c r="C615" s="62"/>
      <x:c r="D615" s="66"/>
      <x:c r="E615" s="68"/>
      <x:c r="F615" s="62"/>
      <x:c r="G615" s="62"/>
      <x:c r="H615" s="62"/>
      <x:c r="I615" s="62"/>
      <x:c r="J615" s="62"/>
      <x:c r="K615" s="62"/>
      <x:c r="L615" s="62"/>
      <x:c r="M615" s="68"/>
      <x:c r="N615" s="68"/>
      <x:c r="O615" s="68"/>
      <x:c r="P615" s="71" t="str">
        <x:f>IF(A615="","",IF(N615&gt;0,N615,M615))</x:f>
      </x:c>
      <x:c r="Q615" s="72" t="n">
        <x:f>IF(A615="",0,IF(COUNTIF($A$5:A615,A615)=1,1,0))</x:f>
        <x:v>0</x:v>
      </x:c>
      <x:c r="R615" s="64" t="str">
        <x:f>IF(A615="","",IF(F615="C615成功",IF(AND(J615&lt;&gt;"",K615&lt;&gt;"",N615&gt;0),"有证据","缺C615证据"),IF(F615="C615发货确认中",IF(AND(J615&lt;&gt;"",K615&lt;&gt;""),"有证据","缺C615证据"),IF(F615="手动完结",IF(OR(L615&lt;&gt;"",O615&lt;&gt;"",S615&lt;&gt;""),"有记录","缺手工证据"),IF(OR(F615="卖出待补仓",F615="提交结果待确认",F615="异常待处理"),"持续跟踪","检查状态")))))</x:f>
      </x:c>
      <x:c r="T615" s="64" t="str">
        <x:f>IF(A615="","",IF(COUNTIF($A$5:$A$1204,A615)&gt;1,"重复",""))</x:f>
      </x:c>
      <x:c r="U615" s="64" t="str">
        <x:f>IF(A615="","",IF(T615="重复","检查重复",IF(OR(R615="有证据",R615="有记录",R615="持续跟踪"),"可追踪","检查")))</x:f>
      </x:c>
    </x:row>
    <x:row r="616">
      <x:c r="A616" s="62"/>
      <x:c r="B616" s="62"/>
      <x:c r="C616" s="62"/>
      <x:c r="D616" s="66"/>
      <x:c r="E616" s="68"/>
      <x:c r="F616" s="62"/>
      <x:c r="G616" s="62"/>
      <x:c r="H616" s="62"/>
      <x:c r="I616" s="62"/>
      <x:c r="J616" s="62"/>
      <x:c r="K616" s="62"/>
      <x:c r="L616" s="62"/>
      <x:c r="M616" s="68"/>
      <x:c r="N616" s="68"/>
      <x:c r="O616" s="68"/>
      <x:c r="P616" s="71" t="str">
        <x:f>IF(A616="","",IF(N616&gt;0,N616,M616))</x:f>
      </x:c>
      <x:c r="Q616" s="72" t="n">
        <x:f>IF(A616="",0,IF(COUNTIF($A$5:A616,A616)=1,1,0))</x:f>
        <x:v>0</x:v>
      </x:c>
      <x:c r="R616" s="64" t="str">
        <x:f>IF(A616="","",IF(F616="C616成功",IF(AND(J616&lt;&gt;"",K616&lt;&gt;"",N616&gt;0),"有证据","缺C616证据"),IF(F616="C616发货确认中",IF(AND(J616&lt;&gt;"",K616&lt;&gt;""),"有证据","缺C616证据"),IF(F616="手动完结",IF(OR(L616&lt;&gt;"",O616&lt;&gt;"",S616&lt;&gt;""),"有记录","缺手工证据"),IF(OR(F616="卖出待补仓",F616="提交结果待确认",F616="异常待处理"),"持续跟踪","检查状态")))))</x:f>
      </x:c>
      <x:c r="T616" s="64" t="str">
        <x:f>IF(A616="","",IF(COUNTIF($A$5:$A$1204,A616)&gt;1,"重复",""))</x:f>
      </x:c>
      <x:c r="U616" s="64" t="str">
        <x:f>IF(A616="","",IF(T616="重复","检查重复",IF(OR(R616="有证据",R616="有记录",R616="持续跟踪"),"可追踪","检查")))</x:f>
      </x:c>
    </x:row>
    <x:row r="617">
      <x:c r="A617" s="62"/>
      <x:c r="B617" s="62"/>
      <x:c r="C617" s="62"/>
      <x:c r="D617" s="66"/>
      <x:c r="E617" s="68"/>
      <x:c r="F617" s="62"/>
      <x:c r="G617" s="62"/>
      <x:c r="H617" s="62"/>
      <x:c r="I617" s="62"/>
      <x:c r="J617" s="62"/>
      <x:c r="K617" s="62"/>
      <x:c r="L617" s="62"/>
      <x:c r="M617" s="68"/>
      <x:c r="N617" s="68"/>
      <x:c r="O617" s="68"/>
      <x:c r="P617" s="71" t="str">
        <x:f>IF(A617="","",IF(N617&gt;0,N617,M617))</x:f>
      </x:c>
      <x:c r="Q617" s="72" t="n">
        <x:f>IF(A617="",0,IF(COUNTIF($A$5:A617,A617)=1,1,0))</x:f>
        <x:v>0</x:v>
      </x:c>
      <x:c r="R617" s="64" t="str">
        <x:f>IF(A617="","",IF(F617="C617成功",IF(AND(J617&lt;&gt;"",K617&lt;&gt;"",N617&gt;0),"有证据","缺C617证据"),IF(F617="C617发货确认中",IF(AND(J617&lt;&gt;"",K617&lt;&gt;""),"有证据","缺C617证据"),IF(F617="手动完结",IF(OR(L617&lt;&gt;"",O617&lt;&gt;"",S617&lt;&gt;""),"有记录","缺手工证据"),IF(OR(F617="卖出待补仓",F617="提交结果待确认",F617="异常待处理"),"持续跟踪","检查状态")))))</x:f>
      </x:c>
      <x:c r="T617" s="64" t="str">
        <x:f>IF(A617="","",IF(COUNTIF($A$5:$A$1204,A617)&gt;1,"重复",""))</x:f>
      </x:c>
      <x:c r="U617" s="64" t="str">
        <x:f>IF(A617="","",IF(T617="重复","检查重复",IF(OR(R617="有证据",R617="有记录",R617="持续跟踪"),"可追踪","检查")))</x:f>
      </x:c>
    </x:row>
    <x:row r="618">
      <x:c r="A618" s="62"/>
      <x:c r="B618" s="62"/>
      <x:c r="C618" s="62"/>
      <x:c r="D618" s="66"/>
      <x:c r="E618" s="68"/>
      <x:c r="F618" s="62"/>
      <x:c r="G618" s="62"/>
      <x:c r="H618" s="62"/>
      <x:c r="I618" s="62"/>
      <x:c r="J618" s="62"/>
      <x:c r="K618" s="62"/>
      <x:c r="L618" s="62"/>
      <x:c r="M618" s="68"/>
      <x:c r="N618" s="68"/>
      <x:c r="O618" s="68"/>
      <x:c r="P618" s="71" t="str">
        <x:f>IF(A618="","",IF(N618&gt;0,N618,M618))</x:f>
      </x:c>
      <x:c r="Q618" s="72" t="n">
        <x:f>IF(A618="",0,IF(COUNTIF($A$5:A618,A618)=1,1,0))</x:f>
        <x:v>0</x:v>
      </x:c>
      <x:c r="R618" s="64" t="str">
        <x:f>IF(A618="","",IF(F618="C618成功",IF(AND(J618&lt;&gt;"",K618&lt;&gt;"",N618&gt;0),"有证据","缺C618证据"),IF(F618="C618发货确认中",IF(AND(J618&lt;&gt;"",K618&lt;&gt;""),"有证据","缺C618证据"),IF(F618="手动完结",IF(OR(L618&lt;&gt;"",O618&lt;&gt;"",S618&lt;&gt;""),"有记录","缺手工证据"),IF(OR(F618="卖出待补仓",F618="提交结果待确认",F618="异常待处理"),"持续跟踪","检查状态")))))</x:f>
      </x:c>
      <x:c r="T618" s="64" t="str">
        <x:f>IF(A618="","",IF(COUNTIF($A$5:$A$1204,A618)&gt;1,"重复",""))</x:f>
      </x:c>
      <x:c r="U618" s="64" t="str">
        <x:f>IF(A618="","",IF(T618="重复","检查重复",IF(OR(R618="有证据",R618="有记录",R618="持续跟踪"),"可追踪","检查")))</x:f>
      </x:c>
    </x:row>
    <x:row r="619">
      <x:c r="A619" s="62"/>
      <x:c r="B619" s="62"/>
      <x:c r="C619" s="62"/>
      <x:c r="D619" s="66"/>
      <x:c r="E619" s="68"/>
      <x:c r="F619" s="62"/>
      <x:c r="G619" s="62"/>
      <x:c r="H619" s="62"/>
      <x:c r="I619" s="62"/>
      <x:c r="J619" s="62"/>
      <x:c r="K619" s="62"/>
      <x:c r="L619" s="62"/>
      <x:c r="M619" s="68"/>
      <x:c r="N619" s="68"/>
      <x:c r="O619" s="68"/>
      <x:c r="P619" s="71" t="str">
        <x:f>IF(A619="","",IF(N619&gt;0,N619,M619))</x:f>
      </x:c>
      <x:c r="Q619" s="72" t="n">
        <x:f>IF(A619="",0,IF(COUNTIF($A$5:A619,A619)=1,1,0))</x:f>
        <x:v>0</x:v>
      </x:c>
      <x:c r="R619" s="64" t="str">
        <x:f>IF(A619="","",IF(F619="C619成功",IF(AND(J619&lt;&gt;"",K619&lt;&gt;"",N619&gt;0),"有证据","缺C619证据"),IF(F619="C619发货确认中",IF(AND(J619&lt;&gt;"",K619&lt;&gt;""),"有证据","缺C619证据"),IF(F619="手动完结",IF(OR(L619&lt;&gt;"",O619&lt;&gt;"",S619&lt;&gt;""),"有记录","缺手工证据"),IF(OR(F619="卖出待补仓",F619="提交结果待确认",F619="异常待处理"),"持续跟踪","检查状态")))))</x:f>
      </x:c>
      <x:c r="T619" s="64" t="str">
        <x:f>IF(A619="","",IF(COUNTIF($A$5:$A$1204,A619)&gt;1,"重复",""))</x:f>
      </x:c>
      <x:c r="U619" s="64" t="str">
        <x:f>IF(A619="","",IF(T619="重复","检查重复",IF(OR(R619="有证据",R619="有记录",R619="持续跟踪"),"可追踪","检查")))</x:f>
      </x:c>
    </x:row>
    <x:row r="620">
      <x:c r="A620" s="62"/>
      <x:c r="B620" s="62"/>
      <x:c r="C620" s="62"/>
      <x:c r="D620" s="66"/>
      <x:c r="E620" s="68"/>
      <x:c r="F620" s="62"/>
      <x:c r="G620" s="62"/>
      <x:c r="H620" s="62"/>
      <x:c r="I620" s="62"/>
      <x:c r="J620" s="62"/>
      <x:c r="K620" s="62"/>
      <x:c r="L620" s="62"/>
      <x:c r="M620" s="68"/>
      <x:c r="N620" s="68"/>
      <x:c r="O620" s="68"/>
      <x:c r="P620" s="71" t="str">
        <x:f>IF(A620="","",IF(N620&gt;0,N620,M620))</x:f>
      </x:c>
      <x:c r="Q620" s="72" t="n">
        <x:f>IF(A620="",0,IF(COUNTIF($A$5:A620,A620)=1,1,0))</x:f>
        <x:v>0</x:v>
      </x:c>
      <x:c r="R620" s="64" t="str">
        <x:f>IF(A620="","",IF(F620="C620成功",IF(AND(J620&lt;&gt;"",K620&lt;&gt;"",N620&gt;0),"有证据","缺C620证据"),IF(F620="C620发货确认中",IF(AND(J620&lt;&gt;"",K620&lt;&gt;""),"有证据","缺C620证据"),IF(F620="手动完结",IF(OR(L620&lt;&gt;"",O620&lt;&gt;"",S620&lt;&gt;""),"有记录","缺手工证据"),IF(OR(F620="卖出待补仓",F620="提交结果待确认",F620="异常待处理"),"持续跟踪","检查状态")))))</x:f>
      </x:c>
      <x:c r="T620" s="64" t="str">
        <x:f>IF(A620="","",IF(COUNTIF($A$5:$A$1204,A620)&gt;1,"重复",""))</x:f>
      </x:c>
      <x:c r="U620" s="64" t="str">
        <x:f>IF(A620="","",IF(T620="重复","检查重复",IF(OR(R620="有证据",R620="有记录",R620="持续跟踪"),"可追踪","检查")))</x:f>
      </x:c>
    </x:row>
    <x:row r="621">
      <x:c r="A621" s="62"/>
      <x:c r="B621" s="62"/>
      <x:c r="C621" s="62"/>
      <x:c r="D621" s="66"/>
      <x:c r="E621" s="68"/>
      <x:c r="F621" s="62"/>
      <x:c r="G621" s="62"/>
      <x:c r="H621" s="62"/>
      <x:c r="I621" s="62"/>
      <x:c r="J621" s="62"/>
      <x:c r="K621" s="62"/>
      <x:c r="L621" s="62"/>
      <x:c r="M621" s="68"/>
      <x:c r="N621" s="68"/>
      <x:c r="O621" s="68"/>
      <x:c r="P621" s="71" t="str">
        <x:f>IF(A621="","",IF(N621&gt;0,N621,M621))</x:f>
      </x:c>
      <x:c r="Q621" s="72" t="n">
        <x:f>IF(A621="",0,IF(COUNTIF($A$5:A621,A621)=1,1,0))</x:f>
        <x:v>0</x:v>
      </x:c>
      <x:c r="R621" s="64" t="str">
        <x:f>IF(A621="","",IF(F621="C621成功",IF(AND(J621&lt;&gt;"",K621&lt;&gt;"",N621&gt;0),"有证据","缺C621证据"),IF(F621="C621发货确认中",IF(AND(J621&lt;&gt;"",K621&lt;&gt;""),"有证据","缺C621证据"),IF(F621="手动完结",IF(OR(L621&lt;&gt;"",O621&lt;&gt;"",S621&lt;&gt;""),"有记录","缺手工证据"),IF(OR(F621="卖出待补仓",F621="提交结果待确认",F621="异常待处理"),"持续跟踪","检查状态")))))</x:f>
      </x:c>
      <x:c r="T621" s="64" t="str">
        <x:f>IF(A621="","",IF(COUNTIF($A$5:$A$1204,A621)&gt;1,"重复",""))</x:f>
      </x:c>
      <x:c r="U621" s="64" t="str">
        <x:f>IF(A621="","",IF(T621="重复","检查重复",IF(OR(R621="有证据",R621="有记录",R621="持续跟踪"),"可追踪","检查")))</x:f>
      </x:c>
    </x:row>
    <x:row r="622">
      <x:c r="A622" s="62"/>
      <x:c r="B622" s="62"/>
      <x:c r="C622" s="62"/>
      <x:c r="D622" s="66"/>
      <x:c r="E622" s="68"/>
      <x:c r="F622" s="62"/>
      <x:c r="G622" s="62"/>
      <x:c r="H622" s="62"/>
      <x:c r="I622" s="62"/>
      <x:c r="J622" s="62"/>
      <x:c r="K622" s="62"/>
      <x:c r="L622" s="62"/>
      <x:c r="M622" s="68"/>
      <x:c r="N622" s="68"/>
      <x:c r="O622" s="68"/>
      <x:c r="P622" s="71" t="str">
        <x:f>IF(A622="","",IF(N622&gt;0,N622,M622))</x:f>
      </x:c>
      <x:c r="Q622" s="72" t="n">
        <x:f>IF(A622="",0,IF(COUNTIF($A$5:A622,A622)=1,1,0))</x:f>
        <x:v>0</x:v>
      </x:c>
      <x:c r="R622" s="64" t="str">
        <x:f>IF(A622="","",IF(F622="C622成功",IF(AND(J622&lt;&gt;"",K622&lt;&gt;"",N622&gt;0),"有证据","缺C622证据"),IF(F622="C622发货确认中",IF(AND(J622&lt;&gt;"",K622&lt;&gt;""),"有证据","缺C622证据"),IF(F622="手动完结",IF(OR(L622&lt;&gt;"",O622&lt;&gt;"",S622&lt;&gt;""),"有记录","缺手工证据"),IF(OR(F622="卖出待补仓",F622="提交结果待确认",F622="异常待处理"),"持续跟踪","检查状态")))))</x:f>
      </x:c>
      <x:c r="T622" s="64" t="str">
        <x:f>IF(A622="","",IF(COUNTIF($A$5:$A$1204,A622)&gt;1,"重复",""))</x:f>
      </x:c>
      <x:c r="U622" s="64" t="str">
        <x:f>IF(A622="","",IF(T622="重复","检查重复",IF(OR(R622="有证据",R622="有记录",R622="持续跟踪"),"可追踪","检查")))</x:f>
      </x:c>
    </x:row>
    <x:row r="623">
      <x:c r="A623" s="62"/>
      <x:c r="B623" s="62"/>
      <x:c r="C623" s="62"/>
      <x:c r="D623" s="66"/>
      <x:c r="E623" s="68"/>
      <x:c r="F623" s="62"/>
      <x:c r="G623" s="62"/>
      <x:c r="H623" s="62"/>
      <x:c r="I623" s="62"/>
      <x:c r="J623" s="62"/>
      <x:c r="K623" s="62"/>
      <x:c r="L623" s="62"/>
      <x:c r="M623" s="68"/>
      <x:c r="N623" s="68"/>
      <x:c r="O623" s="68"/>
      <x:c r="P623" s="71" t="str">
        <x:f>IF(A623="","",IF(N623&gt;0,N623,M623))</x:f>
      </x:c>
      <x:c r="Q623" s="72" t="n">
        <x:f>IF(A623="",0,IF(COUNTIF($A$5:A623,A623)=1,1,0))</x:f>
        <x:v>0</x:v>
      </x:c>
      <x:c r="R623" s="64" t="str">
        <x:f>IF(A623="","",IF(F623="C623成功",IF(AND(J623&lt;&gt;"",K623&lt;&gt;"",N623&gt;0),"有证据","缺C623证据"),IF(F623="C623发货确认中",IF(AND(J623&lt;&gt;"",K623&lt;&gt;""),"有证据","缺C623证据"),IF(F623="手动完结",IF(OR(L623&lt;&gt;"",O623&lt;&gt;"",S623&lt;&gt;""),"有记录","缺手工证据"),IF(OR(F623="卖出待补仓",F623="提交结果待确认",F623="异常待处理"),"持续跟踪","检查状态")))))</x:f>
      </x:c>
      <x:c r="T623" s="64" t="str">
        <x:f>IF(A623="","",IF(COUNTIF($A$5:$A$1204,A623)&gt;1,"重复",""))</x:f>
      </x:c>
      <x:c r="U623" s="64" t="str">
        <x:f>IF(A623="","",IF(T623="重复","检查重复",IF(OR(R623="有证据",R623="有记录",R623="持续跟踪"),"可追踪","检查")))</x:f>
      </x:c>
    </x:row>
    <x:row r="624">
      <x:c r="A624" s="62"/>
      <x:c r="B624" s="62"/>
      <x:c r="C624" s="62"/>
      <x:c r="D624" s="66"/>
      <x:c r="E624" s="68"/>
      <x:c r="F624" s="62"/>
      <x:c r="G624" s="62"/>
      <x:c r="H624" s="62"/>
      <x:c r="I624" s="62"/>
      <x:c r="J624" s="62"/>
      <x:c r="K624" s="62"/>
      <x:c r="L624" s="62"/>
      <x:c r="M624" s="68"/>
      <x:c r="N624" s="68"/>
      <x:c r="O624" s="68"/>
      <x:c r="P624" s="71" t="str">
        <x:f>IF(A624="","",IF(N624&gt;0,N624,M624))</x:f>
      </x:c>
      <x:c r="Q624" s="72" t="n">
        <x:f>IF(A624="",0,IF(COUNTIF($A$5:A624,A624)=1,1,0))</x:f>
        <x:v>0</x:v>
      </x:c>
      <x:c r="R624" s="64" t="str">
        <x:f>IF(A624="","",IF(F624="C624成功",IF(AND(J624&lt;&gt;"",K624&lt;&gt;"",N624&gt;0),"有证据","缺C624证据"),IF(F624="C624发货确认中",IF(AND(J624&lt;&gt;"",K624&lt;&gt;""),"有证据","缺C624证据"),IF(F624="手动完结",IF(OR(L624&lt;&gt;"",O624&lt;&gt;"",S624&lt;&gt;""),"有记录","缺手工证据"),IF(OR(F624="卖出待补仓",F624="提交结果待确认",F624="异常待处理"),"持续跟踪","检查状态")))))</x:f>
      </x:c>
      <x:c r="T624" s="64" t="str">
        <x:f>IF(A624="","",IF(COUNTIF($A$5:$A$1204,A624)&gt;1,"重复",""))</x:f>
      </x:c>
      <x:c r="U624" s="64" t="str">
        <x:f>IF(A624="","",IF(T624="重复","检查重复",IF(OR(R624="有证据",R624="有记录",R624="持续跟踪"),"可追踪","检查")))</x:f>
      </x:c>
    </x:row>
    <x:row r="625">
      <x:c r="A625" s="62"/>
      <x:c r="B625" s="62"/>
      <x:c r="C625" s="62"/>
      <x:c r="D625" s="66"/>
      <x:c r="E625" s="68"/>
      <x:c r="F625" s="62"/>
      <x:c r="G625" s="62"/>
      <x:c r="H625" s="62"/>
      <x:c r="I625" s="62"/>
      <x:c r="J625" s="62"/>
      <x:c r="K625" s="62"/>
      <x:c r="L625" s="62"/>
      <x:c r="M625" s="68"/>
      <x:c r="N625" s="68"/>
      <x:c r="O625" s="68"/>
      <x:c r="P625" s="71" t="str">
        <x:f>IF(A625="","",IF(N625&gt;0,N625,M625))</x:f>
      </x:c>
      <x:c r="Q625" s="72" t="n">
        <x:f>IF(A625="",0,IF(COUNTIF($A$5:A625,A625)=1,1,0))</x:f>
        <x:v>0</x:v>
      </x:c>
      <x:c r="R625" s="64" t="str">
        <x:f>IF(A625="","",IF(F625="C625成功",IF(AND(J625&lt;&gt;"",K625&lt;&gt;"",N625&gt;0),"有证据","缺C625证据"),IF(F625="C625发货确认中",IF(AND(J625&lt;&gt;"",K625&lt;&gt;""),"有证据","缺C625证据"),IF(F625="手动完结",IF(OR(L625&lt;&gt;"",O625&lt;&gt;"",S625&lt;&gt;""),"有记录","缺手工证据"),IF(OR(F625="卖出待补仓",F625="提交结果待确认",F625="异常待处理"),"持续跟踪","检查状态")))))</x:f>
      </x:c>
      <x:c r="T625" s="64" t="str">
        <x:f>IF(A625="","",IF(COUNTIF($A$5:$A$1204,A625)&gt;1,"重复",""))</x:f>
      </x:c>
      <x:c r="U625" s="64" t="str">
        <x:f>IF(A625="","",IF(T625="重复","检查重复",IF(OR(R625="有证据",R625="有记录",R625="持续跟踪"),"可追踪","检查")))</x:f>
      </x:c>
    </x:row>
    <x:row r="626">
      <x:c r="A626" s="62"/>
      <x:c r="B626" s="62"/>
      <x:c r="C626" s="62"/>
      <x:c r="D626" s="66"/>
      <x:c r="E626" s="68"/>
      <x:c r="F626" s="62"/>
      <x:c r="G626" s="62"/>
      <x:c r="H626" s="62"/>
      <x:c r="I626" s="62"/>
      <x:c r="J626" s="62"/>
      <x:c r="K626" s="62"/>
      <x:c r="L626" s="62"/>
      <x:c r="M626" s="68"/>
      <x:c r="N626" s="68"/>
      <x:c r="O626" s="68"/>
      <x:c r="P626" s="71" t="str">
        <x:f>IF(A626="","",IF(N626&gt;0,N626,M626))</x:f>
      </x:c>
      <x:c r="Q626" s="72" t="n">
        <x:f>IF(A626="",0,IF(COUNTIF($A$5:A626,A626)=1,1,0))</x:f>
        <x:v>0</x:v>
      </x:c>
      <x:c r="R626" s="64" t="str">
        <x:f>IF(A626="","",IF(F626="C626成功",IF(AND(J626&lt;&gt;"",K626&lt;&gt;"",N626&gt;0),"有证据","缺C626证据"),IF(F626="C626发货确认中",IF(AND(J626&lt;&gt;"",K626&lt;&gt;""),"有证据","缺C626证据"),IF(F626="手动完结",IF(OR(L626&lt;&gt;"",O626&lt;&gt;"",S626&lt;&gt;""),"有记录","缺手工证据"),IF(OR(F626="卖出待补仓",F626="提交结果待确认",F626="异常待处理"),"持续跟踪","检查状态")))))</x:f>
      </x:c>
      <x:c r="T626" s="64" t="str">
        <x:f>IF(A626="","",IF(COUNTIF($A$5:$A$1204,A626)&gt;1,"重复",""))</x:f>
      </x:c>
      <x:c r="U626" s="64" t="str">
        <x:f>IF(A626="","",IF(T626="重复","检查重复",IF(OR(R626="有证据",R626="有记录",R626="持续跟踪"),"可追踪","检查")))</x:f>
      </x:c>
    </x:row>
    <x:row r="627">
      <x:c r="A627" s="62"/>
      <x:c r="B627" s="62"/>
      <x:c r="C627" s="62"/>
      <x:c r="D627" s="66"/>
      <x:c r="E627" s="68"/>
      <x:c r="F627" s="62"/>
      <x:c r="G627" s="62"/>
      <x:c r="H627" s="62"/>
      <x:c r="I627" s="62"/>
      <x:c r="J627" s="62"/>
      <x:c r="K627" s="62"/>
      <x:c r="L627" s="62"/>
      <x:c r="M627" s="68"/>
      <x:c r="N627" s="68"/>
      <x:c r="O627" s="68"/>
      <x:c r="P627" s="71" t="str">
        <x:f>IF(A627="","",IF(N627&gt;0,N627,M627))</x:f>
      </x:c>
      <x:c r="Q627" s="72" t="n">
        <x:f>IF(A627="",0,IF(COUNTIF($A$5:A627,A627)=1,1,0))</x:f>
        <x:v>0</x:v>
      </x:c>
      <x:c r="R627" s="64" t="str">
        <x:f>IF(A627="","",IF(F627="C627成功",IF(AND(J627&lt;&gt;"",K627&lt;&gt;"",N627&gt;0),"有证据","缺C627证据"),IF(F627="C627发货确认中",IF(AND(J627&lt;&gt;"",K627&lt;&gt;""),"有证据","缺C627证据"),IF(F627="手动完结",IF(OR(L627&lt;&gt;"",O627&lt;&gt;"",S627&lt;&gt;""),"有记录","缺手工证据"),IF(OR(F627="卖出待补仓",F627="提交结果待确认",F627="异常待处理"),"持续跟踪","检查状态")))))</x:f>
      </x:c>
      <x:c r="T627" s="64" t="str">
        <x:f>IF(A627="","",IF(COUNTIF($A$5:$A$1204,A627)&gt;1,"重复",""))</x:f>
      </x:c>
      <x:c r="U627" s="64" t="str">
        <x:f>IF(A627="","",IF(T627="重复","检查重复",IF(OR(R627="有证据",R627="有记录",R627="持续跟踪"),"可追踪","检查")))</x:f>
      </x:c>
    </x:row>
    <x:row r="628">
      <x:c r="A628" s="62"/>
      <x:c r="B628" s="62"/>
      <x:c r="C628" s="62"/>
      <x:c r="D628" s="66"/>
      <x:c r="E628" s="68"/>
      <x:c r="F628" s="62"/>
      <x:c r="G628" s="62"/>
      <x:c r="H628" s="62"/>
      <x:c r="I628" s="62"/>
      <x:c r="J628" s="62"/>
      <x:c r="K628" s="62"/>
      <x:c r="L628" s="62"/>
      <x:c r="M628" s="68"/>
      <x:c r="N628" s="68"/>
      <x:c r="O628" s="68"/>
      <x:c r="P628" s="71" t="str">
        <x:f>IF(A628="","",IF(N628&gt;0,N628,M628))</x:f>
      </x:c>
      <x:c r="Q628" s="72" t="n">
        <x:f>IF(A628="",0,IF(COUNTIF($A$5:A628,A628)=1,1,0))</x:f>
        <x:v>0</x:v>
      </x:c>
      <x:c r="R628" s="64" t="str">
        <x:f>IF(A628="","",IF(F628="C628成功",IF(AND(J628&lt;&gt;"",K628&lt;&gt;"",N628&gt;0),"有证据","缺C628证据"),IF(F628="C628发货确认中",IF(AND(J628&lt;&gt;"",K628&lt;&gt;""),"有证据","缺C628证据"),IF(F628="手动完结",IF(OR(L628&lt;&gt;"",O628&lt;&gt;"",S628&lt;&gt;""),"有记录","缺手工证据"),IF(OR(F628="卖出待补仓",F628="提交结果待确认",F628="异常待处理"),"持续跟踪","检查状态")))))</x:f>
      </x:c>
      <x:c r="T628" s="64" t="str">
        <x:f>IF(A628="","",IF(COUNTIF($A$5:$A$1204,A628)&gt;1,"重复",""))</x:f>
      </x:c>
      <x:c r="U628" s="64" t="str">
        <x:f>IF(A628="","",IF(T628="重复","检查重复",IF(OR(R628="有证据",R628="有记录",R628="持续跟踪"),"可追踪","检查")))</x:f>
      </x:c>
    </x:row>
    <x:row r="629">
      <x:c r="A629" s="62"/>
      <x:c r="B629" s="62"/>
      <x:c r="C629" s="62"/>
      <x:c r="D629" s="66"/>
      <x:c r="E629" s="68"/>
      <x:c r="F629" s="62"/>
      <x:c r="G629" s="62"/>
      <x:c r="H629" s="62"/>
      <x:c r="I629" s="62"/>
      <x:c r="J629" s="62"/>
      <x:c r="K629" s="62"/>
      <x:c r="L629" s="62"/>
      <x:c r="M629" s="68"/>
      <x:c r="N629" s="68"/>
      <x:c r="O629" s="68"/>
      <x:c r="P629" s="71" t="str">
        <x:f>IF(A629="","",IF(N629&gt;0,N629,M629))</x:f>
      </x:c>
      <x:c r="Q629" s="72" t="n">
        <x:f>IF(A629="",0,IF(COUNTIF($A$5:A629,A629)=1,1,0))</x:f>
        <x:v>0</x:v>
      </x:c>
      <x:c r="R629" s="64" t="str">
        <x:f>IF(A629="","",IF(F629="C629成功",IF(AND(J629&lt;&gt;"",K629&lt;&gt;"",N629&gt;0),"有证据","缺C629证据"),IF(F629="C629发货确认中",IF(AND(J629&lt;&gt;"",K629&lt;&gt;""),"有证据","缺C629证据"),IF(F629="手动完结",IF(OR(L629&lt;&gt;"",O629&lt;&gt;"",S629&lt;&gt;""),"有记录","缺手工证据"),IF(OR(F629="卖出待补仓",F629="提交结果待确认",F629="异常待处理"),"持续跟踪","检查状态")))))</x:f>
      </x:c>
      <x:c r="T629" s="64" t="str">
        <x:f>IF(A629="","",IF(COUNTIF($A$5:$A$1204,A629)&gt;1,"重复",""))</x:f>
      </x:c>
      <x:c r="U629" s="64" t="str">
        <x:f>IF(A629="","",IF(T629="重复","检查重复",IF(OR(R629="有证据",R629="有记录",R629="持续跟踪"),"可追踪","检查")))</x:f>
      </x:c>
    </x:row>
    <x:row r="630">
      <x:c r="A630" s="62"/>
      <x:c r="B630" s="62"/>
      <x:c r="C630" s="62"/>
      <x:c r="D630" s="66"/>
      <x:c r="E630" s="68"/>
      <x:c r="F630" s="62"/>
      <x:c r="G630" s="62"/>
      <x:c r="H630" s="62"/>
      <x:c r="I630" s="62"/>
      <x:c r="J630" s="62"/>
      <x:c r="K630" s="62"/>
      <x:c r="L630" s="62"/>
      <x:c r="M630" s="68"/>
      <x:c r="N630" s="68"/>
      <x:c r="O630" s="68"/>
      <x:c r="P630" s="71" t="str">
        <x:f>IF(A630="","",IF(N630&gt;0,N630,M630))</x:f>
      </x:c>
      <x:c r="Q630" s="72" t="n">
        <x:f>IF(A630="",0,IF(COUNTIF($A$5:A630,A630)=1,1,0))</x:f>
        <x:v>0</x:v>
      </x:c>
      <x:c r="R630" s="64" t="str">
        <x:f>IF(A630="","",IF(F630="C630成功",IF(AND(J630&lt;&gt;"",K630&lt;&gt;"",N630&gt;0),"有证据","缺C630证据"),IF(F630="C630发货确认中",IF(AND(J630&lt;&gt;"",K630&lt;&gt;""),"有证据","缺C630证据"),IF(F630="手动完结",IF(OR(L630&lt;&gt;"",O630&lt;&gt;"",S630&lt;&gt;""),"有记录","缺手工证据"),IF(OR(F630="卖出待补仓",F630="提交结果待确认",F630="异常待处理"),"持续跟踪","检查状态")))))</x:f>
      </x:c>
      <x:c r="T630" s="64" t="str">
        <x:f>IF(A630="","",IF(COUNTIF($A$5:$A$1204,A630)&gt;1,"重复",""))</x:f>
      </x:c>
      <x:c r="U630" s="64" t="str">
        <x:f>IF(A630="","",IF(T630="重复","检查重复",IF(OR(R630="有证据",R630="有记录",R630="持续跟踪"),"可追踪","检查")))</x:f>
      </x:c>
    </x:row>
    <x:row r="631">
      <x:c r="A631" s="62"/>
      <x:c r="B631" s="62"/>
      <x:c r="C631" s="62"/>
      <x:c r="D631" s="66"/>
      <x:c r="E631" s="68"/>
      <x:c r="F631" s="62"/>
      <x:c r="G631" s="62"/>
      <x:c r="H631" s="62"/>
      <x:c r="I631" s="62"/>
      <x:c r="J631" s="62"/>
      <x:c r="K631" s="62"/>
      <x:c r="L631" s="62"/>
      <x:c r="M631" s="68"/>
      <x:c r="N631" s="68"/>
      <x:c r="O631" s="68"/>
      <x:c r="P631" s="71" t="str">
        <x:f>IF(A631="","",IF(N631&gt;0,N631,M631))</x:f>
      </x:c>
      <x:c r="Q631" s="72" t="n">
        <x:f>IF(A631="",0,IF(COUNTIF($A$5:A631,A631)=1,1,0))</x:f>
        <x:v>0</x:v>
      </x:c>
      <x:c r="R631" s="64" t="str">
        <x:f>IF(A631="","",IF(F631="C631成功",IF(AND(J631&lt;&gt;"",K631&lt;&gt;"",N631&gt;0),"有证据","缺C631证据"),IF(F631="C631发货确认中",IF(AND(J631&lt;&gt;"",K631&lt;&gt;""),"有证据","缺C631证据"),IF(F631="手动完结",IF(OR(L631&lt;&gt;"",O631&lt;&gt;"",S631&lt;&gt;""),"有记录","缺手工证据"),IF(OR(F631="卖出待补仓",F631="提交结果待确认",F631="异常待处理"),"持续跟踪","检查状态")))))</x:f>
      </x:c>
      <x:c r="T631" s="64" t="str">
        <x:f>IF(A631="","",IF(COUNTIF($A$5:$A$1204,A631)&gt;1,"重复",""))</x:f>
      </x:c>
      <x:c r="U631" s="64" t="str">
        <x:f>IF(A631="","",IF(T631="重复","检查重复",IF(OR(R631="有证据",R631="有记录",R631="持续跟踪"),"可追踪","检查")))</x:f>
      </x:c>
    </x:row>
    <x:row r="632">
      <x:c r="A632" s="62"/>
      <x:c r="B632" s="62"/>
      <x:c r="C632" s="62"/>
      <x:c r="D632" s="66"/>
      <x:c r="E632" s="68"/>
      <x:c r="F632" s="62"/>
      <x:c r="G632" s="62"/>
      <x:c r="H632" s="62"/>
      <x:c r="I632" s="62"/>
      <x:c r="J632" s="62"/>
      <x:c r="K632" s="62"/>
      <x:c r="L632" s="62"/>
      <x:c r="M632" s="68"/>
      <x:c r="N632" s="68"/>
      <x:c r="O632" s="68"/>
      <x:c r="P632" s="71" t="str">
        <x:f>IF(A632="","",IF(N632&gt;0,N632,M632))</x:f>
      </x:c>
      <x:c r="Q632" s="72" t="n">
        <x:f>IF(A632="",0,IF(COUNTIF($A$5:A632,A632)=1,1,0))</x:f>
        <x:v>0</x:v>
      </x:c>
      <x:c r="R632" s="64" t="str">
        <x:f>IF(A632="","",IF(F632="C632成功",IF(AND(J632&lt;&gt;"",K632&lt;&gt;"",N632&gt;0),"有证据","缺C632证据"),IF(F632="C632发货确认中",IF(AND(J632&lt;&gt;"",K632&lt;&gt;""),"有证据","缺C632证据"),IF(F632="手动完结",IF(OR(L632&lt;&gt;"",O632&lt;&gt;"",S632&lt;&gt;""),"有记录","缺手工证据"),IF(OR(F632="卖出待补仓",F632="提交结果待确认",F632="异常待处理"),"持续跟踪","检查状态")))))</x:f>
      </x:c>
      <x:c r="T632" s="64" t="str">
        <x:f>IF(A632="","",IF(COUNTIF($A$5:$A$1204,A632)&gt;1,"重复",""))</x:f>
      </x:c>
      <x:c r="U632" s="64" t="str">
        <x:f>IF(A632="","",IF(T632="重复","检查重复",IF(OR(R632="有证据",R632="有记录",R632="持续跟踪"),"可追踪","检查")))</x:f>
      </x:c>
    </x:row>
    <x:row r="633">
      <x:c r="A633" s="62"/>
      <x:c r="B633" s="62"/>
      <x:c r="C633" s="62"/>
      <x:c r="D633" s="66"/>
      <x:c r="E633" s="68"/>
      <x:c r="F633" s="62"/>
      <x:c r="G633" s="62"/>
      <x:c r="H633" s="62"/>
      <x:c r="I633" s="62"/>
      <x:c r="J633" s="62"/>
      <x:c r="K633" s="62"/>
      <x:c r="L633" s="62"/>
      <x:c r="M633" s="68"/>
      <x:c r="N633" s="68"/>
      <x:c r="O633" s="68"/>
      <x:c r="P633" s="71" t="str">
        <x:f>IF(A633="","",IF(N633&gt;0,N633,M633))</x:f>
      </x:c>
      <x:c r="Q633" s="72" t="n">
        <x:f>IF(A633="",0,IF(COUNTIF($A$5:A633,A633)=1,1,0))</x:f>
        <x:v>0</x:v>
      </x:c>
      <x:c r="R633" s="64" t="str">
        <x:f>IF(A633="","",IF(F633="C633成功",IF(AND(J633&lt;&gt;"",K633&lt;&gt;"",N633&gt;0),"有证据","缺C633证据"),IF(F633="C633发货确认中",IF(AND(J633&lt;&gt;"",K633&lt;&gt;""),"有证据","缺C633证据"),IF(F633="手动完结",IF(OR(L633&lt;&gt;"",O633&lt;&gt;"",S633&lt;&gt;""),"有记录","缺手工证据"),IF(OR(F633="卖出待补仓",F633="提交结果待确认",F633="异常待处理"),"持续跟踪","检查状态")))))</x:f>
      </x:c>
      <x:c r="T633" s="64" t="str">
        <x:f>IF(A633="","",IF(COUNTIF($A$5:$A$1204,A633)&gt;1,"重复",""))</x:f>
      </x:c>
      <x:c r="U633" s="64" t="str">
        <x:f>IF(A633="","",IF(T633="重复","检查重复",IF(OR(R633="有证据",R633="有记录",R633="持续跟踪"),"可追踪","检查")))</x:f>
      </x:c>
    </x:row>
    <x:row r="634">
      <x:c r="A634" s="62"/>
      <x:c r="B634" s="62"/>
      <x:c r="C634" s="62"/>
      <x:c r="D634" s="66"/>
      <x:c r="E634" s="68"/>
      <x:c r="F634" s="62"/>
      <x:c r="G634" s="62"/>
      <x:c r="H634" s="62"/>
      <x:c r="I634" s="62"/>
      <x:c r="J634" s="62"/>
      <x:c r="K634" s="62"/>
      <x:c r="L634" s="62"/>
      <x:c r="M634" s="68"/>
      <x:c r="N634" s="68"/>
      <x:c r="O634" s="68"/>
      <x:c r="P634" s="71" t="str">
        <x:f>IF(A634="","",IF(N634&gt;0,N634,M634))</x:f>
      </x:c>
      <x:c r="Q634" s="72" t="n">
        <x:f>IF(A634="",0,IF(COUNTIF($A$5:A634,A634)=1,1,0))</x:f>
        <x:v>0</x:v>
      </x:c>
      <x:c r="R634" s="64" t="str">
        <x:f>IF(A634="","",IF(F634="C634成功",IF(AND(J634&lt;&gt;"",K634&lt;&gt;"",N634&gt;0),"有证据","缺C634证据"),IF(F634="C634发货确认中",IF(AND(J634&lt;&gt;"",K634&lt;&gt;""),"有证据","缺C634证据"),IF(F634="手动完结",IF(OR(L634&lt;&gt;"",O634&lt;&gt;"",S634&lt;&gt;""),"有记录","缺手工证据"),IF(OR(F634="卖出待补仓",F634="提交结果待确认",F634="异常待处理"),"持续跟踪","检查状态")))))</x:f>
      </x:c>
      <x:c r="T634" s="64" t="str">
        <x:f>IF(A634="","",IF(COUNTIF($A$5:$A$1204,A634)&gt;1,"重复",""))</x:f>
      </x:c>
      <x:c r="U634" s="64" t="str">
        <x:f>IF(A634="","",IF(T634="重复","检查重复",IF(OR(R634="有证据",R634="有记录",R634="持续跟踪"),"可追踪","检查")))</x:f>
      </x:c>
    </x:row>
    <x:row r="635">
      <x:c r="A635" s="62"/>
      <x:c r="B635" s="62"/>
      <x:c r="C635" s="62"/>
      <x:c r="D635" s="66"/>
      <x:c r="E635" s="68"/>
      <x:c r="F635" s="62"/>
      <x:c r="G635" s="62"/>
      <x:c r="H635" s="62"/>
      <x:c r="I635" s="62"/>
      <x:c r="J635" s="62"/>
      <x:c r="K635" s="62"/>
      <x:c r="L635" s="62"/>
      <x:c r="M635" s="68"/>
      <x:c r="N635" s="68"/>
      <x:c r="O635" s="68"/>
      <x:c r="P635" s="71" t="str">
        <x:f>IF(A635="","",IF(N635&gt;0,N635,M635))</x:f>
      </x:c>
      <x:c r="Q635" s="72" t="n">
        <x:f>IF(A635="",0,IF(COUNTIF($A$5:A635,A635)=1,1,0))</x:f>
        <x:v>0</x:v>
      </x:c>
      <x:c r="R635" s="64" t="str">
        <x:f>IF(A635="","",IF(F635="C635成功",IF(AND(J635&lt;&gt;"",K635&lt;&gt;"",N635&gt;0),"有证据","缺C635证据"),IF(F635="C635发货确认中",IF(AND(J635&lt;&gt;"",K635&lt;&gt;""),"有证据","缺C635证据"),IF(F635="手动完结",IF(OR(L635&lt;&gt;"",O635&lt;&gt;"",S635&lt;&gt;""),"有记录","缺手工证据"),IF(OR(F635="卖出待补仓",F635="提交结果待确认",F635="异常待处理"),"持续跟踪","检查状态")))))</x:f>
      </x:c>
      <x:c r="T635" s="64" t="str">
        <x:f>IF(A635="","",IF(COUNTIF($A$5:$A$1204,A635)&gt;1,"重复",""))</x:f>
      </x:c>
      <x:c r="U635" s="64" t="str">
        <x:f>IF(A635="","",IF(T635="重复","检查重复",IF(OR(R635="有证据",R635="有记录",R635="持续跟踪"),"可追踪","检查")))</x:f>
      </x:c>
    </x:row>
    <x:row r="636">
      <x:c r="A636" s="62"/>
      <x:c r="B636" s="62"/>
      <x:c r="C636" s="62"/>
      <x:c r="D636" s="66"/>
      <x:c r="E636" s="68"/>
      <x:c r="F636" s="62"/>
      <x:c r="G636" s="62"/>
      <x:c r="H636" s="62"/>
      <x:c r="I636" s="62"/>
      <x:c r="J636" s="62"/>
      <x:c r="K636" s="62"/>
      <x:c r="L636" s="62"/>
      <x:c r="M636" s="68"/>
      <x:c r="N636" s="68"/>
      <x:c r="O636" s="68"/>
      <x:c r="P636" s="71" t="str">
        <x:f>IF(A636="","",IF(N636&gt;0,N636,M636))</x:f>
      </x:c>
      <x:c r="Q636" s="72" t="n">
        <x:f>IF(A636="",0,IF(COUNTIF($A$5:A636,A636)=1,1,0))</x:f>
        <x:v>0</x:v>
      </x:c>
      <x:c r="R636" s="64" t="str">
        <x:f>IF(A636="","",IF(F636="C636成功",IF(AND(J636&lt;&gt;"",K636&lt;&gt;"",N636&gt;0),"有证据","缺C636证据"),IF(F636="C636发货确认中",IF(AND(J636&lt;&gt;"",K636&lt;&gt;""),"有证据","缺C636证据"),IF(F636="手动完结",IF(OR(L636&lt;&gt;"",O636&lt;&gt;"",S636&lt;&gt;""),"有记录","缺手工证据"),IF(OR(F636="卖出待补仓",F636="提交结果待确认",F636="异常待处理"),"持续跟踪","检查状态")))))</x:f>
      </x:c>
      <x:c r="T636" s="64" t="str">
        <x:f>IF(A636="","",IF(COUNTIF($A$5:$A$1204,A636)&gt;1,"重复",""))</x:f>
      </x:c>
      <x:c r="U636" s="64" t="str">
        <x:f>IF(A636="","",IF(T636="重复","检查重复",IF(OR(R636="有证据",R636="有记录",R636="持续跟踪"),"可追踪","检查")))</x:f>
      </x:c>
    </x:row>
    <x:row r="637">
      <x:c r="A637" s="62"/>
      <x:c r="B637" s="62"/>
      <x:c r="C637" s="62"/>
      <x:c r="D637" s="66"/>
      <x:c r="E637" s="68"/>
      <x:c r="F637" s="62"/>
      <x:c r="G637" s="62"/>
      <x:c r="H637" s="62"/>
      <x:c r="I637" s="62"/>
      <x:c r="J637" s="62"/>
      <x:c r="K637" s="62"/>
      <x:c r="L637" s="62"/>
      <x:c r="M637" s="68"/>
      <x:c r="N637" s="68"/>
      <x:c r="O637" s="68"/>
      <x:c r="P637" s="71" t="str">
        <x:f>IF(A637="","",IF(N637&gt;0,N637,M637))</x:f>
      </x:c>
      <x:c r="Q637" s="72" t="n">
        <x:f>IF(A637="",0,IF(COUNTIF($A$5:A637,A637)=1,1,0))</x:f>
        <x:v>0</x:v>
      </x:c>
      <x:c r="R637" s="64" t="str">
        <x:f>IF(A637="","",IF(F637="C637成功",IF(AND(J637&lt;&gt;"",K637&lt;&gt;"",N637&gt;0),"有证据","缺C637证据"),IF(F637="C637发货确认中",IF(AND(J637&lt;&gt;"",K637&lt;&gt;""),"有证据","缺C637证据"),IF(F637="手动完结",IF(OR(L637&lt;&gt;"",O637&lt;&gt;"",S637&lt;&gt;""),"有记录","缺手工证据"),IF(OR(F637="卖出待补仓",F637="提交结果待确认",F637="异常待处理"),"持续跟踪","检查状态")))))</x:f>
      </x:c>
      <x:c r="T637" s="64" t="str">
        <x:f>IF(A637="","",IF(COUNTIF($A$5:$A$1204,A637)&gt;1,"重复",""))</x:f>
      </x:c>
      <x:c r="U637" s="64" t="str">
        <x:f>IF(A637="","",IF(T637="重复","检查重复",IF(OR(R637="有证据",R637="有记录",R637="持续跟踪"),"可追踪","检查")))</x:f>
      </x:c>
    </x:row>
    <x:row r="638">
      <x:c r="A638" s="62"/>
      <x:c r="B638" s="62"/>
      <x:c r="C638" s="62"/>
      <x:c r="D638" s="66"/>
      <x:c r="E638" s="68"/>
      <x:c r="F638" s="62"/>
      <x:c r="G638" s="62"/>
      <x:c r="H638" s="62"/>
      <x:c r="I638" s="62"/>
      <x:c r="J638" s="62"/>
      <x:c r="K638" s="62"/>
      <x:c r="L638" s="62"/>
      <x:c r="M638" s="68"/>
      <x:c r="N638" s="68"/>
      <x:c r="O638" s="68"/>
      <x:c r="P638" s="71" t="str">
        <x:f>IF(A638="","",IF(N638&gt;0,N638,M638))</x:f>
      </x:c>
      <x:c r="Q638" s="72" t="n">
        <x:f>IF(A638="",0,IF(COUNTIF($A$5:A638,A638)=1,1,0))</x:f>
        <x:v>0</x:v>
      </x:c>
      <x:c r="R638" s="64" t="str">
        <x:f>IF(A638="","",IF(F638="C638成功",IF(AND(J638&lt;&gt;"",K638&lt;&gt;"",N638&gt;0),"有证据","缺C638证据"),IF(F638="C638发货确认中",IF(AND(J638&lt;&gt;"",K638&lt;&gt;""),"有证据","缺C638证据"),IF(F638="手动完结",IF(OR(L638&lt;&gt;"",O638&lt;&gt;"",S638&lt;&gt;""),"有记录","缺手工证据"),IF(OR(F638="卖出待补仓",F638="提交结果待确认",F638="异常待处理"),"持续跟踪","检查状态")))))</x:f>
      </x:c>
      <x:c r="T638" s="64" t="str">
        <x:f>IF(A638="","",IF(COUNTIF($A$5:$A$1204,A638)&gt;1,"重复",""))</x:f>
      </x:c>
      <x:c r="U638" s="64" t="str">
        <x:f>IF(A638="","",IF(T638="重复","检查重复",IF(OR(R638="有证据",R638="有记录",R638="持续跟踪"),"可追踪","检查")))</x:f>
      </x:c>
    </x:row>
    <x:row r="639">
      <x:c r="A639" s="62"/>
      <x:c r="B639" s="62"/>
      <x:c r="C639" s="62"/>
      <x:c r="D639" s="66"/>
      <x:c r="E639" s="68"/>
      <x:c r="F639" s="62"/>
      <x:c r="G639" s="62"/>
      <x:c r="H639" s="62"/>
      <x:c r="I639" s="62"/>
      <x:c r="J639" s="62"/>
      <x:c r="K639" s="62"/>
      <x:c r="L639" s="62"/>
      <x:c r="M639" s="68"/>
      <x:c r="N639" s="68"/>
      <x:c r="O639" s="68"/>
      <x:c r="P639" s="71" t="str">
        <x:f>IF(A639="","",IF(N639&gt;0,N639,M639))</x:f>
      </x:c>
      <x:c r="Q639" s="72" t="n">
        <x:f>IF(A639="",0,IF(COUNTIF($A$5:A639,A639)=1,1,0))</x:f>
        <x:v>0</x:v>
      </x:c>
      <x:c r="R639" s="64" t="str">
        <x:f>IF(A639="","",IF(F639="C639成功",IF(AND(J639&lt;&gt;"",K639&lt;&gt;"",N639&gt;0),"有证据","缺C639证据"),IF(F639="C639发货确认中",IF(AND(J639&lt;&gt;"",K639&lt;&gt;""),"有证据","缺C639证据"),IF(F639="手动完结",IF(OR(L639&lt;&gt;"",O639&lt;&gt;"",S639&lt;&gt;""),"有记录","缺手工证据"),IF(OR(F639="卖出待补仓",F639="提交结果待确认",F639="异常待处理"),"持续跟踪","检查状态")))))</x:f>
      </x:c>
      <x:c r="T639" s="64" t="str">
        <x:f>IF(A639="","",IF(COUNTIF($A$5:$A$1204,A639)&gt;1,"重复",""))</x:f>
      </x:c>
      <x:c r="U639" s="64" t="str">
        <x:f>IF(A639="","",IF(T639="重复","检查重复",IF(OR(R639="有证据",R639="有记录",R639="持续跟踪"),"可追踪","检查")))</x:f>
      </x:c>
    </x:row>
    <x:row r="640">
      <x:c r="A640" s="62"/>
      <x:c r="B640" s="62"/>
      <x:c r="C640" s="62"/>
      <x:c r="D640" s="66"/>
      <x:c r="E640" s="68"/>
      <x:c r="F640" s="62"/>
      <x:c r="G640" s="62"/>
      <x:c r="H640" s="62"/>
      <x:c r="I640" s="62"/>
      <x:c r="J640" s="62"/>
      <x:c r="K640" s="62"/>
      <x:c r="L640" s="62"/>
      <x:c r="M640" s="68"/>
      <x:c r="N640" s="68"/>
      <x:c r="O640" s="68"/>
      <x:c r="P640" s="71" t="str">
        <x:f>IF(A640="","",IF(N640&gt;0,N640,M640))</x:f>
      </x:c>
      <x:c r="Q640" s="72" t="n">
        <x:f>IF(A640="",0,IF(COUNTIF($A$5:A640,A640)=1,1,0))</x:f>
        <x:v>0</x:v>
      </x:c>
      <x:c r="R640" s="64" t="str">
        <x:f>IF(A640="","",IF(F640="C640成功",IF(AND(J640&lt;&gt;"",K640&lt;&gt;"",N640&gt;0),"有证据","缺C640证据"),IF(F640="C640发货确认中",IF(AND(J640&lt;&gt;"",K640&lt;&gt;""),"有证据","缺C640证据"),IF(F640="手动完结",IF(OR(L640&lt;&gt;"",O640&lt;&gt;"",S640&lt;&gt;""),"有记录","缺手工证据"),IF(OR(F640="卖出待补仓",F640="提交结果待确认",F640="异常待处理"),"持续跟踪","检查状态")))))</x:f>
      </x:c>
      <x:c r="T640" s="64" t="str">
        <x:f>IF(A640="","",IF(COUNTIF($A$5:$A$1204,A640)&gt;1,"重复",""))</x:f>
      </x:c>
      <x:c r="U640" s="64" t="str">
        <x:f>IF(A640="","",IF(T640="重复","检查重复",IF(OR(R640="有证据",R640="有记录",R640="持续跟踪"),"可追踪","检查")))</x:f>
      </x:c>
    </x:row>
    <x:row r="641">
      <x:c r="A641" s="62"/>
      <x:c r="B641" s="62"/>
      <x:c r="C641" s="62"/>
      <x:c r="D641" s="66"/>
      <x:c r="E641" s="68"/>
      <x:c r="F641" s="62"/>
      <x:c r="G641" s="62"/>
      <x:c r="H641" s="62"/>
      <x:c r="I641" s="62"/>
      <x:c r="J641" s="62"/>
      <x:c r="K641" s="62"/>
      <x:c r="L641" s="62"/>
      <x:c r="M641" s="68"/>
      <x:c r="N641" s="68"/>
      <x:c r="O641" s="68"/>
      <x:c r="P641" s="71" t="str">
        <x:f>IF(A641="","",IF(N641&gt;0,N641,M641))</x:f>
      </x:c>
      <x:c r="Q641" s="72" t="n">
        <x:f>IF(A641="",0,IF(COUNTIF($A$5:A641,A641)=1,1,0))</x:f>
        <x:v>0</x:v>
      </x:c>
      <x:c r="R641" s="64" t="str">
        <x:f>IF(A641="","",IF(F641="C641成功",IF(AND(J641&lt;&gt;"",K641&lt;&gt;"",N641&gt;0),"有证据","缺C641证据"),IF(F641="C641发货确认中",IF(AND(J641&lt;&gt;"",K641&lt;&gt;""),"有证据","缺C641证据"),IF(F641="手动完结",IF(OR(L641&lt;&gt;"",O641&lt;&gt;"",S641&lt;&gt;""),"有记录","缺手工证据"),IF(OR(F641="卖出待补仓",F641="提交结果待确认",F641="异常待处理"),"持续跟踪","检查状态")))))</x:f>
      </x:c>
      <x:c r="T641" s="64" t="str">
        <x:f>IF(A641="","",IF(COUNTIF($A$5:$A$1204,A641)&gt;1,"重复",""))</x:f>
      </x:c>
      <x:c r="U641" s="64" t="str">
        <x:f>IF(A641="","",IF(T641="重复","检查重复",IF(OR(R641="有证据",R641="有记录",R641="持续跟踪"),"可追踪","检查")))</x:f>
      </x:c>
    </x:row>
    <x:row r="642">
      <x:c r="A642" s="62"/>
      <x:c r="B642" s="62"/>
      <x:c r="C642" s="62"/>
      <x:c r="D642" s="66"/>
      <x:c r="E642" s="68"/>
      <x:c r="F642" s="62"/>
      <x:c r="G642" s="62"/>
      <x:c r="H642" s="62"/>
      <x:c r="I642" s="62"/>
      <x:c r="J642" s="62"/>
      <x:c r="K642" s="62"/>
      <x:c r="L642" s="62"/>
      <x:c r="M642" s="68"/>
      <x:c r="N642" s="68"/>
      <x:c r="O642" s="68"/>
      <x:c r="P642" s="71" t="str">
        <x:f>IF(A642="","",IF(N642&gt;0,N642,M642))</x:f>
      </x:c>
      <x:c r="Q642" s="72" t="n">
        <x:f>IF(A642="",0,IF(COUNTIF($A$5:A642,A642)=1,1,0))</x:f>
        <x:v>0</x:v>
      </x:c>
      <x:c r="R642" s="64" t="str">
        <x:f>IF(A642="","",IF(F642="C642成功",IF(AND(J642&lt;&gt;"",K642&lt;&gt;"",N642&gt;0),"有证据","缺C642证据"),IF(F642="C642发货确认中",IF(AND(J642&lt;&gt;"",K642&lt;&gt;""),"有证据","缺C642证据"),IF(F642="手动完结",IF(OR(L642&lt;&gt;"",O642&lt;&gt;"",S642&lt;&gt;""),"有记录","缺手工证据"),IF(OR(F642="卖出待补仓",F642="提交结果待确认",F642="异常待处理"),"持续跟踪","检查状态")))))</x:f>
      </x:c>
      <x:c r="T642" s="64" t="str">
        <x:f>IF(A642="","",IF(COUNTIF($A$5:$A$1204,A642)&gt;1,"重复",""))</x:f>
      </x:c>
      <x:c r="U642" s="64" t="str">
        <x:f>IF(A642="","",IF(T642="重复","检查重复",IF(OR(R642="有证据",R642="有记录",R642="持续跟踪"),"可追踪","检查")))</x:f>
      </x:c>
    </x:row>
    <x:row r="643">
      <x:c r="A643" s="62"/>
      <x:c r="B643" s="62"/>
      <x:c r="C643" s="62"/>
      <x:c r="D643" s="66"/>
      <x:c r="E643" s="68"/>
      <x:c r="F643" s="62"/>
      <x:c r="G643" s="62"/>
      <x:c r="H643" s="62"/>
      <x:c r="I643" s="62"/>
      <x:c r="J643" s="62"/>
      <x:c r="K643" s="62"/>
      <x:c r="L643" s="62"/>
      <x:c r="M643" s="68"/>
      <x:c r="N643" s="68"/>
      <x:c r="O643" s="68"/>
      <x:c r="P643" s="71" t="str">
        <x:f>IF(A643="","",IF(N643&gt;0,N643,M643))</x:f>
      </x:c>
      <x:c r="Q643" s="72" t="n">
        <x:f>IF(A643="",0,IF(COUNTIF($A$5:A643,A643)=1,1,0))</x:f>
        <x:v>0</x:v>
      </x:c>
      <x:c r="R643" s="64" t="str">
        <x:f>IF(A643="","",IF(F643="C643成功",IF(AND(J643&lt;&gt;"",K643&lt;&gt;"",N643&gt;0),"有证据","缺C643证据"),IF(F643="C643发货确认中",IF(AND(J643&lt;&gt;"",K643&lt;&gt;""),"有证据","缺C643证据"),IF(F643="手动完结",IF(OR(L643&lt;&gt;"",O643&lt;&gt;"",S643&lt;&gt;""),"有记录","缺手工证据"),IF(OR(F643="卖出待补仓",F643="提交结果待确认",F643="异常待处理"),"持续跟踪","检查状态")))))</x:f>
      </x:c>
      <x:c r="T643" s="64" t="str">
        <x:f>IF(A643="","",IF(COUNTIF($A$5:$A$1204,A643)&gt;1,"重复",""))</x:f>
      </x:c>
      <x:c r="U643" s="64" t="str">
        <x:f>IF(A643="","",IF(T643="重复","检查重复",IF(OR(R643="有证据",R643="有记录",R643="持续跟踪"),"可追踪","检查")))</x:f>
      </x:c>
    </x:row>
    <x:row r="644">
      <x:c r="A644" s="62"/>
      <x:c r="B644" s="62"/>
      <x:c r="C644" s="62"/>
      <x:c r="D644" s="66"/>
      <x:c r="E644" s="68"/>
      <x:c r="F644" s="62"/>
      <x:c r="G644" s="62"/>
      <x:c r="H644" s="62"/>
      <x:c r="I644" s="62"/>
      <x:c r="J644" s="62"/>
      <x:c r="K644" s="62"/>
      <x:c r="L644" s="62"/>
      <x:c r="M644" s="68"/>
      <x:c r="N644" s="68"/>
      <x:c r="O644" s="68"/>
      <x:c r="P644" s="71" t="str">
        <x:f>IF(A644="","",IF(N644&gt;0,N644,M644))</x:f>
      </x:c>
      <x:c r="Q644" s="72" t="n">
        <x:f>IF(A644="",0,IF(COUNTIF($A$5:A644,A644)=1,1,0))</x:f>
        <x:v>0</x:v>
      </x:c>
      <x:c r="R644" s="64" t="str">
        <x:f>IF(A644="","",IF(F644="C644成功",IF(AND(J644&lt;&gt;"",K644&lt;&gt;"",N644&gt;0),"有证据","缺C644证据"),IF(F644="C644发货确认中",IF(AND(J644&lt;&gt;"",K644&lt;&gt;""),"有证据","缺C644证据"),IF(F644="手动完结",IF(OR(L644&lt;&gt;"",O644&lt;&gt;"",S644&lt;&gt;""),"有记录","缺手工证据"),IF(OR(F644="卖出待补仓",F644="提交结果待确认",F644="异常待处理"),"持续跟踪","检查状态")))))</x:f>
      </x:c>
      <x:c r="T644" s="64" t="str">
        <x:f>IF(A644="","",IF(COUNTIF($A$5:$A$1204,A644)&gt;1,"重复",""))</x:f>
      </x:c>
      <x:c r="U644" s="64" t="str">
        <x:f>IF(A644="","",IF(T644="重复","检查重复",IF(OR(R644="有证据",R644="有记录",R644="持续跟踪"),"可追踪","检查")))</x:f>
      </x:c>
    </x:row>
    <x:row r="645">
      <x:c r="A645" s="62"/>
      <x:c r="B645" s="62"/>
      <x:c r="C645" s="62"/>
      <x:c r="D645" s="66"/>
      <x:c r="E645" s="68"/>
      <x:c r="F645" s="62"/>
      <x:c r="G645" s="62"/>
      <x:c r="H645" s="62"/>
      <x:c r="I645" s="62"/>
      <x:c r="J645" s="62"/>
      <x:c r="K645" s="62"/>
      <x:c r="L645" s="62"/>
      <x:c r="M645" s="68"/>
      <x:c r="N645" s="68"/>
      <x:c r="O645" s="68"/>
      <x:c r="P645" s="71" t="str">
        <x:f>IF(A645="","",IF(N645&gt;0,N645,M645))</x:f>
      </x:c>
      <x:c r="Q645" s="72" t="n">
        <x:f>IF(A645="",0,IF(COUNTIF($A$5:A645,A645)=1,1,0))</x:f>
        <x:v>0</x:v>
      </x:c>
      <x:c r="R645" s="64" t="str">
        <x:f>IF(A645="","",IF(F645="C645成功",IF(AND(J645&lt;&gt;"",K645&lt;&gt;"",N645&gt;0),"有证据","缺C645证据"),IF(F645="C645发货确认中",IF(AND(J645&lt;&gt;"",K645&lt;&gt;""),"有证据","缺C645证据"),IF(F645="手动完结",IF(OR(L645&lt;&gt;"",O645&lt;&gt;"",S645&lt;&gt;""),"有记录","缺手工证据"),IF(OR(F645="卖出待补仓",F645="提交结果待确认",F645="异常待处理"),"持续跟踪","检查状态")))))</x:f>
      </x:c>
      <x:c r="T645" s="64" t="str">
        <x:f>IF(A645="","",IF(COUNTIF($A$5:$A$1204,A645)&gt;1,"重复",""))</x:f>
      </x:c>
      <x:c r="U645" s="64" t="str">
        <x:f>IF(A645="","",IF(T645="重复","检查重复",IF(OR(R645="有证据",R645="有记录",R645="持续跟踪"),"可追踪","检查")))</x:f>
      </x:c>
    </x:row>
    <x:row r="646">
      <x:c r="A646" s="62"/>
      <x:c r="B646" s="62"/>
      <x:c r="C646" s="62"/>
      <x:c r="D646" s="66"/>
      <x:c r="E646" s="68"/>
      <x:c r="F646" s="62"/>
      <x:c r="G646" s="62"/>
      <x:c r="H646" s="62"/>
      <x:c r="I646" s="62"/>
      <x:c r="J646" s="62"/>
      <x:c r="K646" s="62"/>
      <x:c r="L646" s="62"/>
      <x:c r="M646" s="68"/>
      <x:c r="N646" s="68"/>
      <x:c r="O646" s="68"/>
      <x:c r="P646" s="71" t="str">
        <x:f>IF(A646="","",IF(N646&gt;0,N646,M646))</x:f>
      </x:c>
      <x:c r="Q646" s="72" t="n">
        <x:f>IF(A646="",0,IF(COUNTIF($A$5:A646,A646)=1,1,0))</x:f>
        <x:v>0</x:v>
      </x:c>
      <x:c r="R646" s="64" t="str">
        <x:f>IF(A646="","",IF(F646="C646成功",IF(AND(J646&lt;&gt;"",K646&lt;&gt;"",N646&gt;0),"有证据","缺C646证据"),IF(F646="C646发货确认中",IF(AND(J646&lt;&gt;"",K646&lt;&gt;""),"有证据","缺C646证据"),IF(F646="手动完结",IF(OR(L646&lt;&gt;"",O646&lt;&gt;"",S646&lt;&gt;""),"有记录","缺手工证据"),IF(OR(F646="卖出待补仓",F646="提交结果待确认",F646="异常待处理"),"持续跟踪","检查状态")))))</x:f>
      </x:c>
      <x:c r="T646" s="64" t="str">
        <x:f>IF(A646="","",IF(COUNTIF($A$5:$A$1204,A646)&gt;1,"重复",""))</x:f>
      </x:c>
      <x:c r="U646" s="64" t="str">
        <x:f>IF(A646="","",IF(T646="重复","检查重复",IF(OR(R646="有证据",R646="有记录",R646="持续跟踪"),"可追踪","检查")))</x:f>
      </x:c>
    </x:row>
    <x:row r="647">
      <x:c r="A647" s="62"/>
      <x:c r="B647" s="62"/>
      <x:c r="C647" s="62"/>
      <x:c r="D647" s="66"/>
      <x:c r="E647" s="68"/>
      <x:c r="F647" s="62"/>
      <x:c r="G647" s="62"/>
      <x:c r="H647" s="62"/>
      <x:c r="I647" s="62"/>
      <x:c r="J647" s="62"/>
      <x:c r="K647" s="62"/>
      <x:c r="L647" s="62"/>
      <x:c r="M647" s="68"/>
      <x:c r="N647" s="68"/>
      <x:c r="O647" s="68"/>
      <x:c r="P647" s="71" t="str">
        <x:f>IF(A647="","",IF(N647&gt;0,N647,M647))</x:f>
      </x:c>
      <x:c r="Q647" s="72" t="n">
        <x:f>IF(A647="",0,IF(COUNTIF($A$5:A647,A647)=1,1,0))</x:f>
        <x:v>0</x:v>
      </x:c>
      <x:c r="R647" s="64" t="str">
        <x:f>IF(A647="","",IF(F647="C647成功",IF(AND(J647&lt;&gt;"",K647&lt;&gt;"",N647&gt;0),"有证据","缺C647证据"),IF(F647="C647发货确认中",IF(AND(J647&lt;&gt;"",K647&lt;&gt;""),"有证据","缺C647证据"),IF(F647="手动完结",IF(OR(L647&lt;&gt;"",O647&lt;&gt;"",S647&lt;&gt;""),"有记录","缺手工证据"),IF(OR(F647="卖出待补仓",F647="提交结果待确认",F647="异常待处理"),"持续跟踪","检查状态")))))</x:f>
      </x:c>
      <x:c r="T647" s="64" t="str">
        <x:f>IF(A647="","",IF(COUNTIF($A$5:$A$1204,A647)&gt;1,"重复",""))</x:f>
      </x:c>
      <x:c r="U647" s="64" t="str">
        <x:f>IF(A647="","",IF(T647="重复","检查重复",IF(OR(R647="有证据",R647="有记录",R647="持续跟踪"),"可追踪","检查")))</x:f>
      </x:c>
    </x:row>
    <x:row r="648">
      <x:c r="A648" s="62"/>
      <x:c r="B648" s="62"/>
      <x:c r="C648" s="62"/>
      <x:c r="D648" s="66"/>
      <x:c r="E648" s="68"/>
      <x:c r="F648" s="62"/>
      <x:c r="G648" s="62"/>
      <x:c r="H648" s="62"/>
      <x:c r="I648" s="62"/>
      <x:c r="J648" s="62"/>
      <x:c r="K648" s="62"/>
      <x:c r="L648" s="62"/>
      <x:c r="M648" s="68"/>
      <x:c r="N648" s="68"/>
      <x:c r="O648" s="68"/>
      <x:c r="P648" s="71" t="str">
        <x:f>IF(A648="","",IF(N648&gt;0,N648,M648))</x:f>
      </x:c>
      <x:c r="Q648" s="72" t="n">
        <x:f>IF(A648="",0,IF(COUNTIF($A$5:A648,A648)=1,1,0))</x:f>
        <x:v>0</x:v>
      </x:c>
      <x:c r="R648" s="64" t="str">
        <x:f>IF(A648="","",IF(F648="C648成功",IF(AND(J648&lt;&gt;"",K648&lt;&gt;"",N648&gt;0),"有证据","缺C648证据"),IF(F648="C648发货确认中",IF(AND(J648&lt;&gt;"",K648&lt;&gt;""),"有证据","缺C648证据"),IF(F648="手动完结",IF(OR(L648&lt;&gt;"",O648&lt;&gt;"",S648&lt;&gt;""),"有记录","缺手工证据"),IF(OR(F648="卖出待补仓",F648="提交结果待确认",F648="异常待处理"),"持续跟踪","检查状态")))))</x:f>
      </x:c>
      <x:c r="T648" s="64" t="str">
        <x:f>IF(A648="","",IF(COUNTIF($A$5:$A$1204,A648)&gt;1,"重复",""))</x:f>
      </x:c>
      <x:c r="U648" s="64" t="str">
        <x:f>IF(A648="","",IF(T648="重复","检查重复",IF(OR(R648="有证据",R648="有记录",R648="持续跟踪"),"可追踪","检查")))</x:f>
      </x:c>
    </x:row>
    <x:row r="649">
      <x:c r="A649" s="62"/>
      <x:c r="B649" s="62"/>
      <x:c r="C649" s="62"/>
      <x:c r="D649" s="66"/>
      <x:c r="E649" s="68"/>
      <x:c r="F649" s="62"/>
      <x:c r="G649" s="62"/>
      <x:c r="H649" s="62"/>
      <x:c r="I649" s="62"/>
      <x:c r="J649" s="62"/>
      <x:c r="K649" s="62"/>
      <x:c r="L649" s="62"/>
      <x:c r="M649" s="68"/>
      <x:c r="N649" s="68"/>
      <x:c r="O649" s="68"/>
      <x:c r="P649" s="71" t="str">
        <x:f>IF(A649="","",IF(N649&gt;0,N649,M649))</x:f>
      </x:c>
      <x:c r="Q649" s="72" t="n">
        <x:f>IF(A649="",0,IF(COUNTIF($A$5:A649,A649)=1,1,0))</x:f>
        <x:v>0</x:v>
      </x:c>
      <x:c r="R649" s="64" t="str">
        <x:f>IF(A649="","",IF(F649="C649成功",IF(AND(J649&lt;&gt;"",K649&lt;&gt;"",N649&gt;0),"有证据","缺C649证据"),IF(F649="C649发货确认中",IF(AND(J649&lt;&gt;"",K649&lt;&gt;""),"有证据","缺C649证据"),IF(F649="手动完结",IF(OR(L649&lt;&gt;"",O649&lt;&gt;"",S649&lt;&gt;""),"有记录","缺手工证据"),IF(OR(F649="卖出待补仓",F649="提交结果待确认",F649="异常待处理"),"持续跟踪","检查状态")))))</x:f>
      </x:c>
      <x:c r="T649" s="64" t="str">
        <x:f>IF(A649="","",IF(COUNTIF($A$5:$A$1204,A649)&gt;1,"重复",""))</x:f>
      </x:c>
      <x:c r="U649" s="64" t="str">
        <x:f>IF(A649="","",IF(T649="重复","检查重复",IF(OR(R649="有证据",R649="有记录",R649="持续跟踪"),"可追踪","检查")))</x:f>
      </x:c>
    </x:row>
    <x:row r="650">
      <x:c r="A650" s="62"/>
      <x:c r="B650" s="62"/>
      <x:c r="C650" s="62"/>
      <x:c r="D650" s="66"/>
      <x:c r="E650" s="68"/>
      <x:c r="F650" s="62"/>
      <x:c r="G650" s="62"/>
      <x:c r="H650" s="62"/>
      <x:c r="I650" s="62"/>
      <x:c r="J650" s="62"/>
      <x:c r="K650" s="62"/>
      <x:c r="L650" s="62"/>
      <x:c r="M650" s="68"/>
      <x:c r="N650" s="68"/>
      <x:c r="O650" s="68"/>
      <x:c r="P650" s="71" t="str">
        <x:f>IF(A650="","",IF(N650&gt;0,N650,M650))</x:f>
      </x:c>
      <x:c r="Q650" s="72" t="n">
        <x:f>IF(A650="",0,IF(COUNTIF($A$5:A650,A650)=1,1,0))</x:f>
        <x:v>0</x:v>
      </x:c>
      <x:c r="R650" s="64" t="str">
        <x:f>IF(A650="","",IF(F650="C650成功",IF(AND(J650&lt;&gt;"",K650&lt;&gt;"",N650&gt;0),"有证据","缺C650证据"),IF(F650="C650发货确认中",IF(AND(J650&lt;&gt;"",K650&lt;&gt;""),"有证据","缺C650证据"),IF(F650="手动完结",IF(OR(L650&lt;&gt;"",O650&lt;&gt;"",S650&lt;&gt;""),"有记录","缺手工证据"),IF(OR(F650="卖出待补仓",F650="提交结果待确认",F650="异常待处理"),"持续跟踪","检查状态")))))</x:f>
      </x:c>
      <x:c r="T650" s="64" t="str">
        <x:f>IF(A650="","",IF(COUNTIF($A$5:$A$1204,A650)&gt;1,"重复",""))</x:f>
      </x:c>
      <x:c r="U650" s="64" t="str">
        <x:f>IF(A650="","",IF(T650="重复","检查重复",IF(OR(R650="有证据",R650="有记录",R650="持续跟踪"),"可追踪","检查")))</x:f>
      </x:c>
    </x:row>
    <x:row r="651">
      <x:c r="A651" s="62"/>
      <x:c r="B651" s="62"/>
      <x:c r="C651" s="62"/>
      <x:c r="D651" s="66"/>
      <x:c r="E651" s="68"/>
      <x:c r="F651" s="62"/>
      <x:c r="G651" s="62"/>
      <x:c r="H651" s="62"/>
      <x:c r="I651" s="62"/>
      <x:c r="J651" s="62"/>
      <x:c r="K651" s="62"/>
      <x:c r="L651" s="62"/>
      <x:c r="M651" s="68"/>
      <x:c r="N651" s="68"/>
      <x:c r="O651" s="68"/>
      <x:c r="P651" s="71" t="str">
        <x:f>IF(A651="","",IF(N651&gt;0,N651,M651))</x:f>
      </x:c>
      <x:c r="Q651" s="72" t="n">
        <x:f>IF(A651="",0,IF(COUNTIF($A$5:A651,A651)=1,1,0))</x:f>
        <x:v>0</x:v>
      </x:c>
      <x:c r="R651" s="64" t="str">
        <x:f>IF(A651="","",IF(F651="C651成功",IF(AND(J651&lt;&gt;"",K651&lt;&gt;"",N651&gt;0),"有证据","缺C651证据"),IF(F651="C651发货确认中",IF(AND(J651&lt;&gt;"",K651&lt;&gt;""),"有证据","缺C651证据"),IF(F651="手动完结",IF(OR(L651&lt;&gt;"",O651&lt;&gt;"",S651&lt;&gt;""),"有记录","缺手工证据"),IF(OR(F651="卖出待补仓",F651="提交结果待确认",F651="异常待处理"),"持续跟踪","检查状态")))))</x:f>
      </x:c>
      <x:c r="T651" s="64" t="str">
        <x:f>IF(A651="","",IF(COUNTIF($A$5:$A$1204,A651)&gt;1,"重复",""))</x:f>
      </x:c>
      <x:c r="U651" s="64" t="str">
        <x:f>IF(A651="","",IF(T651="重复","检查重复",IF(OR(R651="有证据",R651="有记录",R651="持续跟踪"),"可追踪","检查")))</x:f>
      </x:c>
    </x:row>
    <x:row r="652">
      <x:c r="A652" s="62"/>
      <x:c r="B652" s="62"/>
      <x:c r="C652" s="62"/>
      <x:c r="D652" s="66"/>
      <x:c r="E652" s="68"/>
      <x:c r="F652" s="62"/>
      <x:c r="G652" s="62"/>
      <x:c r="H652" s="62"/>
      <x:c r="I652" s="62"/>
      <x:c r="J652" s="62"/>
      <x:c r="K652" s="62"/>
      <x:c r="L652" s="62"/>
      <x:c r="M652" s="68"/>
      <x:c r="N652" s="68"/>
      <x:c r="O652" s="68"/>
      <x:c r="P652" s="71" t="str">
        <x:f>IF(A652="","",IF(N652&gt;0,N652,M652))</x:f>
      </x:c>
      <x:c r="Q652" s="72" t="n">
        <x:f>IF(A652="",0,IF(COUNTIF($A$5:A652,A652)=1,1,0))</x:f>
        <x:v>0</x:v>
      </x:c>
      <x:c r="R652" s="64" t="str">
        <x:f>IF(A652="","",IF(F652="C652成功",IF(AND(J652&lt;&gt;"",K652&lt;&gt;"",N652&gt;0),"有证据","缺C652证据"),IF(F652="C652发货确认中",IF(AND(J652&lt;&gt;"",K652&lt;&gt;""),"有证据","缺C652证据"),IF(F652="手动完结",IF(OR(L652&lt;&gt;"",O652&lt;&gt;"",S652&lt;&gt;""),"有记录","缺手工证据"),IF(OR(F652="卖出待补仓",F652="提交结果待确认",F652="异常待处理"),"持续跟踪","检查状态")))))</x:f>
      </x:c>
      <x:c r="T652" s="64" t="str">
        <x:f>IF(A652="","",IF(COUNTIF($A$5:$A$1204,A652)&gt;1,"重复",""))</x:f>
      </x:c>
      <x:c r="U652" s="64" t="str">
        <x:f>IF(A652="","",IF(T652="重复","检查重复",IF(OR(R652="有证据",R652="有记录",R652="持续跟踪"),"可追踪","检查")))</x:f>
      </x:c>
    </x:row>
    <x:row r="653">
      <x:c r="A653" s="62"/>
      <x:c r="B653" s="62"/>
      <x:c r="C653" s="62"/>
      <x:c r="D653" s="66"/>
      <x:c r="E653" s="68"/>
      <x:c r="F653" s="62"/>
      <x:c r="G653" s="62"/>
      <x:c r="H653" s="62"/>
      <x:c r="I653" s="62"/>
      <x:c r="J653" s="62"/>
      <x:c r="K653" s="62"/>
      <x:c r="L653" s="62"/>
      <x:c r="M653" s="68"/>
      <x:c r="N653" s="68"/>
      <x:c r="O653" s="68"/>
      <x:c r="P653" s="71" t="str">
        <x:f>IF(A653="","",IF(N653&gt;0,N653,M653))</x:f>
      </x:c>
      <x:c r="Q653" s="72" t="n">
        <x:f>IF(A653="",0,IF(COUNTIF($A$5:A653,A653)=1,1,0))</x:f>
        <x:v>0</x:v>
      </x:c>
      <x:c r="R653" s="64" t="str">
        <x:f>IF(A653="","",IF(F653="C653成功",IF(AND(J653&lt;&gt;"",K653&lt;&gt;"",N653&gt;0),"有证据","缺C653证据"),IF(F653="C653发货确认中",IF(AND(J653&lt;&gt;"",K653&lt;&gt;""),"有证据","缺C653证据"),IF(F653="手动完结",IF(OR(L653&lt;&gt;"",O653&lt;&gt;"",S653&lt;&gt;""),"有记录","缺手工证据"),IF(OR(F653="卖出待补仓",F653="提交结果待确认",F653="异常待处理"),"持续跟踪","检查状态")))))</x:f>
      </x:c>
      <x:c r="T653" s="64" t="str">
        <x:f>IF(A653="","",IF(COUNTIF($A$5:$A$1204,A653)&gt;1,"重复",""))</x:f>
      </x:c>
      <x:c r="U653" s="64" t="str">
        <x:f>IF(A653="","",IF(T653="重复","检查重复",IF(OR(R653="有证据",R653="有记录",R653="持续跟踪"),"可追踪","检查")))</x:f>
      </x:c>
    </x:row>
    <x:row r="654">
      <x:c r="A654" s="62"/>
      <x:c r="B654" s="62"/>
      <x:c r="C654" s="62"/>
      <x:c r="D654" s="66"/>
      <x:c r="E654" s="68"/>
      <x:c r="F654" s="62"/>
      <x:c r="G654" s="62"/>
      <x:c r="H654" s="62"/>
      <x:c r="I654" s="62"/>
      <x:c r="J654" s="62"/>
      <x:c r="K654" s="62"/>
      <x:c r="L654" s="62"/>
      <x:c r="M654" s="68"/>
      <x:c r="N654" s="68"/>
      <x:c r="O654" s="68"/>
      <x:c r="P654" s="71" t="str">
        <x:f>IF(A654="","",IF(N654&gt;0,N654,M654))</x:f>
      </x:c>
      <x:c r="Q654" s="72" t="n">
        <x:f>IF(A654="",0,IF(COUNTIF($A$5:A654,A654)=1,1,0))</x:f>
        <x:v>0</x:v>
      </x:c>
      <x:c r="R654" s="64" t="str">
        <x:f>IF(A654="","",IF(F654="C654成功",IF(AND(J654&lt;&gt;"",K654&lt;&gt;"",N654&gt;0),"有证据","缺C654证据"),IF(F654="C654发货确认中",IF(AND(J654&lt;&gt;"",K654&lt;&gt;""),"有证据","缺C654证据"),IF(F654="手动完结",IF(OR(L654&lt;&gt;"",O654&lt;&gt;"",S654&lt;&gt;""),"有记录","缺手工证据"),IF(OR(F654="卖出待补仓",F654="提交结果待确认",F654="异常待处理"),"持续跟踪","检查状态")))))</x:f>
      </x:c>
      <x:c r="T654" s="64" t="str">
        <x:f>IF(A654="","",IF(COUNTIF($A$5:$A$1204,A654)&gt;1,"重复",""))</x:f>
      </x:c>
      <x:c r="U654" s="64" t="str">
        <x:f>IF(A654="","",IF(T654="重复","检查重复",IF(OR(R654="有证据",R654="有记录",R654="持续跟踪"),"可追踪","检查")))</x:f>
      </x:c>
    </x:row>
    <x:row r="655">
      <x:c r="A655" s="62"/>
      <x:c r="B655" s="62"/>
      <x:c r="C655" s="62"/>
      <x:c r="D655" s="66"/>
      <x:c r="E655" s="68"/>
      <x:c r="F655" s="62"/>
      <x:c r="G655" s="62"/>
      <x:c r="H655" s="62"/>
      <x:c r="I655" s="62"/>
      <x:c r="J655" s="62"/>
      <x:c r="K655" s="62"/>
      <x:c r="L655" s="62"/>
      <x:c r="M655" s="68"/>
      <x:c r="N655" s="68"/>
      <x:c r="O655" s="68"/>
      <x:c r="P655" s="71" t="str">
        <x:f>IF(A655="","",IF(N655&gt;0,N655,M655))</x:f>
      </x:c>
      <x:c r="Q655" s="72" t="n">
        <x:f>IF(A655="",0,IF(COUNTIF($A$5:A655,A655)=1,1,0))</x:f>
        <x:v>0</x:v>
      </x:c>
      <x:c r="R655" s="64" t="str">
        <x:f>IF(A655="","",IF(F655="C655成功",IF(AND(J655&lt;&gt;"",K655&lt;&gt;"",N655&gt;0),"有证据","缺C655证据"),IF(F655="C655发货确认中",IF(AND(J655&lt;&gt;"",K655&lt;&gt;""),"有证据","缺C655证据"),IF(F655="手动完结",IF(OR(L655&lt;&gt;"",O655&lt;&gt;"",S655&lt;&gt;""),"有记录","缺手工证据"),IF(OR(F655="卖出待补仓",F655="提交结果待确认",F655="异常待处理"),"持续跟踪","检查状态")))))</x:f>
      </x:c>
      <x:c r="T655" s="64" t="str">
        <x:f>IF(A655="","",IF(COUNTIF($A$5:$A$1204,A655)&gt;1,"重复",""))</x:f>
      </x:c>
      <x:c r="U655" s="64" t="str">
        <x:f>IF(A655="","",IF(T655="重复","检查重复",IF(OR(R655="有证据",R655="有记录",R655="持续跟踪"),"可追踪","检查")))</x:f>
      </x:c>
    </x:row>
    <x:row r="656">
      <x:c r="A656" s="62"/>
      <x:c r="B656" s="62"/>
      <x:c r="C656" s="62"/>
      <x:c r="D656" s="66"/>
      <x:c r="E656" s="68"/>
      <x:c r="F656" s="62"/>
      <x:c r="G656" s="62"/>
      <x:c r="H656" s="62"/>
      <x:c r="I656" s="62"/>
      <x:c r="J656" s="62"/>
      <x:c r="K656" s="62"/>
      <x:c r="L656" s="62"/>
      <x:c r="M656" s="68"/>
      <x:c r="N656" s="68"/>
      <x:c r="O656" s="68"/>
      <x:c r="P656" s="71" t="str">
        <x:f>IF(A656="","",IF(N656&gt;0,N656,M656))</x:f>
      </x:c>
      <x:c r="Q656" s="72" t="n">
        <x:f>IF(A656="",0,IF(COUNTIF($A$5:A656,A656)=1,1,0))</x:f>
        <x:v>0</x:v>
      </x:c>
      <x:c r="R656" s="64" t="str">
        <x:f>IF(A656="","",IF(F656="C656成功",IF(AND(J656&lt;&gt;"",K656&lt;&gt;"",N656&gt;0),"有证据","缺C656证据"),IF(F656="C656发货确认中",IF(AND(J656&lt;&gt;"",K656&lt;&gt;""),"有证据","缺C656证据"),IF(F656="手动完结",IF(OR(L656&lt;&gt;"",O656&lt;&gt;"",S656&lt;&gt;""),"有记录","缺手工证据"),IF(OR(F656="卖出待补仓",F656="提交结果待确认",F656="异常待处理"),"持续跟踪","检查状态")))))</x:f>
      </x:c>
      <x:c r="T656" s="64" t="str">
        <x:f>IF(A656="","",IF(COUNTIF($A$5:$A$1204,A656)&gt;1,"重复",""))</x:f>
      </x:c>
      <x:c r="U656" s="64" t="str">
        <x:f>IF(A656="","",IF(T656="重复","检查重复",IF(OR(R656="有证据",R656="有记录",R656="持续跟踪"),"可追踪","检查")))</x:f>
      </x:c>
    </x:row>
    <x:row r="657">
      <x:c r="A657" s="62"/>
      <x:c r="B657" s="62"/>
      <x:c r="C657" s="62"/>
      <x:c r="D657" s="66"/>
      <x:c r="E657" s="68"/>
      <x:c r="F657" s="62"/>
      <x:c r="G657" s="62"/>
      <x:c r="H657" s="62"/>
      <x:c r="I657" s="62"/>
      <x:c r="J657" s="62"/>
      <x:c r="K657" s="62"/>
      <x:c r="L657" s="62"/>
      <x:c r="M657" s="68"/>
      <x:c r="N657" s="68"/>
      <x:c r="O657" s="68"/>
      <x:c r="P657" s="71" t="str">
        <x:f>IF(A657="","",IF(N657&gt;0,N657,M657))</x:f>
      </x:c>
      <x:c r="Q657" s="72" t="n">
        <x:f>IF(A657="",0,IF(COUNTIF($A$5:A657,A657)=1,1,0))</x:f>
        <x:v>0</x:v>
      </x:c>
      <x:c r="R657" s="64" t="str">
        <x:f>IF(A657="","",IF(F657="C657成功",IF(AND(J657&lt;&gt;"",K657&lt;&gt;"",N657&gt;0),"有证据","缺C657证据"),IF(F657="C657发货确认中",IF(AND(J657&lt;&gt;"",K657&lt;&gt;""),"有证据","缺C657证据"),IF(F657="手动完结",IF(OR(L657&lt;&gt;"",O657&lt;&gt;"",S657&lt;&gt;""),"有记录","缺手工证据"),IF(OR(F657="卖出待补仓",F657="提交结果待确认",F657="异常待处理"),"持续跟踪","检查状态")))))</x:f>
      </x:c>
      <x:c r="T657" s="64" t="str">
        <x:f>IF(A657="","",IF(COUNTIF($A$5:$A$1204,A657)&gt;1,"重复",""))</x:f>
      </x:c>
      <x:c r="U657" s="64" t="str">
        <x:f>IF(A657="","",IF(T657="重复","检查重复",IF(OR(R657="有证据",R657="有记录",R657="持续跟踪"),"可追踪","检查")))</x:f>
      </x:c>
    </x:row>
    <x:row r="658">
      <x:c r="A658" s="62"/>
      <x:c r="B658" s="62"/>
      <x:c r="C658" s="62"/>
      <x:c r="D658" s="66"/>
      <x:c r="E658" s="68"/>
      <x:c r="F658" s="62"/>
      <x:c r="G658" s="62"/>
      <x:c r="H658" s="62"/>
      <x:c r="I658" s="62"/>
      <x:c r="J658" s="62"/>
      <x:c r="K658" s="62"/>
      <x:c r="L658" s="62"/>
      <x:c r="M658" s="68"/>
      <x:c r="N658" s="68"/>
      <x:c r="O658" s="68"/>
      <x:c r="P658" s="71" t="str">
        <x:f>IF(A658="","",IF(N658&gt;0,N658,M658))</x:f>
      </x:c>
      <x:c r="Q658" s="72" t="n">
        <x:f>IF(A658="",0,IF(COUNTIF($A$5:A658,A658)=1,1,0))</x:f>
        <x:v>0</x:v>
      </x:c>
      <x:c r="R658" s="64" t="str">
        <x:f>IF(A658="","",IF(F658="C658成功",IF(AND(J658&lt;&gt;"",K658&lt;&gt;"",N658&gt;0),"有证据","缺C658证据"),IF(F658="C658发货确认中",IF(AND(J658&lt;&gt;"",K658&lt;&gt;""),"有证据","缺C658证据"),IF(F658="手动完结",IF(OR(L658&lt;&gt;"",O658&lt;&gt;"",S658&lt;&gt;""),"有记录","缺手工证据"),IF(OR(F658="卖出待补仓",F658="提交结果待确认",F658="异常待处理"),"持续跟踪","检查状态")))))</x:f>
      </x:c>
      <x:c r="T658" s="64" t="str">
        <x:f>IF(A658="","",IF(COUNTIF($A$5:$A$1204,A658)&gt;1,"重复",""))</x:f>
      </x:c>
      <x:c r="U658" s="64" t="str">
        <x:f>IF(A658="","",IF(T658="重复","检查重复",IF(OR(R658="有证据",R658="有记录",R658="持续跟踪"),"可追踪","检查")))</x:f>
      </x:c>
    </x:row>
    <x:row r="659">
      <x:c r="A659" s="62"/>
      <x:c r="B659" s="62"/>
      <x:c r="C659" s="62"/>
      <x:c r="D659" s="66"/>
      <x:c r="E659" s="68"/>
      <x:c r="F659" s="62"/>
      <x:c r="G659" s="62"/>
      <x:c r="H659" s="62"/>
      <x:c r="I659" s="62"/>
      <x:c r="J659" s="62"/>
      <x:c r="K659" s="62"/>
      <x:c r="L659" s="62"/>
      <x:c r="M659" s="68"/>
      <x:c r="N659" s="68"/>
      <x:c r="O659" s="68"/>
      <x:c r="P659" s="71" t="str">
        <x:f>IF(A659="","",IF(N659&gt;0,N659,M659))</x:f>
      </x:c>
      <x:c r="Q659" s="72" t="n">
        <x:f>IF(A659="",0,IF(COUNTIF($A$5:A659,A659)=1,1,0))</x:f>
        <x:v>0</x:v>
      </x:c>
      <x:c r="R659" s="64" t="str">
        <x:f>IF(A659="","",IF(F659="C659成功",IF(AND(J659&lt;&gt;"",K659&lt;&gt;"",N659&gt;0),"有证据","缺C659证据"),IF(F659="C659发货确认中",IF(AND(J659&lt;&gt;"",K659&lt;&gt;""),"有证据","缺C659证据"),IF(F659="手动完结",IF(OR(L659&lt;&gt;"",O659&lt;&gt;"",S659&lt;&gt;""),"有记录","缺手工证据"),IF(OR(F659="卖出待补仓",F659="提交结果待确认",F659="异常待处理"),"持续跟踪","检查状态")))))</x:f>
      </x:c>
      <x:c r="T659" s="64" t="str">
        <x:f>IF(A659="","",IF(COUNTIF($A$5:$A$1204,A659)&gt;1,"重复",""))</x:f>
      </x:c>
      <x:c r="U659" s="64" t="str">
        <x:f>IF(A659="","",IF(T659="重复","检查重复",IF(OR(R659="有证据",R659="有记录",R659="持续跟踪"),"可追踪","检查")))</x:f>
      </x:c>
    </x:row>
    <x:row r="660">
      <x:c r="A660" s="62"/>
      <x:c r="B660" s="62"/>
      <x:c r="C660" s="62"/>
      <x:c r="D660" s="66"/>
      <x:c r="E660" s="68"/>
      <x:c r="F660" s="62"/>
      <x:c r="G660" s="62"/>
      <x:c r="H660" s="62"/>
      <x:c r="I660" s="62"/>
      <x:c r="J660" s="62"/>
      <x:c r="K660" s="62"/>
      <x:c r="L660" s="62"/>
      <x:c r="M660" s="68"/>
      <x:c r="N660" s="68"/>
      <x:c r="O660" s="68"/>
      <x:c r="P660" s="71" t="str">
        <x:f>IF(A660="","",IF(N660&gt;0,N660,M660))</x:f>
      </x:c>
      <x:c r="Q660" s="72" t="n">
        <x:f>IF(A660="",0,IF(COUNTIF($A$5:A660,A660)=1,1,0))</x:f>
        <x:v>0</x:v>
      </x:c>
      <x:c r="R660" s="64" t="str">
        <x:f>IF(A660="","",IF(F660="C660成功",IF(AND(J660&lt;&gt;"",K660&lt;&gt;"",N660&gt;0),"有证据","缺C660证据"),IF(F660="C660发货确认中",IF(AND(J660&lt;&gt;"",K660&lt;&gt;""),"有证据","缺C660证据"),IF(F660="手动完结",IF(OR(L660&lt;&gt;"",O660&lt;&gt;"",S660&lt;&gt;""),"有记录","缺手工证据"),IF(OR(F660="卖出待补仓",F660="提交结果待确认",F660="异常待处理"),"持续跟踪","检查状态")))))</x:f>
      </x:c>
      <x:c r="T660" s="64" t="str">
        <x:f>IF(A660="","",IF(COUNTIF($A$5:$A$1204,A660)&gt;1,"重复",""))</x:f>
      </x:c>
      <x:c r="U660" s="64" t="str">
        <x:f>IF(A660="","",IF(T660="重复","检查重复",IF(OR(R660="有证据",R660="有记录",R660="持续跟踪"),"可追踪","检查")))</x:f>
      </x:c>
    </x:row>
    <x:row r="661">
      <x:c r="A661" s="62"/>
      <x:c r="B661" s="62"/>
      <x:c r="C661" s="62"/>
      <x:c r="D661" s="66"/>
      <x:c r="E661" s="68"/>
      <x:c r="F661" s="62"/>
      <x:c r="G661" s="62"/>
      <x:c r="H661" s="62"/>
      <x:c r="I661" s="62"/>
      <x:c r="J661" s="62"/>
      <x:c r="K661" s="62"/>
      <x:c r="L661" s="62"/>
      <x:c r="M661" s="68"/>
      <x:c r="N661" s="68"/>
      <x:c r="O661" s="68"/>
      <x:c r="P661" s="71" t="str">
        <x:f>IF(A661="","",IF(N661&gt;0,N661,M661))</x:f>
      </x:c>
      <x:c r="Q661" s="72" t="n">
        <x:f>IF(A661="",0,IF(COUNTIF($A$5:A661,A661)=1,1,0))</x:f>
        <x:v>0</x:v>
      </x:c>
      <x:c r="R661" s="64" t="str">
        <x:f>IF(A661="","",IF(F661="C661成功",IF(AND(J661&lt;&gt;"",K661&lt;&gt;"",N661&gt;0),"有证据","缺C661证据"),IF(F661="C661发货确认中",IF(AND(J661&lt;&gt;"",K661&lt;&gt;""),"有证据","缺C661证据"),IF(F661="手动完结",IF(OR(L661&lt;&gt;"",O661&lt;&gt;"",S661&lt;&gt;""),"有记录","缺手工证据"),IF(OR(F661="卖出待补仓",F661="提交结果待确认",F661="异常待处理"),"持续跟踪","检查状态")))))</x:f>
      </x:c>
      <x:c r="T661" s="64" t="str">
        <x:f>IF(A661="","",IF(COUNTIF($A$5:$A$1204,A661)&gt;1,"重复",""))</x:f>
      </x:c>
      <x:c r="U661" s="64" t="str">
        <x:f>IF(A661="","",IF(T661="重复","检查重复",IF(OR(R661="有证据",R661="有记录",R661="持续跟踪"),"可追踪","检查")))</x:f>
      </x:c>
    </x:row>
    <x:row r="662">
      <x:c r="A662" s="62"/>
      <x:c r="B662" s="62"/>
      <x:c r="C662" s="62"/>
      <x:c r="D662" s="66"/>
      <x:c r="E662" s="68"/>
      <x:c r="F662" s="62"/>
      <x:c r="G662" s="62"/>
      <x:c r="H662" s="62"/>
      <x:c r="I662" s="62"/>
      <x:c r="J662" s="62"/>
      <x:c r="K662" s="62"/>
      <x:c r="L662" s="62"/>
      <x:c r="M662" s="68"/>
      <x:c r="N662" s="68"/>
      <x:c r="O662" s="68"/>
      <x:c r="P662" s="71" t="str">
        <x:f>IF(A662="","",IF(N662&gt;0,N662,M662))</x:f>
      </x:c>
      <x:c r="Q662" s="72" t="n">
        <x:f>IF(A662="",0,IF(COUNTIF($A$5:A662,A662)=1,1,0))</x:f>
        <x:v>0</x:v>
      </x:c>
      <x:c r="R662" s="64" t="str">
        <x:f>IF(A662="","",IF(F662="C662成功",IF(AND(J662&lt;&gt;"",K662&lt;&gt;"",N662&gt;0),"有证据","缺C662证据"),IF(F662="C662发货确认中",IF(AND(J662&lt;&gt;"",K662&lt;&gt;""),"有证据","缺C662证据"),IF(F662="手动完结",IF(OR(L662&lt;&gt;"",O662&lt;&gt;"",S662&lt;&gt;""),"有记录","缺手工证据"),IF(OR(F662="卖出待补仓",F662="提交结果待确认",F662="异常待处理"),"持续跟踪","检查状态")))))</x:f>
      </x:c>
      <x:c r="T662" s="64" t="str">
        <x:f>IF(A662="","",IF(COUNTIF($A$5:$A$1204,A662)&gt;1,"重复",""))</x:f>
      </x:c>
      <x:c r="U662" s="64" t="str">
        <x:f>IF(A662="","",IF(T662="重复","检查重复",IF(OR(R662="有证据",R662="有记录",R662="持续跟踪"),"可追踪","检查")))</x:f>
      </x:c>
    </x:row>
    <x:row r="663">
      <x:c r="A663" s="62"/>
      <x:c r="B663" s="62"/>
      <x:c r="C663" s="62"/>
      <x:c r="D663" s="66"/>
      <x:c r="E663" s="68"/>
      <x:c r="F663" s="62"/>
      <x:c r="G663" s="62"/>
      <x:c r="H663" s="62"/>
      <x:c r="I663" s="62"/>
      <x:c r="J663" s="62"/>
      <x:c r="K663" s="62"/>
      <x:c r="L663" s="62"/>
      <x:c r="M663" s="68"/>
      <x:c r="N663" s="68"/>
      <x:c r="O663" s="68"/>
      <x:c r="P663" s="71" t="str">
        <x:f>IF(A663="","",IF(N663&gt;0,N663,M663))</x:f>
      </x:c>
      <x:c r="Q663" s="72" t="n">
        <x:f>IF(A663="",0,IF(COUNTIF($A$5:A663,A663)=1,1,0))</x:f>
        <x:v>0</x:v>
      </x:c>
      <x:c r="R663" s="64" t="str">
        <x:f>IF(A663="","",IF(F663="C663成功",IF(AND(J663&lt;&gt;"",K663&lt;&gt;"",N663&gt;0),"有证据","缺C663证据"),IF(F663="C663发货确认中",IF(AND(J663&lt;&gt;"",K663&lt;&gt;""),"有证据","缺C663证据"),IF(F663="手动完结",IF(OR(L663&lt;&gt;"",O663&lt;&gt;"",S663&lt;&gt;""),"有记录","缺手工证据"),IF(OR(F663="卖出待补仓",F663="提交结果待确认",F663="异常待处理"),"持续跟踪","检查状态")))))</x:f>
      </x:c>
      <x:c r="T663" s="64" t="str">
        <x:f>IF(A663="","",IF(COUNTIF($A$5:$A$1204,A663)&gt;1,"重复",""))</x:f>
      </x:c>
      <x:c r="U663" s="64" t="str">
        <x:f>IF(A663="","",IF(T663="重复","检查重复",IF(OR(R663="有证据",R663="有记录",R663="持续跟踪"),"可追踪","检查")))</x:f>
      </x:c>
    </x:row>
    <x:row r="664">
      <x:c r="A664" s="62"/>
      <x:c r="B664" s="62"/>
      <x:c r="C664" s="62"/>
      <x:c r="D664" s="66"/>
      <x:c r="E664" s="68"/>
      <x:c r="F664" s="62"/>
      <x:c r="G664" s="62"/>
      <x:c r="H664" s="62"/>
      <x:c r="I664" s="62"/>
      <x:c r="J664" s="62"/>
      <x:c r="K664" s="62"/>
      <x:c r="L664" s="62"/>
      <x:c r="M664" s="68"/>
      <x:c r="N664" s="68"/>
      <x:c r="O664" s="68"/>
      <x:c r="P664" s="71" t="str">
        <x:f>IF(A664="","",IF(N664&gt;0,N664,M664))</x:f>
      </x:c>
      <x:c r="Q664" s="72" t="n">
        <x:f>IF(A664="",0,IF(COUNTIF($A$5:A664,A664)=1,1,0))</x:f>
        <x:v>0</x:v>
      </x:c>
      <x:c r="R664" s="64" t="str">
        <x:f>IF(A664="","",IF(F664="C664成功",IF(AND(J664&lt;&gt;"",K664&lt;&gt;"",N664&gt;0),"有证据","缺C664证据"),IF(F664="C664发货确认中",IF(AND(J664&lt;&gt;"",K664&lt;&gt;""),"有证据","缺C664证据"),IF(F664="手动完结",IF(OR(L664&lt;&gt;"",O664&lt;&gt;"",S664&lt;&gt;""),"有记录","缺手工证据"),IF(OR(F664="卖出待补仓",F664="提交结果待确认",F664="异常待处理"),"持续跟踪","检查状态")))))</x:f>
      </x:c>
      <x:c r="T664" s="64" t="str">
        <x:f>IF(A664="","",IF(COUNTIF($A$5:$A$1204,A664)&gt;1,"重复",""))</x:f>
      </x:c>
      <x:c r="U664" s="64" t="str">
        <x:f>IF(A664="","",IF(T664="重复","检查重复",IF(OR(R664="有证据",R664="有记录",R664="持续跟踪"),"可追踪","检查")))</x:f>
      </x:c>
    </x:row>
    <x:row r="665">
      <x:c r="A665" s="62"/>
      <x:c r="B665" s="62"/>
      <x:c r="C665" s="62"/>
      <x:c r="D665" s="66"/>
      <x:c r="E665" s="68"/>
      <x:c r="F665" s="62"/>
      <x:c r="G665" s="62"/>
      <x:c r="H665" s="62"/>
      <x:c r="I665" s="62"/>
      <x:c r="J665" s="62"/>
      <x:c r="K665" s="62"/>
      <x:c r="L665" s="62"/>
      <x:c r="M665" s="68"/>
      <x:c r="N665" s="68"/>
      <x:c r="O665" s="68"/>
      <x:c r="P665" s="71" t="str">
        <x:f>IF(A665="","",IF(N665&gt;0,N665,M665))</x:f>
      </x:c>
      <x:c r="Q665" s="72" t="n">
        <x:f>IF(A665="",0,IF(COUNTIF($A$5:A665,A665)=1,1,0))</x:f>
        <x:v>0</x:v>
      </x:c>
      <x:c r="R665" s="64" t="str">
        <x:f>IF(A665="","",IF(F665="C665成功",IF(AND(J665&lt;&gt;"",K665&lt;&gt;"",N665&gt;0),"有证据","缺C665证据"),IF(F665="C665发货确认中",IF(AND(J665&lt;&gt;"",K665&lt;&gt;""),"有证据","缺C665证据"),IF(F665="手动完结",IF(OR(L665&lt;&gt;"",O665&lt;&gt;"",S665&lt;&gt;""),"有记录","缺手工证据"),IF(OR(F665="卖出待补仓",F665="提交结果待确认",F665="异常待处理"),"持续跟踪","检查状态")))))</x:f>
      </x:c>
      <x:c r="T665" s="64" t="str">
        <x:f>IF(A665="","",IF(COUNTIF($A$5:$A$1204,A665)&gt;1,"重复",""))</x:f>
      </x:c>
      <x:c r="U665" s="64" t="str">
        <x:f>IF(A665="","",IF(T665="重复","检查重复",IF(OR(R665="有证据",R665="有记录",R665="持续跟踪"),"可追踪","检查")))</x:f>
      </x:c>
    </x:row>
    <x:row r="666">
      <x:c r="A666" s="62"/>
      <x:c r="B666" s="62"/>
      <x:c r="C666" s="62"/>
      <x:c r="D666" s="66"/>
      <x:c r="E666" s="68"/>
      <x:c r="F666" s="62"/>
      <x:c r="G666" s="62"/>
      <x:c r="H666" s="62"/>
      <x:c r="I666" s="62"/>
      <x:c r="J666" s="62"/>
      <x:c r="K666" s="62"/>
      <x:c r="L666" s="62"/>
      <x:c r="M666" s="68"/>
      <x:c r="N666" s="68"/>
      <x:c r="O666" s="68"/>
      <x:c r="P666" s="71" t="str">
        <x:f>IF(A666="","",IF(N666&gt;0,N666,M666))</x:f>
      </x:c>
      <x:c r="Q666" s="72" t="n">
        <x:f>IF(A666="",0,IF(COUNTIF($A$5:A666,A666)=1,1,0))</x:f>
        <x:v>0</x:v>
      </x:c>
      <x:c r="R666" s="64" t="str">
        <x:f>IF(A666="","",IF(F666="C666成功",IF(AND(J666&lt;&gt;"",K666&lt;&gt;"",N666&gt;0),"有证据","缺C666证据"),IF(F666="C666发货确认中",IF(AND(J666&lt;&gt;"",K666&lt;&gt;""),"有证据","缺C666证据"),IF(F666="手动完结",IF(OR(L666&lt;&gt;"",O666&lt;&gt;"",S666&lt;&gt;""),"有记录","缺手工证据"),IF(OR(F666="卖出待补仓",F666="提交结果待确认",F666="异常待处理"),"持续跟踪","检查状态")))))</x:f>
      </x:c>
      <x:c r="T666" s="64" t="str">
        <x:f>IF(A666="","",IF(COUNTIF($A$5:$A$1204,A666)&gt;1,"重复",""))</x:f>
      </x:c>
      <x:c r="U666" s="64" t="str">
        <x:f>IF(A666="","",IF(T666="重复","检查重复",IF(OR(R666="有证据",R666="有记录",R666="持续跟踪"),"可追踪","检查")))</x:f>
      </x:c>
    </x:row>
    <x:row r="667">
      <x:c r="A667" s="62"/>
      <x:c r="B667" s="62"/>
      <x:c r="C667" s="62"/>
      <x:c r="D667" s="66"/>
      <x:c r="E667" s="68"/>
      <x:c r="F667" s="62"/>
      <x:c r="G667" s="62"/>
      <x:c r="H667" s="62"/>
      <x:c r="I667" s="62"/>
      <x:c r="J667" s="62"/>
      <x:c r="K667" s="62"/>
      <x:c r="L667" s="62"/>
      <x:c r="M667" s="68"/>
      <x:c r="N667" s="68"/>
      <x:c r="O667" s="68"/>
      <x:c r="P667" s="71" t="str">
        <x:f>IF(A667="","",IF(N667&gt;0,N667,M667))</x:f>
      </x:c>
      <x:c r="Q667" s="72" t="n">
        <x:f>IF(A667="",0,IF(COUNTIF($A$5:A667,A667)=1,1,0))</x:f>
        <x:v>0</x:v>
      </x:c>
      <x:c r="R667" s="64" t="str">
        <x:f>IF(A667="","",IF(F667="C667成功",IF(AND(J667&lt;&gt;"",K667&lt;&gt;"",N667&gt;0),"有证据","缺C667证据"),IF(F667="C667发货确认中",IF(AND(J667&lt;&gt;"",K667&lt;&gt;""),"有证据","缺C667证据"),IF(F667="手动完结",IF(OR(L667&lt;&gt;"",O667&lt;&gt;"",S667&lt;&gt;""),"有记录","缺手工证据"),IF(OR(F667="卖出待补仓",F667="提交结果待确认",F667="异常待处理"),"持续跟踪","检查状态")))))</x:f>
      </x:c>
      <x:c r="T667" s="64" t="str">
        <x:f>IF(A667="","",IF(COUNTIF($A$5:$A$1204,A667)&gt;1,"重复",""))</x:f>
      </x:c>
      <x:c r="U667" s="64" t="str">
        <x:f>IF(A667="","",IF(T667="重复","检查重复",IF(OR(R667="有证据",R667="有记录",R667="持续跟踪"),"可追踪","检查")))</x:f>
      </x:c>
    </x:row>
    <x:row r="668">
      <x:c r="A668" s="62"/>
      <x:c r="B668" s="62"/>
      <x:c r="C668" s="62"/>
      <x:c r="D668" s="66"/>
      <x:c r="E668" s="68"/>
      <x:c r="F668" s="62"/>
      <x:c r="G668" s="62"/>
      <x:c r="H668" s="62"/>
      <x:c r="I668" s="62"/>
      <x:c r="J668" s="62"/>
      <x:c r="K668" s="62"/>
      <x:c r="L668" s="62"/>
      <x:c r="M668" s="68"/>
      <x:c r="N668" s="68"/>
      <x:c r="O668" s="68"/>
      <x:c r="P668" s="71" t="str">
        <x:f>IF(A668="","",IF(N668&gt;0,N668,M668))</x:f>
      </x:c>
      <x:c r="Q668" s="72" t="n">
        <x:f>IF(A668="",0,IF(COUNTIF($A$5:A668,A668)=1,1,0))</x:f>
        <x:v>0</x:v>
      </x:c>
      <x:c r="R668" s="64" t="str">
        <x:f>IF(A668="","",IF(F668="C668成功",IF(AND(J668&lt;&gt;"",K668&lt;&gt;"",N668&gt;0),"有证据","缺C668证据"),IF(F668="C668发货确认中",IF(AND(J668&lt;&gt;"",K668&lt;&gt;""),"有证据","缺C668证据"),IF(F668="手动完结",IF(OR(L668&lt;&gt;"",O668&lt;&gt;"",S668&lt;&gt;""),"有记录","缺手工证据"),IF(OR(F668="卖出待补仓",F668="提交结果待确认",F668="异常待处理"),"持续跟踪","检查状态")))))</x:f>
      </x:c>
      <x:c r="T668" s="64" t="str">
        <x:f>IF(A668="","",IF(COUNTIF($A$5:$A$1204,A668)&gt;1,"重复",""))</x:f>
      </x:c>
      <x:c r="U668" s="64" t="str">
        <x:f>IF(A668="","",IF(T668="重复","检查重复",IF(OR(R668="有证据",R668="有记录",R668="持续跟踪"),"可追踪","检查")))</x:f>
      </x:c>
    </x:row>
    <x:row r="669">
      <x:c r="A669" s="62"/>
      <x:c r="B669" s="62"/>
      <x:c r="C669" s="62"/>
      <x:c r="D669" s="66"/>
      <x:c r="E669" s="68"/>
      <x:c r="F669" s="62"/>
      <x:c r="G669" s="62"/>
      <x:c r="H669" s="62"/>
      <x:c r="I669" s="62"/>
      <x:c r="J669" s="62"/>
      <x:c r="K669" s="62"/>
      <x:c r="L669" s="62"/>
      <x:c r="M669" s="68"/>
      <x:c r="N669" s="68"/>
      <x:c r="O669" s="68"/>
      <x:c r="P669" s="71" t="str">
        <x:f>IF(A669="","",IF(N669&gt;0,N669,M669))</x:f>
      </x:c>
      <x:c r="Q669" s="72" t="n">
        <x:f>IF(A669="",0,IF(COUNTIF($A$5:A669,A669)=1,1,0))</x:f>
        <x:v>0</x:v>
      </x:c>
      <x:c r="R669" s="64" t="str">
        <x:f>IF(A669="","",IF(F669="C669成功",IF(AND(J669&lt;&gt;"",K669&lt;&gt;"",N669&gt;0),"有证据","缺C669证据"),IF(F669="C669发货确认中",IF(AND(J669&lt;&gt;"",K669&lt;&gt;""),"有证据","缺C669证据"),IF(F669="手动完结",IF(OR(L669&lt;&gt;"",O669&lt;&gt;"",S669&lt;&gt;""),"有记录","缺手工证据"),IF(OR(F669="卖出待补仓",F669="提交结果待确认",F669="异常待处理"),"持续跟踪","检查状态")))))</x:f>
      </x:c>
      <x:c r="T669" s="64" t="str">
        <x:f>IF(A669="","",IF(COUNTIF($A$5:$A$1204,A669)&gt;1,"重复",""))</x:f>
      </x:c>
      <x:c r="U669" s="64" t="str">
        <x:f>IF(A669="","",IF(T669="重复","检查重复",IF(OR(R669="有证据",R669="有记录",R669="持续跟踪"),"可追踪","检查")))</x:f>
      </x:c>
    </x:row>
    <x:row r="670">
      <x:c r="A670" s="62"/>
      <x:c r="B670" s="62"/>
      <x:c r="C670" s="62"/>
      <x:c r="D670" s="66"/>
      <x:c r="E670" s="68"/>
      <x:c r="F670" s="62"/>
      <x:c r="G670" s="62"/>
      <x:c r="H670" s="62"/>
      <x:c r="I670" s="62"/>
      <x:c r="J670" s="62"/>
      <x:c r="K670" s="62"/>
      <x:c r="L670" s="62"/>
      <x:c r="M670" s="68"/>
      <x:c r="N670" s="68"/>
      <x:c r="O670" s="68"/>
      <x:c r="P670" s="71" t="str">
        <x:f>IF(A670="","",IF(N670&gt;0,N670,M670))</x:f>
      </x:c>
      <x:c r="Q670" s="72" t="n">
        <x:f>IF(A670="",0,IF(COUNTIF($A$5:A670,A670)=1,1,0))</x:f>
        <x:v>0</x:v>
      </x:c>
      <x:c r="R670" s="64" t="str">
        <x:f>IF(A670="","",IF(F670="C670成功",IF(AND(J670&lt;&gt;"",K670&lt;&gt;"",N670&gt;0),"有证据","缺C670证据"),IF(F670="C670发货确认中",IF(AND(J670&lt;&gt;"",K670&lt;&gt;""),"有证据","缺C670证据"),IF(F670="手动完结",IF(OR(L670&lt;&gt;"",O670&lt;&gt;"",S670&lt;&gt;""),"有记录","缺手工证据"),IF(OR(F670="卖出待补仓",F670="提交结果待确认",F670="异常待处理"),"持续跟踪","检查状态")))))</x:f>
      </x:c>
      <x:c r="T670" s="64" t="str">
        <x:f>IF(A670="","",IF(COUNTIF($A$5:$A$1204,A670)&gt;1,"重复",""))</x:f>
      </x:c>
      <x:c r="U670" s="64" t="str">
        <x:f>IF(A670="","",IF(T670="重复","检查重复",IF(OR(R670="有证据",R670="有记录",R670="持续跟踪"),"可追踪","检查")))</x:f>
      </x:c>
    </x:row>
    <x:row r="671">
      <x:c r="A671" s="62"/>
      <x:c r="B671" s="62"/>
      <x:c r="C671" s="62"/>
      <x:c r="D671" s="66"/>
      <x:c r="E671" s="68"/>
      <x:c r="F671" s="62"/>
      <x:c r="G671" s="62"/>
      <x:c r="H671" s="62"/>
      <x:c r="I671" s="62"/>
      <x:c r="J671" s="62"/>
      <x:c r="K671" s="62"/>
      <x:c r="L671" s="62"/>
      <x:c r="M671" s="68"/>
      <x:c r="N671" s="68"/>
      <x:c r="O671" s="68"/>
      <x:c r="P671" s="71" t="str">
        <x:f>IF(A671="","",IF(N671&gt;0,N671,M671))</x:f>
      </x:c>
      <x:c r="Q671" s="72" t="n">
        <x:f>IF(A671="",0,IF(COUNTIF($A$5:A671,A671)=1,1,0))</x:f>
        <x:v>0</x:v>
      </x:c>
      <x:c r="R671" s="64" t="str">
        <x:f>IF(A671="","",IF(F671="C671成功",IF(AND(J671&lt;&gt;"",K671&lt;&gt;"",N671&gt;0),"有证据","缺C671证据"),IF(F671="C671发货确认中",IF(AND(J671&lt;&gt;"",K671&lt;&gt;""),"有证据","缺C671证据"),IF(F671="手动完结",IF(OR(L671&lt;&gt;"",O671&lt;&gt;"",S671&lt;&gt;""),"有记录","缺手工证据"),IF(OR(F671="卖出待补仓",F671="提交结果待确认",F671="异常待处理"),"持续跟踪","检查状态")))))</x:f>
      </x:c>
      <x:c r="T671" s="64" t="str">
        <x:f>IF(A671="","",IF(COUNTIF($A$5:$A$1204,A671)&gt;1,"重复",""))</x:f>
      </x:c>
      <x:c r="U671" s="64" t="str">
        <x:f>IF(A671="","",IF(T671="重复","检查重复",IF(OR(R671="有证据",R671="有记录",R671="持续跟踪"),"可追踪","检查")))</x:f>
      </x:c>
    </x:row>
    <x:row r="672">
      <x:c r="A672" s="62"/>
      <x:c r="B672" s="62"/>
      <x:c r="C672" s="62"/>
      <x:c r="D672" s="66"/>
      <x:c r="E672" s="68"/>
      <x:c r="F672" s="62"/>
      <x:c r="G672" s="62"/>
      <x:c r="H672" s="62"/>
      <x:c r="I672" s="62"/>
      <x:c r="J672" s="62"/>
      <x:c r="K672" s="62"/>
      <x:c r="L672" s="62"/>
      <x:c r="M672" s="68"/>
      <x:c r="N672" s="68"/>
      <x:c r="O672" s="68"/>
      <x:c r="P672" s="71" t="str">
        <x:f>IF(A672="","",IF(N672&gt;0,N672,M672))</x:f>
      </x:c>
      <x:c r="Q672" s="72" t="n">
        <x:f>IF(A672="",0,IF(COUNTIF($A$5:A672,A672)=1,1,0))</x:f>
        <x:v>0</x:v>
      </x:c>
      <x:c r="R672" s="64" t="str">
        <x:f>IF(A672="","",IF(F672="C672成功",IF(AND(J672&lt;&gt;"",K672&lt;&gt;"",N672&gt;0),"有证据","缺C672证据"),IF(F672="C672发货确认中",IF(AND(J672&lt;&gt;"",K672&lt;&gt;""),"有证据","缺C672证据"),IF(F672="手动完结",IF(OR(L672&lt;&gt;"",O672&lt;&gt;"",S672&lt;&gt;""),"有记录","缺手工证据"),IF(OR(F672="卖出待补仓",F672="提交结果待确认",F672="异常待处理"),"持续跟踪","检查状态")))))</x:f>
      </x:c>
      <x:c r="T672" s="64" t="str">
        <x:f>IF(A672="","",IF(COUNTIF($A$5:$A$1204,A672)&gt;1,"重复",""))</x:f>
      </x:c>
      <x:c r="U672" s="64" t="str">
        <x:f>IF(A672="","",IF(T672="重复","检查重复",IF(OR(R672="有证据",R672="有记录",R672="持续跟踪"),"可追踪","检查")))</x:f>
      </x:c>
    </x:row>
    <x:row r="673">
      <x:c r="A673" s="62"/>
      <x:c r="B673" s="62"/>
      <x:c r="C673" s="62"/>
      <x:c r="D673" s="66"/>
      <x:c r="E673" s="68"/>
      <x:c r="F673" s="62"/>
      <x:c r="G673" s="62"/>
      <x:c r="H673" s="62"/>
      <x:c r="I673" s="62"/>
      <x:c r="J673" s="62"/>
      <x:c r="K673" s="62"/>
      <x:c r="L673" s="62"/>
      <x:c r="M673" s="68"/>
      <x:c r="N673" s="68"/>
      <x:c r="O673" s="68"/>
      <x:c r="P673" s="71" t="str">
        <x:f>IF(A673="","",IF(N673&gt;0,N673,M673))</x:f>
      </x:c>
      <x:c r="Q673" s="72" t="n">
        <x:f>IF(A673="",0,IF(COUNTIF($A$5:A673,A673)=1,1,0))</x:f>
        <x:v>0</x:v>
      </x:c>
      <x:c r="R673" s="64" t="str">
        <x:f>IF(A673="","",IF(F673="C673成功",IF(AND(J673&lt;&gt;"",K673&lt;&gt;"",N673&gt;0),"有证据","缺C673证据"),IF(F673="C673发货确认中",IF(AND(J673&lt;&gt;"",K673&lt;&gt;""),"有证据","缺C673证据"),IF(F673="手动完结",IF(OR(L673&lt;&gt;"",O673&lt;&gt;"",S673&lt;&gt;""),"有记录","缺手工证据"),IF(OR(F673="卖出待补仓",F673="提交结果待确认",F673="异常待处理"),"持续跟踪","检查状态")))))</x:f>
      </x:c>
      <x:c r="T673" s="64" t="str">
        <x:f>IF(A673="","",IF(COUNTIF($A$5:$A$1204,A673)&gt;1,"重复",""))</x:f>
      </x:c>
      <x:c r="U673" s="64" t="str">
        <x:f>IF(A673="","",IF(T673="重复","检查重复",IF(OR(R673="有证据",R673="有记录",R673="持续跟踪"),"可追踪","检查")))</x:f>
      </x:c>
    </x:row>
    <x:row r="674">
      <x:c r="A674" s="62"/>
      <x:c r="B674" s="62"/>
      <x:c r="C674" s="62"/>
      <x:c r="D674" s="66"/>
      <x:c r="E674" s="68"/>
      <x:c r="F674" s="62"/>
      <x:c r="G674" s="62"/>
      <x:c r="H674" s="62"/>
      <x:c r="I674" s="62"/>
      <x:c r="J674" s="62"/>
      <x:c r="K674" s="62"/>
      <x:c r="L674" s="62"/>
      <x:c r="M674" s="68"/>
      <x:c r="N674" s="68"/>
      <x:c r="O674" s="68"/>
      <x:c r="P674" s="71" t="str">
        <x:f>IF(A674="","",IF(N674&gt;0,N674,M674))</x:f>
      </x:c>
      <x:c r="Q674" s="72" t="n">
        <x:f>IF(A674="",0,IF(COUNTIF($A$5:A674,A674)=1,1,0))</x:f>
        <x:v>0</x:v>
      </x:c>
      <x:c r="R674" s="64" t="str">
        <x:f>IF(A674="","",IF(F674="C674成功",IF(AND(J674&lt;&gt;"",K674&lt;&gt;"",N674&gt;0),"有证据","缺C674证据"),IF(F674="C674发货确认中",IF(AND(J674&lt;&gt;"",K674&lt;&gt;""),"有证据","缺C674证据"),IF(F674="手动完结",IF(OR(L674&lt;&gt;"",O674&lt;&gt;"",S674&lt;&gt;""),"有记录","缺手工证据"),IF(OR(F674="卖出待补仓",F674="提交结果待确认",F674="异常待处理"),"持续跟踪","检查状态")))))</x:f>
      </x:c>
      <x:c r="T674" s="64" t="str">
        <x:f>IF(A674="","",IF(COUNTIF($A$5:$A$1204,A674)&gt;1,"重复",""))</x:f>
      </x:c>
      <x:c r="U674" s="64" t="str">
        <x:f>IF(A674="","",IF(T674="重复","检查重复",IF(OR(R674="有证据",R674="有记录",R674="持续跟踪"),"可追踪","检查")))</x:f>
      </x:c>
    </x:row>
    <x:row r="675">
      <x:c r="A675" s="62"/>
      <x:c r="B675" s="62"/>
      <x:c r="C675" s="62"/>
      <x:c r="D675" s="66"/>
      <x:c r="E675" s="68"/>
      <x:c r="F675" s="62"/>
      <x:c r="G675" s="62"/>
      <x:c r="H675" s="62"/>
      <x:c r="I675" s="62"/>
      <x:c r="J675" s="62"/>
      <x:c r="K675" s="62"/>
      <x:c r="L675" s="62"/>
      <x:c r="M675" s="68"/>
      <x:c r="N675" s="68"/>
      <x:c r="O675" s="68"/>
      <x:c r="P675" s="71" t="str">
        <x:f>IF(A675="","",IF(N675&gt;0,N675,M675))</x:f>
      </x:c>
      <x:c r="Q675" s="72" t="n">
        <x:f>IF(A675="",0,IF(COUNTIF($A$5:A675,A675)=1,1,0))</x:f>
        <x:v>0</x:v>
      </x:c>
      <x:c r="R675" s="64" t="str">
        <x:f>IF(A675="","",IF(F675="C675成功",IF(AND(J675&lt;&gt;"",K675&lt;&gt;"",N675&gt;0),"有证据","缺C675证据"),IF(F675="C675发货确认中",IF(AND(J675&lt;&gt;"",K675&lt;&gt;""),"有证据","缺C675证据"),IF(F675="手动完结",IF(OR(L675&lt;&gt;"",O675&lt;&gt;"",S675&lt;&gt;""),"有记录","缺手工证据"),IF(OR(F675="卖出待补仓",F675="提交结果待确认",F675="异常待处理"),"持续跟踪","检查状态")))))</x:f>
      </x:c>
      <x:c r="T675" s="64" t="str">
        <x:f>IF(A675="","",IF(COUNTIF($A$5:$A$1204,A675)&gt;1,"重复",""))</x:f>
      </x:c>
      <x:c r="U675" s="64" t="str">
        <x:f>IF(A675="","",IF(T675="重复","检查重复",IF(OR(R675="有证据",R675="有记录",R675="持续跟踪"),"可追踪","检查")))</x:f>
      </x:c>
    </x:row>
    <x:row r="676">
      <x:c r="A676" s="62"/>
      <x:c r="B676" s="62"/>
      <x:c r="C676" s="62"/>
      <x:c r="D676" s="66"/>
      <x:c r="E676" s="68"/>
      <x:c r="F676" s="62"/>
      <x:c r="G676" s="62"/>
      <x:c r="H676" s="62"/>
      <x:c r="I676" s="62"/>
      <x:c r="J676" s="62"/>
      <x:c r="K676" s="62"/>
      <x:c r="L676" s="62"/>
      <x:c r="M676" s="68"/>
      <x:c r="N676" s="68"/>
      <x:c r="O676" s="68"/>
      <x:c r="P676" s="71" t="str">
        <x:f>IF(A676="","",IF(N676&gt;0,N676,M676))</x:f>
      </x:c>
      <x:c r="Q676" s="72" t="n">
        <x:f>IF(A676="",0,IF(COUNTIF($A$5:A676,A676)=1,1,0))</x:f>
        <x:v>0</x:v>
      </x:c>
      <x:c r="R676" s="64" t="str">
        <x:f>IF(A676="","",IF(F676="C676成功",IF(AND(J676&lt;&gt;"",K676&lt;&gt;"",N676&gt;0),"有证据","缺C676证据"),IF(F676="C676发货确认中",IF(AND(J676&lt;&gt;"",K676&lt;&gt;""),"有证据","缺C676证据"),IF(F676="手动完结",IF(OR(L676&lt;&gt;"",O676&lt;&gt;"",S676&lt;&gt;""),"有记录","缺手工证据"),IF(OR(F676="卖出待补仓",F676="提交结果待确认",F676="异常待处理"),"持续跟踪","检查状态")))))</x:f>
      </x:c>
      <x:c r="T676" s="64" t="str">
        <x:f>IF(A676="","",IF(COUNTIF($A$5:$A$1204,A676)&gt;1,"重复",""))</x:f>
      </x:c>
      <x:c r="U676" s="64" t="str">
        <x:f>IF(A676="","",IF(T676="重复","检查重复",IF(OR(R676="有证据",R676="有记录",R676="持续跟踪"),"可追踪","检查")))</x:f>
      </x:c>
    </x:row>
    <x:row r="677">
      <x:c r="A677" s="62"/>
      <x:c r="B677" s="62"/>
      <x:c r="C677" s="62"/>
      <x:c r="D677" s="66"/>
      <x:c r="E677" s="68"/>
      <x:c r="F677" s="62"/>
      <x:c r="G677" s="62"/>
      <x:c r="H677" s="62"/>
      <x:c r="I677" s="62"/>
      <x:c r="J677" s="62"/>
      <x:c r="K677" s="62"/>
      <x:c r="L677" s="62"/>
      <x:c r="M677" s="68"/>
      <x:c r="N677" s="68"/>
      <x:c r="O677" s="68"/>
      <x:c r="P677" s="71" t="str">
        <x:f>IF(A677="","",IF(N677&gt;0,N677,M677))</x:f>
      </x:c>
      <x:c r="Q677" s="72" t="n">
        <x:f>IF(A677="",0,IF(COUNTIF($A$5:A677,A677)=1,1,0))</x:f>
        <x:v>0</x:v>
      </x:c>
      <x:c r="R677" s="64" t="str">
        <x:f>IF(A677="","",IF(F677="C677成功",IF(AND(J677&lt;&gt;"",K677&lt;&gt;"",N677&gt;0),"有证据","缺C677证据"),IF(F677="C677发货确认中",IF(AND(J677&lt;&gt;"",K677&lt;&gt;""),"有证据","缺C677证据"),IF(F677="手动完结",IF(OR(L677&lt;&gt;"",O677&lt;&gt;"",S677&lt;&gt;""),"有记录","缺手工证据"),IF(OR(F677="卖出待补仓",F677="提交结果待确认",F677="异常待处理"),"持续跟踪","检查状态")))))</x:f>
      </x:c>
      <x:c r="T677" s="64" t="str">
        <x:f>IF(A677="","",IF(COUNTIF($A$5:$A$1204,A677)&gt;1,"重复",""))</x:f>
      </x:c>
      <x:c r="U677" s="64" t="str">
        <x:f>IF(A677="","",IF(T677="重复","检查重复",IF(OR(R677="有证据",R677="有记录",R677="持续跟踪"),"可追踪","检查")))</x:f>
      </x:c>
    </x:row>
    <x:row r="678">
      <x:c r="A678" s="62"/>
      <x:c r="B678" s="62"/>
      <x:c r="C678" s="62"/>
      <x:c r="D678" s="66"/>
      <x:c r="E678" s="68"/>
      <x:c r="F678" s="62"/>
      <x:c r="G678" s="62"/>
      <x:c r="H678" s="62"/>
      <x:c r="I678" s="62"/>
      <x:c r="J678" s="62"/>
      <x:c r="K678" s="62"/>
      <x:c r="L678" s="62"/>
      <x:c r="M678" s="68"/>
      <x:c r="N678" s="68"/>
      <x:c r="O678" s="68"/>
      <x:c r="P678" s="71" t="str">
        <x:f>IF(A678="","",IF(N678&gt;0,N678,M678))</x:f>
      </x:c>
      <x:c r="Q678" s="72" t="n">
        <x:f>IF(A678="",0,IF(COUNTIF($A$5:A678,A678)=1,1,0))</x:f>
        <x:v>0</x:v>
      </x:c>
      <x:c r="R678" s="64" t="str">
        <x:f>IF(A678="","",IF(F678="C678成功",IF(AND(J678&lt;&gt;"",K678&lt;&gt;"",N678&gt;0),"有证据","缺C678证据"),IF(F678="C678发货确认中",IF(AND(J678&lt;&gt;"",K678&lt;&gt;""),"有证据","缺C678证据"),IF(F678="手动完结",IF(OR(L678&lt;&gt;"",O678&lt;&gt;"",S678&lt;&gt;""),"有记录","缺手工证据"),IF(OR(F678="卖出待补仓",F678="提交结果待确认",F678="异常待处理"),"持续跟踪","检查状态")))))</x:f>
      </x:c>
      <x:c r="T678" s="64" t="str">
        <x:f>IF(A678="","",IF(COUNTIF($A$5:$A$1204,A678)&gt;1,"重复",""))</x:f>
      </x:c>
      <x:c r="U678" s="64" t="str">
        <x:f>IF(A678="","",IF(T678="重复","检查重复",IF(OR(R678="有证据",R678="有记录",R678="持续跟踪"),"可追踪","检查")))</x:f>
      </x:c>
    </x:row>
    <x:row r="679">
      <x:c r="A679" s="62"/>
      <x:c r="B679" s="62"/>
      <x:c r="C679" s="62"/>
      <x:c r="D679" s="66"/>
      <x:c r="E679" s="68"/>
      <x:c r="F679" s="62"/>
      <x:c r="G679" s="62"/>
      <x:c r="H679" s="62"/>
      <x:c r="I679" s="62"/>
      <x:c r="J679" s="62"/>
      <x:c r="K679" s="62"/>
      <x:c r="L679" s="62"/>
      <x:c r="M679" s="68"/>
      <x:c r="N679" s="68"/>
      <x:c r="O679" s="68"/>
      <x:c r="P679" s="71" t="str">
        <x:f>IF(A679="","",IF(N679&gt;0,N679,M679))</x:f>
      </x:c>
      <x:c r="Q679" s="72" t="n">
        <x:f>IF(A679="",0,IF(COUNTIF($A$5:A679,A679)=1,1,0))</x:f>
        <x:v>0</x:v>
      </x:c>
      <x:c r="R679" s="64" t="str">
        <x:f>IF(A679="","",IF(F679="C679成功",IF(AND(J679&lt;&gt;"",K679&lt;&gt;"",N679&gt;0),"有证据","缺C679证据"),IF(F679="C679发货确认中",IF(AND(J679&lt;&gt;"",K679&lt;&gt;""),"有证据","缺C679证据"),IF(F679="手动完结",IF(OR(L679&lt;&gt;"",O679&lt;&gt;"",S679&lt;&gt;""),"有记录","缺手工证据"),IF(OR(F679="卖出待补仓",F679="提交结果待确认",F679="异常待处理"),"持续跟踪","检查状态")))))</x:f>
      </x:c>
      <x:c r="T679" s="64" t="str">
        <x:f>IF(A679="","",IF(COUNTIF($A$5:$A$1204,A679)&gt;1,"重复",""))</x:f>
      </x:c>
      <x:c r="U679" s="64" t="str">
        <x:f>IF(A679="","",IF(T679="重复","检查重复",IF(OR(R679="有证据",R679="有记录",R679="持续跟踪"),"可追踪","检查")))</x:f>
      </x:c>
    </x:row>
    <x:row r="680">
      <x:c r="A680" s="62"/>
      <x:c r="B680" s="62"/>
      <x:c r="C680" s="62"/>
      <x:c r="D680" s="66"/>
      <x:c r="E680" s="68"/>
      <x:c r="F680" s="62"/>
      <x:c r="G680" s="62"/>
      <x:c r="H680" s="62"/>
      <x:c r="I680" s="62"/>
      <x:c r="J680" s="62"/>
      <x:c r="K680" s="62"/>
      <x:c r="L680" s="62"/>
      <x:c r="M680" s="68"/>
      <x:c r="N680" s="68"/>
      <x:c r="O680" s="68"/>
      <x:c r="P680" s="71" t="str">
        <x:f>IF(A680="","",IF(N680&gt;0,N680,M680))</x:f>
      </x:c>
      <x:c r="Q680" s="72" t="n">
        <x:f>IF(A680="",0,IF(COUNTIF($A$5:A680,A680)=1,1,0))</x:f>
        <x:v>0</x:v>
      </x:c>
      <x:c r="R680" s="64" t="str">
        <x:f>IF(A680="","",IF(F680="C680成功",IF(AND(J680&lt;&gt;"",K680&lt;&gt;"",N680&gt;0),"有证据","缺C680证据"),IF(F680="C680发货确认中",IF(AND(J680&lt;&gt;"",K680&lt;&gt;""),"有证据","缺C680证据"),IF(F680="手动完结",IF(OR(L680&lt;&gt;"",O680&lt;&gt;"",S680&lt;&gt;""),"有记录","缺手工证据"),IF(OR(F680="卖出待补仓",F680="提交结果待确认",F680="异常待处理"),"持续跟踪","检查状态")))))</x:f>
      </x:c>
      <x:c r="T680" s="64" t="str">
        <x:f>IF(A680="","",IF(COUNTIF($A$5:$A$1204,A680)&gt;1,"重复",""))</x:f>
      </x:c>
      <x:c r="U680" s="64" t="str">
        <x:f>IF(A680="","",IF(T680="重复","检查重复",IF(OR(R680="有证据",R680="有记录",R680="持续跟踪"),"可追踪","检查")))</x:f>
      </x:c>
    </x:row>
    <x:row r="681">
      <x:c r="A681" s="62"/>
      <x:c r="B681" s="62"/>
      <x:c r="C681" s="62"/>
      <x:c r="D681" s="66"/>
      <x:c r="E681" s="68"/>
      <x:c r="F681" s="62"/>
      <x:c r="G681" s="62"/>
      <x:c r="H681" s="62"/>
      <x:c r="I681" s="62"/>
      <x:c r="J681" s="62"/>
      <x:c r="K681" s="62"/>
      <x:c r="L681" s="62"/>
      <x:c r="M681" s="68"/>
      <x:c r="N681" s="68"/>
      <x:c r="O681" s="68"/>
      <x:c r="P681" s="71" t="str">
        <x:f>IF(A681="","",IF(N681&gt;0,N681,M681))</x:f>
      </x:c>
      <x:c r="Q681" s="72" t="n">
        <x:f>IF(A681="",0,IF(COUNTIF($A$5:A681,A681)=1,1,0))</x:f>
        <x:v>0</x:v>
      </x:c>
      <x:c r="R681" s="64" t="str">
        <x:f>IF(A681="","",IF(F681="C681成功",IF(AND(J681&lt;&gt;"",K681&lt;&gt;"",N681&gt;0),"有证据","缺C681证据"),IF(F681="C681发货确认中",IF(AND(J681&lt;&gt;"",K681&lt;&gt;""),"有证据","缺C681证据"),IF(F681="手动完结",IF(OR(L681&lt;&gt;"",O681&lt;&gt;"",S681&lt;&gt;""),"有记录","缺手工证据"),IF(OR(F681="卖出待补仓",F681="提交结果待确认",F681="异常待处理"),"持续跟踪","检查状态")))))</x:f>
      </x:c>
      <x:c r="T681" s="64" t="str">
        <x:f>IF(A681="","",IF(COUNTIF($A$5:$A$1204,A681)&gt;1,"重复",""))</x:f>
      </x:c>
      <x:c r="U681" s="64" t="str">
        <x:f>IF(A681="","",IF(T681="重复","检查重复",IF(OR(R681="有证据",R681="有记录",R681="持续跟踪"),"可追踪","检查")))</x:f>
      </x:c>
    </x:row>
    <x:row r="682">
      <x:c r="A682" s="62"/>
      <x:c r="B682" s="62"/>
      <x:c r="C682" s="62"/>
      <x:c r="D682" s="66"/>
      <x:c r="E682" s="68"/>
      <x:c r="F682" s="62"/>
      <x:c r="G682" s="62"/>
      <x:c r="H682" s="62"/>
      <x:c r="I682" s="62"/>
      <x:c r="J682" s="62"/>
      <x:c r="K682" s="62"/>
      <x:c r="L682" s="62"/>
      <x:c r="M682" s="68"/>
      <x:c r="N682" s="68"/>
      <x:c r="O682" s="68"/>
      <x:c r="P682" s="71" t="str">
        <x:f>IF(A682="","",IF(N682&gt;0,N682,M682))</x:f>
      </x:c>
      <x:c r="Q682" s="72" t="n">
        <x:f>IF(A682="",0,IF(COUNTIF($A$5:A682,A682)=1,1,0))</x:f>
        <x:v>0</x:v>
      </x:c>
      <x:c r="R682" s="64" t="str">
        <x:f>IF(A682="","",IF(F682="C682成功",IF(AND(J682&lt;&gt;"",K682&lt;&gt;"",N682&gt;0),"有证据","缺C682证据"),IF(F682="C682发货确认中",IF(AND(J682&lt;&gt;"",K682&lt;&gt;""),"有证据","缺C682证据"),IF(F682="手动完结",IF(OR(L682&lt;&gt;"",O682&lt;&gt;"",S682&lt;&gt;""),"有记录","缺手工证据"),IF(OR(F682="卖出待补仓",F682="提交结果待确认",F682="异常待处理"),"持续跟踪","检查状态")))))</x:f>
      </x:c>
      <x:c r="T682" s="64" t="str">
        <x:f>IF(A682="","",IF(COUNTIF($A$5:$A$1204,A682)&gt;1,"重复",""))</x:f>
      </x:c>
      <x:c r="U682" s="64" t="str">
        <x:f>IF(A682="","",IF(T682="重复","检查重复",IF(OR(R682="有证据",R682="有记录",R682="持续跟踪"),"可追踪","检查")))</x:f>
      </x:c>
    </x:row>
    <x:row r="683">
      <x:c r="A683" s="62"/>
      <x:c r="B683" s="62"/>
      <x:c r="C683" s="62"/>
      <x:c r="D683" s="66"/>
      <x:c r="E683" s="68"/>
      <x:c r="F683" s="62"/>
      <x:c r="G683" s="62"/>
      <x:c r="H683" s="62"/>
      <x:c r="I683" s="62"/>
      <x:c r="J683" s="62"/>
      <x:c r="K683" s="62"/>
      <x:c r="L683" s="62"/>
      <x:c r="M683" s="68"/>
      <x:c r="N683" s="68"/>
      <x:c r="O683" s="68"/>
      <x:c r="P683" s="71" t="str">
        <x:f>IF(A683="","",IF(N683&gt;0,N683,M683))</x:f>
      </x:c>
      <x:c r="Q683" s="72" t="n">
        <x:f>IF(A683="",0,IF(COUNTIF($A$5:A683,A683)=1,1,0))</x:f>
        <x:v>0</x:v>
      </x:c>
      <x:c r="R683" s="64" t="str">
        <x:f>IF(A683="","",IF(F683="C683成功",IF(AND(J683&lt;&gt;"",K683&lt;&gt;"",N683&gt;0),"有证据","缺C683证据"),IF(F683="C683发货确认中",IF(AND(J683&lt;&gt;"",K683&lt;&gt;""),"有证据","缺C683证据"),IF(F683="手动完结",IF(OR(L683&lt;&gt;"",O683&lt;&gt;"",S683&lt;&gt;""),"有记录","缺手工证据"),IF(OR(F683="卖出待补仓",F683="提交结果待确认",F683="异常待处理"),"持续跟踪","检查状态")))))</x:f>
      </x:c>
      <x:c r="T683" s="64" t="str">
        <x:f>IF(A683="","",IF(COUNTIF($A$5:$A$1204,A683)&gt;1,"重复",""))</x:f>
      </x:c>
      <x:c r="U683" s="64" t="str">
        <x:f>IF(A683="","",IF(T683="重复","检查重复",IF(OR(R683="有证据",R683="有记录",R683="持续跟踪"),"可追踪","检查")))</x:f>
      </x:c>
    </x:row>
    <x:row r="684">
      <x:c r="A684" s="62"/>
      <x:c r="B684" s="62"/>
      <x:c r="C684" s="62"/>
      <x:c r="D684" s="66"/>
      <x:c r="E684" s="68"/>
      <x:c r="F684" s="62"/>
      <x:c r="G684" s="62"/>
      <x:c r="H684" s="62"/>
      <x:c r="I684" s="62"/>
      <x:c r="J684" s="62"/>
      <x:c r="K684" s="62"/>
      <x:c r="L684" s="62"/>
      <x:c r="M684" s="68"/>
      <x:c r="N684" s="68"/>
      <x:c r="O684" s="68"/>
      <x:c r="P684" s="71" t="str">
        <x:f>IF(A684="","",IF(N684&gt;0,N684,M684))</x:f>
      </x:c>
      <x:c r="Q684" s="72" t="n">
        <x:f>IF(A684="",0,IF(COUNTIF($A$5:A684,A684)=1,1,0))</x:f>
        <x:v>0</x:v>
      </x:c>
      <x:c r="R684" s="64" t="str">
        <x:f>IF(A684="","",IF(F684="C684成功",IF(AND(J684&lt;&gt;"",K684&lt;&gt;"",N684&gt;0),"有证据","缺C684证据"),IF(F684="C684发货确认中",IF(AND(J684&lt;&gt;"",K684&lt;&gt;""),"有证据","缺C684证据"),IF(F684="手动完结",IF(OR(L684&lt;&gt;"",O684&lt;&gt;"",S684&lt;&gt;""),"有记录","缺手工证据"),IF(OR(F684="卖出待补仓",F684="提交结果待确认",F684="异常待处理"),"持续跟踪","检查状态")))))</x:f>
      </x:c>
      <x:c r="T684" s="64" t="str">
        <x:f>IF(A684="","",IF(COUNTIF($A$5:$A$1204,A684)&gt;1,"重复",""))</x:f>
      </x:c>
      <x:c r="U684" s="64" t="str">
        <x:f>IF(A684="","",IF(T684="重复","检查重复",IF(OR(R684="有证据",R684="有记录",R684="持续跟踪"),"可追踪","检查")))</x:f>
      </x:c>
    </x:row>
    <x:row r="685">
      <x:c r="A685" s="62"/>
      <x:c r="B685" s="62"/>
      <x:c r="C685" s="62"/>
      <x:c r="D685" s="66"/>
      <x:c r="E685" s="68"/>
      <x:c r="F685" s="62"/>
      <x:c r="G685" s="62"/>
      <x:c r="H685" s="62"/>
      <x:c r="I685" s="62"/>
      <x:c r="J685" s="62"/>
      <x:c r="K685" s="62"/>
      <x:c r="L685" s="62"/>
      <x:c r="M685" s="68"/>
      <x:c r="N685" s="68"/>
      <x:c r="O685" s="68"/>
      <x:c r="P685" s="71" t="str">
        <x:f>IF(A685="","",IF(N685&gt;0,N685,M685))</x:f>
      </x:c>
      <x:c r="Q685" s="72" t="n">
        <x:f>IF(A685="",0,IF(COUNTIF($A$5:A685,A685)=1,1,0))</x:f>
        <x:v>0</x:v>
      </x:c>
      <x:c r="R685" s="64" t="str">
        <x:f>IF(A685="","",IF(F685="C685成功",IF(AND(J685&lt;&gt;"",K685&lt;&gt;"",N685&gt;0),"有证据","缺C685证据"),IF(F685="C685发货确认中",IF(AND(J685&lt;&gt;"",K685&lt;&gt;""),"有证据","缺C685证据"),IF(F685="手动完结",IF(OR(L685&lt;&gt;"",O685&lt;&gt;"",S685&lt;&gt;""),"有记录","缺手工证据"),IF(OR(F685="卖出待补仓",F685="提交结果待确认",F685="异常待处理"),"持续跟踪","检查状态")))))</x:f>
      </x:c>
      <x:c r="T685" s="64" t="str">
        <x:f>IF(A685="","",IF(COUNTIF($A$5:$A$1204,A685)&gt;1,"重复",""))</x:f>
      </x:c>
      <x:c r="U685" s="64" t="str">
        <x:f>IF(A685="","",IF(T685="重复","检查重复",IF(OR(R685="有证据",R685="有记录",R685="持续跟踪"),"可追踪","检查")))</x:f>
      </x:c>
    </x:row>
    <x:row r="686">
      <x:c r="A686" s="62"/>
      <x:c r="B686" s="62"/>
      <x:c r="C686" s="62"/>
      <x:c r="D686" s="66"/>
      <x:c r="E686" s="68"/>
      <x:c r="F686" s="62"/>
      <x:c r="G686" s="62"/>
      <x:c r="H686" s="62"/>
      <x:c r="I686" s="62"/>
      <x:c r="J686" s="62"/>
      <x:c r="K686" s="62"/>
      <x:c r="L686" s="62"/>
      <x:c r="M686" s="68"/>
      <x:c r="N686" s="68"/>
      <x:c r="O686" s="68"/>
      <x:c r="P686" s="71" t="str">
        <x:f>IF(A686="","",IF(N686&gt;0,N686,M686))</x:f>
      </x:c>
      <x:c r="Q686" s="72" t="n">
        <x:f>IF(A686="",0,IF(COUNTIF($A$5:A686,A686)=1,1,0))</x:f>
        <x:v>0</x:v>
      </x:c>
      <x:c r="R686" s="64" t="str">
        <x:f>IF(A686="","",IF(F686="C686成功",IF(AND(J686&lt;&gt;"",K686&lt;&gt;"",N686&gt;0),"有证据","缺C686证据"),IF(F686="C686发货确认中",IF(AND(J686&lt;&gt;"",K686&lt;&gt;""),"有证据","缺C686证据"),IF(F686="手动完结",IF(OR(L686&lt;&gt;"",O686&lt;&gt;"",S686&lt;&gt;""),"有记录","缺手工证据"),IF(OR(F686="卖出待补仓",F686="提交结果待确认",F686="异常待处理"),"持续跟踪","检查状态")))))</x:f>
      </x:c>
      <x:c r="T686" s="64" t="str">
        <x:f>IF(A686="","",IF(COUNTIF($A$5:$A$1204,A686)&gt;1,"重复",""))</x:f>
      </x:c>
      <x:c r="U686" s="64" t="str">
        <x:f>IF(A686="","",IF(T686="重复","检查重复",IF(OR(R686="有证据",R686="有记录",R686="持续跟踪"),"可追踪","检查")))</x:f>
      </x:c>
    </x:row>
    <x:row r="687">
      <x:c r="A687" s="62"/>
      <x:c r="B687" s="62"/>
      <x:c r="C687" s="62"/>
      <x:c r="D687" s="66"/>
      <x:c r="E687" s="68"/>
      <x:c r="F687" s="62"/>
      <x:c r="G687" s="62"/>
      <x:c r="H687" s="62"/>
      <x:c r="I687" s="62"/>
      <x:c r="J687" s="62"/>
      <x:c r="K687" s="62"/>
      <x:c r="L687" s="62"/>
      <x:c r="M687" s="68"/>
      <x:c r="N687" s="68"/>
      <x:c r="O687" s="68"/>
      <x:c r="P687" s="71" t="str">
        <x:f>IF(A687="","",IF(N687&gt;0,N687,M687))</x:f>
      </x:c>
      <x:c r="Q687" s="72" t="n">
        <x:f>IF(A687="",0,IF(COUNTIF($A$5:A687,A687)=1,1,0))</x:f>
        <x:v>0</x:v>
      </x:c>
      <x:c r="R687" s="64" t="str">
        <x:f>IF(A687="","",IF(F687="C687成功",IF(AND(J687&lt;&gt;"",K687&lt;&gt;"",N687&gt;0),"有证据","缺C687证据"),IF(F687="C687发货确认中",IF(AND(J687&lt;&gt;"",K687&lt;&gt;""),"有证据","缺C687证据"),IF(F687="手动完结",IF(OR(L687&lt;&gt;"",O687&lt;&gt;"",S687&lt;&gt;""),"有记录","缺手工证据"),IF(OR(F687="卖出待补仓",F687="提交结果待确认",F687="异常待处理"),"持续跟踪","检查状态")))))</x:f>
      </x:c>
      <x:c r="T687" s="64" t="str">
        <x:f>IF(A687="","",IF(COUNTIF($A$5:$A$1204,A687)&gt;1,"重复",""))</x:f>
      </x:c>
      <x:c r="U687" s="64" t="str">
        <x:f>IF(A687="","",IF(T687="重复","检查重复",IF(OR(R687="有证据",R687="有记录",R687="持续跟踪"),"可追踪","检查")))</x:f>
      </x:c>
    </x:row>
    <x:row r="688">
      <x:c r="A688" s="62"/>
      <x:c r="B688" s="62"/>
      <x:c r="C688" s="62"/>
      <x:c r="D688" s="66"/>
      <x:c r="E688" s="68"/>
      <x:c r="F688" s="62"/>
      <x:c r="G688" s="62"/>
      <x:c r="H688" s="62"/>
      <x:c r="I688" s="62"/>
      <x:c r="J688" s="62"/>
      <x:c r="K688" s="62"/>
      <x:c r="L688" s="62"/>
      <x:c r="M688" s="68"/>
      <x:c r="N688" s="68"/>
      <x:c r="O688" s="68"/>
      <x:c r="P688" s="71" t="str">
        <x:f>IF(A688="","",IF(N688&gt;0,N688,M688))</x:f>
      </x:c>
      <x:c r="Q688" s="72" t="n">
        <x:f>IF(A688="",0,IF(COUNTIF($A$5:A688,A688)=1,1,0))</x:f>
        <x:v>0</x:v>
      </x:c>
      <x:c r="R688" s="64" t="str">
        <x:f>IF(A688="","",IF(F688="C688成功",IF(AND(J688&lt;&gt;"",K688&lt;&gt;"",N688&gt;0),"有证据","缺C688证据"),IF(F688="C688发货确认中",IF(AND(J688&lt;&gt;"",K688&lt;&gt;""),"有证据","缺C688证据"),IF(F688="手动完结",IF(OR(L688&lt;&gt;"",O688&lt;&gt;"",S688&lt;&gt;""),"有记录","缺手工证据"),IF(OR(F688="卖出待补仓",F688="提交结果待确认",F688="异常待处理"),"持续跟踪","检查状态")))))</x:f>
      </x:c>
      <x:c r="T688" s="64" t="str">
        <x:f>IF(A688="","",IF(COUNTIF($A$5:$A$1204,A688)&gt;1,"重复",""))</x:f>
      </x:c>
      <x:c r="U688" s="64" t="str">
        <x:f>IF(A688="","",IF(T688="重复","检查重复",IF(OR(R688="有证据",R688="有记录",R688="持续跟踪"),"可追踪","检查")))</x:f>
      </x:c>
    </x:row>
    <x:row r="689">
      <x:c r="A689" s="62"/>
      <x:c r="B689" s="62"/>
      <x:c r="C689" s="62"/>
      <x:c r="D689" s="66"/>
      <x:c r="E689" s="68"/>
      <x:c r="F689" s="62"/>
      <x:c r="G689" s="62"/>
      <x:c r="H689" s="62"/>
      <x:c r="I689" s="62"/>
      <x:c r="J689" s="62"/>
      <x:c r="K689" s="62"/>
      <x:c r="L689" s="62"/>
      <x:c r="M689" s="68"/>
      <x:c r="N689" s="68"/>
      <x:c r="O689" s="68"/>
      <x:c r="P689" s="71" t="str">
        <x:f>IF(A689="","",IF(N689&gt;0,N689,M689))</x:f>
      </x:c>
      <x:c r="Q689" s="72" t="n">
        <x:f>IF(A689="",0,IF(COUNTIF($A$5:A689,A689)=1,1,0))</x:f>
        <x:v>0</x:v>
      </x:c>
      <x:c r="R689" s="64" t="str">
        <x:f>IF(A689="","",IF(F689="C689成功",IF(AND(J689&lt;&gt;"",K689&lt;&gt;"",N689&gt;0),"有证据","缺C689证据"),IF(F689="C689发货确认中",IF(AND(J689&lt;&gt;"",K689&lt;&gt;""),"有证据","缺C689证据"),IF(F689="手动完结",IF(OR(L689&lt;&gt;"",O689&lt;&gt;"",S689&lt;&gt;""),"有记录","缺手工证据"),IF(OR(F689="卖出待补仓",F689="提交结果待确认",F689="异常待处理"),"持续跟踪","检查状态")))))</x:f>
      </x:c>
      <x:c r="T689" s="64" t="str">
        <x:f>IF(A689="","",IF(COUNTIF($A$5:$A$1204,A689)&gt;1,"重复",""))</x:f>
      </x:c>
      <x:c r="U689" s="64" t="str">
        <x:f>IF(A689="","",IF(T689="重复","检查重复",IF(OR(R689="有证据",R689="有记录",R689="持续跟踪"),"可追踪","检查")))</x:f>
      </x:c>
    </x:row>
    <x:row r="690">
      <x:c r="A690" s="62"/>
      <x:c r="B690" s="62"/>
      <x:c r="C690" s="62"/>
      <x:c r="D690" s="66"/>
      <x:c r="E690" s="68"/>
      <x:c r="F690" s="62"/>
      <x:c r="G690" s="62"/>
      <x:c r="H690" s="62"/>
      <x:c r="I690" s="62"/>
      <x:c r="J690" s="62"/>
      <x:c r="K690" s="62"/>
      <x:c r="L690" s="62"/>
      <x:c r="M690" s="68"/>
      <x:c r="N690" s="68"/>
      <x:c r="O690" s="68"/>
      <x:c r="P690" s="71" t="str">
        <x:f>IF(A690="","",IF(N690&gt;0,N690,M690))</x:f>
      </x:c>
      <x:c r="Q690" s="72" t="n">
        <x:f>IF(A690="",0,IF(COUNTIF($A$5:A690,A690)=1,1,0))</x:f>
        <x:v>0</x:v>
      </x:c>
      <x:c r="R690" s="64" t="str">
        <x:f>IF(A690="","",IF(F690="C690成功",IF(AND(J690&lt;&gt;"",K690&lt;&gt;"",N690&gt;0),"有证据","缺C690证据"),IF(F690="C690发货确认中",IF(AND(J690&lt;&gt;"",K690&lt;&gt;""),"有证据","缺C690证据"),IF(F690="手动完结",IF(OR(L690&lt;&gt;"",O690&lt;&gt;"",S690&lt;&gt;""),"有记录","缺手工证据"),IF(OR(F690="卖出待补仓",F690="提交结果待确认",F690="异常待处理"),"持续跟踪","检查状态")))))</x:f>
      </x:c>
      <x:c r="T690" s="64" t="str">
        <x:f>IF(A690="","",IF(COUNTIF($A$5:$A$1204,A690)&gt;1,"重复",""))</x:f>
      </x:c>
      <x:c r="U690" s="64" t="str">
        <x:f>IF(A690="","",IF(T690="重复","检查重复",IF(OR(R690="有证据",R690="有记录",R690="持续跟踪"),"可追踪","检查")))</x:f>
      </x:c>
    </x:row>
    <x:row r="691">
      <x:c r="A691" s="62"/>
      <x:c r="B691" s="62"/>
      <x:c r="C691" s="62"/>
      <x:c r="D691" s="66"/>
      <x:c r="E691" s="68"/>
      <x:c r="F691" s="62"/>
      <x:c r="G691" s="62"/>
      <x:c r="H691" s="62"/>
      <x:c r="I691" s="62"/>
      <x:c r="J691" s="62"/>
      <x:c r="K691" s="62"/>
      <x:c r="L691" s="62"/>
      <x:c r="M691" s="68"/>
      <x:c r="N691" s="68"/>
      <x:c r="O691" s="68"/>
      <x:c r="P691" s="71" t="str">
        <x:f>IF(A691="","",IF(N691&gt;0,N691,M691))</x:f>
      </x:c>
      <x:c r="Q691" s="72" t="n">
        <x:f>IF(A691="",0,IF(COUNTIF($A$5:A691,A691)=1,1,0))</x:f>
        <x:v>0</x:v>
      </x:c>
      <x:c r="R691" s="64" t="str">
        <x:f>IF(A691="","",IF(F691="C691成功",IF(AND(J691&lt;&gt;"",K691&lt;&gt;"",N691&gt;0),"有证据","缺C691证据"),IF(F691="C691发货确认中",IF(AND(J691&lt;&gt;"",K691&lt;&gt;""),"有证据","缺C691证据"),IF(F691="手动完结",IF(OR(L691&lt;&gt;"",O691&lt;&gt;"",S691&lt;&gt;""),"有记录","缺手工证据"),IF(OR(F691="卖出待补仓",F691="提交结果待确认",F691="异常待处理"),"持续跟踪","检查状态")))))</x:f>
      </x:c>
      <x:c r="T691" s="64" t="str">
        <x:f>IF(A691="","",IF(COUNTIF($A$5:$A$1204,A691)&gt;1,"重复",""))</x:f>
      </x:c>
      <x:c r="U691" s="64" t="str">
        <x:f>IF(A691="","",IF(T691="重复","检查重复",IF(OR(R691="有证据",R691="有记录",R691="持续跟踪"),"可追踪","检查")))</x:f>
      </x:c>
    </x:row>
    <x:row r="692">
      <x:c r="A692" s="62"/>
      <x:c r="B692" s="62"/>
      <x:c r="C692" s="62"/>
      <x:c r="D692" s="66"/>
      <x:c r="E692" s="68"/>
      <x:c r="F692" s="62"/>
      <x:c r="G692" s="62"/>
      <x:c r="H692" s="62"/>
      <x:c r="I692" s="62"/>
      <x:c r="J692" s="62"/>
      <x:c r="K692" s="62"/>
      <x:c r="L692" s="62"/>
      <x:c r="M692" s="68"/>
      <x:c r="N692" s="68"/>
      <x:c r="O692" s="68"/>
      <x:c r="P692" s="71" t="str">
        <x:f>IF(A692="","",IF(N692&gt;0,N692,M692))</x:f>
      </x:c>
      <x:c r="Q692" s="72" t="n">
        <x:f>IF(A692="",0,IF(COUNTIF($A$5:A692,A692)=1,1,0))</x:f>
        <x:v>0</x:v>
      </x:c>
      <x:c r="R692" s="64" t="str">
        <x:f>IF(A692="","",IF(F692="C692成功",IF(AND(J692&lt;&gt;"",K692&lt;&gt;"",N692&gt;0),"有证据","缺C692证据"),IF(F692="C692发货确认中",IF(AND(J692&lt;&gt;"",K692&lt;&gt;""),"有证据","缺C692证据"),IF(F692="手动完结",IF(OR(L692&lt;&gt;"",O692&lt;&gt;"",S692&lt;&gt;""),"有记录","缺手工证据"),IF(OR(F692="卖出待补仓",F692="提交结果待确认",F692="异常待处理"),"持续跟踪","检查状态")))))</x:f>
      </x:c>
      <x:c r="T692" s="64" t="str">
        <x:f>IF(A692="","",IF(COUNTIF($A$5:$A$1204,A692)&gt;1,"重复",""))</x:f>
      </x:c>
      <x:c r="U692" s="64" t="str">
        <x:f>IF(A692="","",IF(T692="重复","检查重复",IF(OR(R692="有证据",R692="有记录",R692="持续跟踪"),"可追踪","检查")))</x:f>
      </x:c>
    </x:row>
    <x:row r="693">
      <x:c r="A693" s="62"/>
      <x:c r="B693" s="62"/>
      <x:c r="C693" s="62"/>
      <x:c r="D693" s="66"/>
      <x:c r="E693" s="68"/>
      <x:c r="F693" s="62"/>
      <x:c r="G693" s="62"/>
      <x:c r="H693" s="62"/>
      <x:c r="I693" s="62"/>
      <x:c r="J693" s="62"/>
      <x:c r="K693" s="62"/>
      <x:c r="L693" s="62"/>
      <x:c r="M693" s="68"/>
      <x:c r="N693" s="68"/>
      <x:c r="O693" s="68"/>
      <x:c r="P693" s="71" t="str">
        <x:f>IF(A693="","",IF(N693&gt;0,N693,M693))</x:f>
      </x:c>
      <x:c r="Q693" s="72" t="n">
        <x:f>IF(A693="",0,IF(COUNTIF($A$5:A693,A693)=1,1,0))</x:f>
        <x:v>0</x:v>
      </x:c>
      <x:c r="R693" s="64" t="str">
        <x:f>IF(A693="","",IF(F693="C693成功",IF(AND(J693&lt;&gt;"",K693&lt;&gt;"",N693&gt;0),"有证据","缺C693证据"),IF(F693="C693发货确认中",IF(AND(J693&lt;&gt;"",K693&lt;&gt;""),"有证据","缺C693证据"),IF(F693="手动完结",IF(OR(L693&lt;&gt;"",O693&lt;&gt;"",S693&lt;&gt;""),"有记录","缺手工证据"),IF(OR(F693="卖出待补仓",F693="提交结果待确认",F693="异常待处理"),"持续跟踪","检查状态")))))</x:f>
      </x:c>
      <x:c r="T693" s="64" t="str">
        <x:f>IF(A693="","",IF(COUNTIF($A$5:$A$1204,A693)&gt;1,"重复",""))</x:f>
      </x:c>
      <x:c r="U693" s="64" t="str">
        <x:f>IF(A693="","",IF(T693="重复","检查重复",IF(OR(R693="有证据",R693="有记录",R693="持续跟踪"),"可追踪","检查")))</x:f>
      </x:c>
    </x:row>
    <x:row r="694">
      <x:c r="A694" s="62"/>
      <x:c r="B694" s="62"/>
      <x:c r="C694" s="62"/>
      <x:c r="D694" s="66"/>
      <x:c r="E694" s="68"/>
      <x:c r="F694" s="62"/>
      <x:c r="G694" s="62"/>
      <x:c r="H694" s="62"/>
      <x:c r="I694" s="62"/>
      <x:c r="J694" s="62"/>
      <x:c r="K694" s="62"/>
      <x:c r="L694" s="62"/>
      <x:c r="M694" s="68"/>
      <x:c r="N694" s="68"/>
      <x:c r="O694" s="68"/>
      <x:c r="P694" s="71" t="str">
        <x:f>IF(A694="","",IF(N694&gt;0,N694,M694))</x:f>
      </x:c>
      <x:c r="Q694" s="72" t="n">
        <x:f>IF(A694="",0,IF(COUNTIF($A$5:A694,A694)=1,1,0))</x:f>
        <x:v>0</x:v>
      </x:c>
      <x:c r="R694" s="64" t="str">
        <x:f>IF(A694="","",IF(F694="C694成功",IF(AND(J694&lt;&gt;"",K694&lt;&gt;"",N694&gt;0),"有证据","缺C694证据"),IF(F694="C694发货确认中",IF(AND(J694&lt;&gt;"",K694&lt;&gt;""),"有证据","缺C694证据"),IF(F694="手动完结",IF(OR(L694&lt;&gt;"",O694&lt;&gt;"",S694&lt;&gt;""),"有记录","缺手工证据"),IF(OR(F694="卖出待补仓",F694="提交结果待确认",F694="异常待处理"),"持续跟踪","检查状态")))))</x:f>
      </x:c>
      <x:c r="T694" s="64" t="str">
        <x:f>IF(A694="","",IF(COUNTIF($A$5:$A$1204,A694)&gt;1,"重复",""))</x:f>
      </x:c>
      <x:c r="U694" s="64" t="str">
        <x:f>IF(A694="","",IF(T694="重复","检查重复",IF(OR(R694="有证据",R694="有记录",R694="持续跟踪"),"可追踪","检查")))</x:f>
      </x:c>
    </x:row>
    <x:row r="695">
      <x:c r="A695" s="62"/>
      <x:c r="B695" s="62"/>
      <x:c r="C695" s="62"/>
      <x:c r="D695" s="66"/>
      <x:c r="E695" s="68"/>
      <x:c r="F695" s="62"/>
      <x:c r="G695" s="62"/>
      <x:c r="H695" s="62"/>
      <x:c r="I695" s="62"/>
      <x:c r="J695" s="62"/>
      <x:c r="K695" s="62"/>
      <x:c r="L695" s="62"/>
      <x:c r="M695" s="68"/>
      <x:c r="N695" s="68"/>
      <x:c r="O695" s="68"/>
      <x:c r="P695" s="71" t="str">
        <x:f>IF(A695="","",IF(N695&gt;0,N695,M695))</x:f>
      </x:c>
      <x:c r="Q695" s="72" t="n">
        <x:f>IF(A695="",0,IF(COUNTIF($A$5:A695,A695)=1,1,0))</x:f>
        <x:v>0</x:v>
      </x:c>
      <x:c r="R695" s="64" t="str">
        <x:f>IF(A695="","",IF(F695="C695成功",IF(AND(J695&lt;&gt;"",K695&lt;&gt;"",N695&gt;0),"有证据","缺C695证据"),IF(F695="C695发货确认中",IF(AND(J695&lt;&gt;"",K695&lt;&gt;""),"有证据","缺C695证据"),IF(F695="手动完结",IF(OR(L695&lt;&gt;"",O695&lt;&gt;"",S695&lt;&gt;""),"有记录","缺手工证据"),IF(OR(F695="卖出待补仓",F695="提交结果待确认",F695="异常待处理"),"持续跟踪","检查状态")))))</x:f>
      </x:c>
      <x:c r="T695" s="64" t="str">
        <x:f>IF(A695="","",IF(COUNTIF($A$5:$A$1204,A695)&gt;1,"重复",""))</x:f>
      </x:c>
      <x:c r="U695" s="64" t="str">
        <x:f>IF(A695="","",IF(T695="重复","检查重复",IF(OR(R695="有证据",R695="有记录",R695="持续跟踪"),"可追踪","检查")))</x:f>
      </x:c>
    </x:row>
    <x:row r="696">
      <x:c r="A696" s="62"/>
      <x:c r="B696" s="62"/>
      <x:c r="C696" s="62"/>
      <x:c r="D696" s="66"/>
      <x:c r="E696" s="68"/>
      <x:c r="F696" s="62"/>
      <x:c r="G696" s="62"/>
      <x:c r="H696" s="62"/>
      <x:c r="I696" s="62"/>
      <x:c r="J696" s="62"/>
      <x:c r="K696" s="62"/>
      <x:c r="L696" s="62"/>
      <x:c r="M696" s="68"/>
      <x:c r="N696" s="68"/>
      <x:c r="O696" s="68"/>
      <x:c r="P696" s="71" t="str">
        <x:f>IF(A696="","",IF(N696&gt;0,N696,M696))</x:f>
      </x:c>
      <x:c r="Q696" s="72" t="n">
        <x:f>IF(A696="",0,IF(COUNTIF($A$5:A696,A696)=1,1,0))</x:f>
        <x:v>0</x:v>
      </x:c>
      <x:c r="R696" s="64" t="str">
        <x:f>IF(A696="","",IF(F696="C696成功",IF(AND(J696&lt;&gt;"",K696&lt;&gt;"",N696&gt;0),"有证据","缺C696证据"),IF(F696="C696发货确认中",IF(AND(J696&lt;&gt;"",K696&lt;&gt;""),"有证据","缺C696证据"),IF(F696="手动完结",IF(OR(L696&lt;&gt;"",O696&lt;&gt;"",S696&lt;&gt;""),"有记录","缺手工证据"),IF(OR(F696="卖出待补仓",F696="提交结果待确认",F696="异常待处理"),"持续跟踪","检查状态")))))</x:f>
      </x:c>
      <x:c r="T696" s="64" t="str">
        <x:f>IF(A696="","",IF(COUNTIF($A$5:$A$1204,A696)&gt;1,"重复",""))</x:f>
      </x:c>
      <x:c r="U696" s="64" t="str">
        <x:f>IF(A696="","",IF(T696="重复","检查重复",IF(OR(R696="有证据",R696="有记录",R696="持续跟踪"),"可追踪","检查")))</x:f>
      </x:c>
    </x:row>
    <x:row r="697">
      <x:c r="A697" s="62"/>
      <x:c r="B697" s="62"/>
      <x:c r="C697" s="62"/>
      <x:c r="D697" s="66"/>
      <x:c r="E697" s="68"/>
      <x:c r="F697" s="62"/>
      <x:c r="G697" s="62"/>
      <x:c r="H697" s="62"/>
      <x:c r="I697" s="62"/>
      <x:c r="J697" s="62"/>
      <x:c r="K697" s="62"/>
      <x:c r="L697" s="62"/>
      <x:c r="M697" s="68"/>
      <x:c r="N697" s="68"/>
      <x:c r="O697" s="68"/>
      <x:c r="P697" s="71" t="str">
        <x:f>IF(A697="","",IF(N697&gt;0,N697,M697))</x:f>
      </x:c>
      <x:c r="Q697" s="72" t="n">
        <x:f>IF(A697="",0,IF(COUNTIF($A$5:A697,A697)=1,1,0))</x:f>
        <x:v>0</x:v>
      </x:c>
      <x:c r="R697" s="64" t="str">
        <x:f>IF(A697="","",IF(F697="C697成功",IF(AND(J697&lt;&gt;"",K697&lt;&gt;"",N697&gt;0),"有证据","缺C697证据"),IF(F697="C697发货确认中",IF(AND(J697&lt;&gt;"",K697&lt;&gt;""),"有证据","缺C697证据"),IF(F697="手动完结",IF(OR(L697&lt;&gt;"",O697&lt;&gt;"",S697&lt;&gt;""),"有记录","缺手工证据"),IF(OR(F697="卖出待补仓",F697="提交结果待确认",F697="异常待处理"),"持续跟踪","检查状态")))))</x:f>
      </x:c>
      <x:c r="T697" s="64" t="str">
        <x:f>IF(A697="","",IF(COUNTIF($A$5:$A$1204,A697)&gt;1,"重复",""))</x:f>
      </x:c>
      <x:c r="U697" s="64" t="str">
        <x:f>IF(A697="","",IF(T697="重复","检查重复",IF(OR(R697="有证据",R697="有记录",R697="持续跟踪"),"可追踪","检查")))</x:f>
      </x:c>
    </x:row>
    <x:row r="698">
      <x:c r="A698" s="62"/>
      <x:c r="B698" s="62"/>
      <x:c r="C698" s="62"/>
      <x:c r="D698" s="66"/>
      <x:c r="E698" s="68"/>
      <x:c r="F698" s="62"/>
      <x:c r="G698" s="62"/>
      <x:c r="H698" s="62"/>
      <x:c r="I698" s="62"/>
      <x:c r="J698" s="62"/>
      <x:c r="K698" s="62"/>
      <x:c r="L698" s="62"/>
      <x:c r="M698" s="68"/>
      <x:c r="N698" s="68"/>
      <x:c r="O698" s="68"/>
      <x:c r="P698" s="71" t="str">
        <x:f>IF(A698="","",IF(N698&gt;0,N698,M698))</x:f>
      </x:c>
      <x:c r="Q698" s="72" t="n">
        <x:f>IF(A698="",0,IF(COUNTIF($A$5:A698,A698)=1,1,0))</x:f>
        <x:v>0</x:v>
      </x:c>
      <x:c r="R698" s="64" t="str">
        <x:f>IF(A698="","",IF(F698="C698成功",IF(AND(J698&lt;&gt;"",K698&lt;&gt;"",N698&gt;0),"有证据","缺C698证据"),IF(F698="C698发货确认中",IF(AND(J698&lt;&gt;"",K698&lt;&gt;""),"有证据","缺C698证据"),IF(F698="手动完结",IF(OR(L698&lt;&gt;"",O698&lt;&gt;"",S698&lt;&gt;""),"有记录","缺手工证据"),IF(OR(F698="卖出待补仓",F698="提交结果待确认",F698="异常待处理"),"持续跟踪","检查状态")))))</x:f>
      </x:c>
      <x:c r="T698" s="64" t="str">
        <x:f>IF(A698="","",IF(COUNTIF($A$5:$A$1204,A698)&gt;1,"重复",""))</x:f>
      </x:c>
      <x:c r="U698" s="64" t="str">
        <x:f>IF(A698="","",IF(T698="重复","检查重复",IF(OR(R698="有证据",R698="有记录",R698="持续跟踪"),"可追踪","检查")))</x:f>
      </x:c>
    </x:row>
    <x:row r="699">
      <x:c r="A699" s="62"/>
      <x:c r="B699" s="62"/>
      <x:c r="C699" s="62"/>
      <x:c r="D699" s="66"/>
      <x:c r="E699" s="68"/>
      <x:c r="F699" s="62"/>
      <x:c r="G699" s="62"/>
      <x:c r="H699" s="62"/>
      <x:c r="I699" s="62"/>
      <x:c r="J699" s="62"/>
      <x:c r="K699" s="62"/>
      <x:c r="L699" s="62"/>
      <x:c r="M699" s="68"/>
      <x:c r="N699" s="68"/>
      <x:c r="O699" s="68"/>
      <x:c r="P699" s="71" t="str">
        <x:f>IF(A699="","",IF(N699&gt;0,N699,M699))</x:f>
      </x:c>
      <x:c r="Q699" s="72" t="n">
        <x:f>IF(A699="",0,IF(COUNTIF($A$5:A699,A699)=1,1,0))</x:f>
        <x:v>0</x:v>
      </x:c>
      <x:c r="R699" s="64" t="str">
        <x:f>IF(A699="","",IF(F699="C699成功",IF(AND(J699&lt;&gt;"",K699&lt;&gt;"",N699&gt;0),"有证据","缺C699证据"),IF(F699="C699发货确认中",IF(AND(J699&lt;&gt;"",K699&lt;&gt;""),"有证据","缺C699证据"),IF(F699="手动完结",IF(OR(L699&lt;&gt;"",O699&lt;&gt;"",S699&lt;&gt;""),"有记录","缺手工证据"),IF(OR(F699="卖出待补仓",F699="提交结果待确认",F699="异常待处理"),"持续跟踪","检查状态")))))</x:f>
      </x:c>
      <x:c r="T699" s="64" t="str">
        <x:f>IF(A699="","",IF(COUNTIF($A$5:$A$1204,A699)&gt;1,"重复",""))</x:f>
      </x:c>
      <x:c r="U699" s="64" t="str">
        <x:f>IF(A699="","",IF(T699="重复","检查重复",IF(OR(R699="有证据",R699="有记录",R699="持续跟踪"),"可追踪","检查")))</x:f>
      </x:c>
    </x:row>
    <x:row r="700">
      <x:c r="A700" s="62"/>
      <x:c r="B700" s="62"/>
      <x:c r="C700" s="62"/>
      <x:c r="D700" s="66"/>
      <x:c r="E700" s="68"/>
      <x:c r="F700" s="62"/>
      <x:c r="G700" s="62"/>
      <x:c r="H700" s="62"/>
      <x:c r="I700" s="62"/>
      <x:c r="J700" s="62"/>
      <x:c r="K700" s="62"/>
      <x:c r="L700" s="62"/>
      <x:c r="M700" s="68"/>
      <x:c r="N700" s="68"/>
      <x:c r="O700" s="68"/>
      <x:c r="P700" s="71" t="str">
        <x:f>IF(A700="","",IF(N700&gt;0,N700,M700))</x:f>
      </x:c>
      <x:c r="Q700" s="72" t="n">
        <x:f>IF(A700="",0,IF(COUNTIF($A$5:A700,A700)=1,1,0))</x:f>
        <x:v>0</x:v>
      </x:c>
      <x:c r="R700" s="64" t="str">
        <x:f>IF(A700="","",IF(F700="C700成功",IF(AND(J700&lt;&gt;"",K700&lt;&gt;"",N700&gt;0),"有证据","缺C700证据"),IF(F700="C700发货确认中",IF(AND(J700&lt;&gt;"",K700&lt;&gt;""),"有证据","缺C700证据"),IF(F700="手动完结",IF(OR(L700&lt;&gt;"",O700&lt;&gt;"",S700&lt;&gt;""),"有记录","缺手工证据"),IF(OR(F700="卖出待补仓",F700="提交结果待确认",F700="异常待处理"),"持续跟踪","检查状态")))))</x:f>
      </x:c>
      <x:c r="T700" s="64" t="str">
        <x:f>IF(A700="","",IF(COUNTIF($A$5:$A$1204,A700)&gt;1,"重复",""))</x:f>
      </x:c>
      <x:c r="U700" s="64" t="str">
        <x:f>IF(A700="","",IF(T700="重复","检查重复",IF(OR(R700="有证据",R700="有记录",R700="持续跟踪"),"可追踪","检查")))</x:f>
      </x:c>
    </x:row>
    <x:row r="701">
      <x:c r="A701" s="62"/>
      <x:c r="B701" s="62"/>
      <x:c r="C701" s="62"/>
      <x:c r="D701" s="66"/>
      <x:c r="E701" s="68"/>
      <x:c r="F701" s="62"/>
      <x:c r="G701" s="62"/>
      <x:c r="H701" s="62"/>
      <x:c r="I701" s="62"/>
      <x:c r="J701" s="62"/>
      <x:c r="K701" s="62"/>
      <x:c r="L701" s="62"/>
      <x:c r="M701" s="68"/>
      <x:c r="N701" s="68"/>
      <x:c r="O701" s="68"/>
      <x:c r="P701" s="71" t="str">
        <x:f>IF(A701="","",IF(N701&gt;0,N701,M701))</x:f>
      </x:c>
      <x:c r="Q701" s="72" t="n">
        <x:f>IF(A701="",0,IF(COUNTIF($A$5:A701,A701)=1,1,0))</x:f>
        <x:v>0</x:v>
      </x:c>
      <x:c r="R701" s="64" t="str">
        <x:f>IF(A701="","",IF(F701="C701成功",IF(AND(J701&lt;&gt;"",K701&lt;&gt;"",N701&gt;0),"有证据","缺C701证据"),IF(F701="C701发货确认中",IF(AND(J701&lt;&gt;"",K701&lt;&gt;""),"有证据","缺C701证据"),IF(F701="手动完结",IF(OR(L701&lt;&gt;"",O701&lt;&gt;"",S701&lt;&gt;""),"有记录","缺手工证据"),IF(OR(F701="卖出待补仓",F701="提交结果待确认",F701="异常待处理"),"持续跟踪","检查状态")))))</x:f>
      </x:c>
      <x:c r="T701" s="64" t="str">
        <x:f>IF(A701="","",IF(COUNTIF($A$5:$A$1204,A701)&gt;1,"重复",""))</x:f>
      </x:c>
      <x:c r="U701" s="64" t="str">
        <x:f>IF(A701="","",IF(T701="重复","检查重复",IF(OR(R701="有证据",R701="有记录",R701="持续跟踪"),"可追踪","检查")))</x:f>
      </x:c>
    </x:row>
    <x:row r="702">
      <x:c r="A702" s="62"/>
      <x:c r="B702" s="62"/>
      <x:c r="C702" s="62"/>
      <x:c r="D702" s="66"/>
      <x:c r="E702" s="68"/>
      <x:c r="F702" s="62"/>
      <x:c r="G702" s="62"/>
      <x:c r="H702" s="62"/>
      <x:c r="I702" s="62"/>
      <x:c r="J702" s="62"/>
      <x:c r="K702" s="62"/>
      <x:c r="L702" s="62"/>
      <x:c r="M702" s="68"/>
      <x:c r="N702" s="68"/>
      <x:c r="O702" s="68"/>
      <x:c r="P702" s="71" t="str">
        <x:f>IF(A702="","",IF(N702&gt;0,N702,M702))</x:f>
      </x:c>
      <x:c r="Q702" s="72" t="n">
        <x:f>IF(A702="",0,IF(COUNTIF($A$5:A702,A702)=1,1,0))</x:f>
        <x:v>0</x:v>
      </x:c>
      <x:c r="R702" s="64" t="str">
        <x:f>IF(A702="","",IF(F702="C702成功",IF(AND(J702&lt;&gt;"",K702&lt;&gt;"",N702&gt;0),"有证据","缺C702证据"),IF(F702="C702发货确认中",IF(AND(J702&lt;&gt;"",K702&lt;&gt;""),"有证据","缺C702证据"),IF(F702="手动完结",IF(OR(L702&lt;&gt;"",O702&lt;&gt;"",S702&lt;&gt;""),"有记录","缺手工证据"),IF(OR(F702="卖出待补仓",F702="提交结果待确认",F702="异常待处理"),"持续跟踪","检查状态")))))</x:f>
      </x:c>
      <x:c r="T702" s="64" t="str">
        <x:f>IF(A702="","",IF(COUNTIF($A$5:$A$1204,A702)&gt;1,"重复",""))</x:f>
      </x:c>
      <x:c r="U702" s="64" t="str">
        <x:f>IF(A702="","",IF(T702="重复","检查重复",IF(OR(R702="有证据",R702="有记录",R702="持续跟踪"),"可追踪","检查")))</x:f>
      </x:c>
    </x:row>
    <x:row r="703">
      <x:c r="A703" s="62"/>
      <x:c r="B703" s="62"/>
      <x:c r="C703" s="62"/>
      <x:c r="D703" s="66"/>
      <x:c r="E703" s="68"/>
      <x:c r="F703" s="62"/>
      <x:c r="G703" s="62"/>
      <x:c r="H703" s="62"/>
      <x:c r="I703" s="62"/>
      <x:c r="J703" s="62"/>
      <x:c r="K703" s="62"/>
      <x:c r="L703" s="62"/>
      <x:c r="M703" s="68"/>
      <x:c r="N703" s="68"/>
      <x:c r="O703" s="68"/>
      <x:c r="P703" s="71" t="str">
        <x:f>IF(A703="","",IF(N703&gt;0,N703,M703))</x:f>
      </x:c>
      <x:c r="Q703" s="72" t="n">
        <x:f>IF(A703="",0,IF(COUNTIF($A$5:A703,A703)=1,1,0))</x:f>
        <x:v>0</x:v>
      </x:c>
      <x:c r="R703" s="64" t="str">
        <x:f>IF(A703="","",IF(F703="C703成功",IF(AND(J703&lt;&gt;"",K703&lt;&gt;"",N703&gt;0),"有证据","缺C703证据"),IF(F703="C703发货确认中",IF(AND(J703&lt;&gt;"",K703&lt;&gt;""),"有证据","缺C703证据"),IF(F703="手动完结",IF(OR(L703&lt;&gt;"",O703&lt;&gt;"",S703&lt;&gt;""),"有记录","缺手工证据"),IF(OR(F703="卖出待补仓",F703="提交结果待确认",F703="异常待处理"),"持续跟踪","检查状态")))))</x:f>
      </x:c>
      <x:c r="T703" s="64" t="str">
        <x:f>IF(A703="","",IF(COUNTIF($A$5:$A$1204,A703)&gt;1,"重复",""))</x:f>
      </x:c>
      <x:c r="U703" s="64" t="str">
        <x:f>IF(A703="","",IF(T703="重复","检查重复",IF(OR(R703="有证据",R703="有记录",R703="持续跟踪"),"可追踪","检查")))</x:f>
      </x:c>
    </x:row>
    <x:row r="704">
      <x:c r="A704" s="62"/>
      <x:c r="B704" s="62"/>
      <x:c r="C704" s="62"/>
      <x:c r="D704" s="66"/>
      <x:c r="E704" s="68"/>
      <x:c r="F704" s="62"/>
      <x:c r="G704" s="62"/>
      <x:c r="H704" s="62"/>
      <x:c r="I704" s="62"/>
      <x:c r="J704" s="62"/>
      <x:c r="K704" s="62"/>
      <x:c r="L704" s="62"/>
      <x:c r="M704" s="68"/>
      <x:c r="N704" s="68"/>
      <x:c r="O704" s="68"/>
      <x:c r="P704" s="71" t="str">
        <x:f>IF(A704="","",IF(N704&gt;0,N704,M704))</x:f>
      </x:c>
      <x:c r="Q704" s="72" t="n">
        <x:f>IF(A704="",0,IF(COUNTIF($A$5:A704,A704)=1,1,0))</x:f>
        <x:v>0</x:v>
      </x:c>
      <x:c r="R704" s="64" t="str">
        <x:f>IF(A704="","",IF(F704="C704成功",IF(AND(J704&lt;&gt;"",K704&lt;&gt;"",N704&gt;0),"有证据","缺C704证据"),IF(F704="C704发货确认中",IF(AND(J704&lt;&gt;"",K704&lt;&gt;""),"有证据","缺C704证据"),IF(F704="手动完结",IF(OR(L704&lt;&gt;"",O704&lt;&gt;"",S704&lt;&gt;""),"有记录","缺手工证据"),IF(OR(F704="卖出待补仓",F704="提交结果待确认",F704="异常待处理"),"持续跟踪","检查状态")))))</x:f>
      </x:c>
      <x:c r="T704" s="64" t="str">
        <x:f>IF(A704="","",IF(COUNTIF($A$5:$A$1204,A704)&gt;1,"重复",""))</x:f>
      </x:c>
      <x:c r="U704" s="64" t="str">
        <x:f>IF(A704="","",IF(T704="重复","检查重复",IF(OR(R704="有证据",R704="有记录",R704="持续跟踪"),"可追踪","检查")))</x:f>
      </x:c>
    </x:row>
    <x:row r="705">
      <x:c r="A705" s="62"/>
      <x:c r="B705" s="62"/>
      <x:c r="C705" s="62"/>
      <x:c r="D705" s="66"/>
      <x:c r="E705" s="68"/>
      <x:c r="F705" s="62"/>
      <x:c r="G705" s="62"/>
      <x:c r="H705" s="62"/>
      <x:c r="I705" s="62"/>
      <x:c r="J705" s="62"/>
      <x:c r="K705" s="62"/>
      <x:c r="L705" s="62"/>
      <x:c r="M705" s="68"/>
      <x:c r="N705" s="68"/>
      <x:c r="O705" s="68"/>
      <x:c r="P705" s="71" t="str">
        <x:f>IF(A705="","",IF(N705&gt;0,N705,M705))</x:f>
      </x:c>
      <x:c r="Q705" s="72" t="n">
        <x:f>IF(A705="",0,IF(COUNTIF($A$5:A705,A705)=1,1,0))</x:f>
        <x:v>0</x:v>
      </x:c>
      <x:c r="R705" s="64" t="str">
        <x:f>IF(A705="","",IF(F705="C705成功",IF(AND(J705&lt;&gt;"",K705&lt;&gt;"",N705&gt;0),"有证据","缺C705证据"),IF(F705="C705发货确认中",IF(AND(J705&lt;&gt;"",K705&lt;&gt;""),"有证据","缺C705证据"),IF(F705="手动完结",IF(OR(L705&lt;&gt;"",O705&lt;&gt;"",S705&lt;&gt;""),"有记录","缺手工证据"),IF(OR(F705="卖出待补仓",F705="提交结果待确认",F705="异常待处理"),"持续跟踪","检查状态")))))</x:f>
      </x:c>
      <x:c r="T705" s="64" t="str">
        <x:f>IF(A705="","",IF(COUNTIF($A$5:$A$1204,A705)&gt;1,"重复",""))</x:f>
      </x:c>
      <x:c r="U705" s="64" t="str">
        <x:f>IF(A705="","",IF(T705="重复","检查重复",IF(OR(R705="有证据",R705="有记录",R705="持续跟踪"),"可追踪","检查")))</x:f>
      </x:c>
    </x:row>
    <x:row r="706">
      <x:c r="A706" s="62"/>
      <x:c r="B706" s="62"/>
      <x:c r="C706" s="62"/>
      <x:c r="D706" s="66"/>
      <x:c r="E706" s="68"/>
      <x:c r="F706" s="62"/>
      <x:c r="G706" s="62"/>
      <x:c r="H706" s="62"/>
      <x:c r="I706" s="62"/>
      <x:c r="J706" s="62"/>
      <x:c r="K706" s="62"/>
      <x:c r="L706" s="62"/>
      <x:c r="M706" s="68"/>
      <x:c r="N706" s="68"/>
      <x:c r="O706" s="68"/>
      <x:c r="P706" s="71" t="str">
        <x:f>IF(A706="","",IF(N706&gt;0,N706,M706))</x:f>
      </x:c>
      <x:c r="Q706" s="72" t="n">
        <x:f>IF(A706="",0,IF(COUNTIF($A$5:A706,A706)=1,1,0))</x:f>
        <x:v>0</x:v>
      </x:c>
      <x:c r="R706" s="64" t="str">
        <x:f>IF(A706="","",IF(F706="C706成功",IF(AND(J706&lt;&gt;"",K706&lt;&gt;"",N706&gt;0),"有证据","缺C706证据"),IF(F706="C706发货确认中",IF(AND(J706&lt;&gt;"",K706&lt;&gt;""),"有证据","缺C706证据"),IF(F706="手动完结",IF(OR(L706&lt;&gt;"",O706&lt;&gt;"",S706&lt;&gt;""),"有记录","缺手工证据"),IF(OR(F706="卖出待补仓",F706="提交结果待确认",F706="异常待处理"),"持续跟踪","检查状态")))))</x:f>
      </x:c>
      <x:c r="T706" s="64" t="str">
        <x:f>IF(A706="","",IF(COUNTIF($A$5:$A$1204,A706)&gt;1,"重复",""))</x:f>
      </x:c>
      <x:c r="U706" s="64" t="str">
        <x:f>IF(A706="","",IF(T706="重复","检查重复",IF(OR(R706="有证据",R706="有记录",R706="持续跟踪"),"可追踪","检查")))</x:f>
      </x:c>
    </x:row>
    <x:row r="707">
      <x:c r="A707" s="62"/>
      <x:c r="B707" s="62"/>
      <x:c r="C707" s="62"/>
      <x:c r="D707" s="66"/>
      <x:c r="E707" s="68"/>
      <x:c r="F707" s="62"/>
      <x:c r="G707" s="62"/>
      <x:c r="H707" s="62"/>
      <x:c r="I707" s="62"/>
      <x:c r="J707" s="62"/>
      <x:c r="K707" s="62"/>
      <x:c r="L707" s="62"/>
      <x:c r="M707" s="68"/>
      <x:c r="N707" s="68"/>
      <x:c r="O707" s="68"/>
      <x:c r="P707" s="71" t="str">
        <x:f>IF(A707="","",IF(N707&gt;0,N707,M707))</x:f>
      </x:c>
      <x:c r="Q707" s="72" t="n">
        <x:f>IF(A707="",0,IF(COUNTIF($A$5:A707,A707)=1,1,0))</x:f>
        <x:v>0</x:v>
      </x:c>
      <x:c r="R707" s="64" t="str">
        <x:f>IF(A707="","",IF(F707="C707成功",IF(AND(J707&lt;&gt;"",K707&lt;&gt;"",N707&gt;0),"有证据","缺C707证据"),IF(F707="C707发货确认中",IF(AND(J707&lt;&gt;"",K707&lt;&gt;""),"有证据","缺C707证据"),IF(F707="手动完结",IF(OR(L707&lt;&gt;"",O707&lt;&gt;"",S707&lt;&gt;""),"有记录","缺手工证据"),IF(OR(F707="卖出待补仓",F707="提交结果待确认",F707="异常待处理"),"持续跟踪","检查状态")))))</x:f>
      </x:c>
      <x:c r="T707" s="64" t="str">
        <x:f>IF(A707="","",IF(COUNTIF($A$5:$A$1204,A707)&gt;1,"重复",""))</x:f>
      </x:c>
      <x:c r="U707" s="64" t="str">
        <x:f>IF(A707="","",IF(T707="重复","检查重复",IF(OR(R707="有证据",R707="有记录",R707="持续跟踪"),"可追踪","检查")))</x:f>
      </x:c>
    </x:row>
    <x:row r="708">
      <x:c r="A708" s="62"/>
      <x:c r="B708" s="62"/>
      <x:c r="C708" s="62"/>
      <x:c r="D708" s="66"/>
      <x:c r="E708" s="68"/>
      <x:c r="F708" s="62"/>
      <x:c r="G708" s="62"/>
      <x:c r="H708" s="62"/>
      <x:c r="I708" s="62"/>
      <x:c r="J708" s="62"/>
      <x:c r="K708" s="62"/>
      <x:c r="L708" s="62"/>
      <x:c r="M708" s="68"/>
      <x:c r="N708" s="68"/>
      <x:c r="O708" s="68"/>
      <x:c r="P708" s="71" t="str">
        <x:f>IF(A708="","",IF(N708&gt;0,N708,M708))</x:f>
      </x:c>
      <x:c r="Q708" s="72" t="n">
        <x:f>IF(A708="",0,IF(COUNTIF($A$5:A708,A708)=1,1,0))</x:f>
        <x:v>0</x:v>
      </x:c>
      <x:c r="R708" s="64" t="str">
        <x:f>IF(A708="","",IF(F708="C708成功",IF(AND(J708&lt;&gt;"",K708&lt;&gt;"",N708&gt;0),"有证据","缺C708证据"),IF(F708="C708发货确认中",IF(AND(J708&lt;&gt;"",K708&lt;&gt;""),"有证据","缺C708证据"),IF(F708="手动完结",IF(OR(L708&lt;&gt;"",O708&lt;&gt;"",S708&lt;&gt;""),"有记录","缺手工证据"),IF(OR(F708="卖出待补仓",F708="提交结果待确认",F708="异常待处理"),"持续跟踪","检查状态")))))</x:f>
      </x:c>
      <x:c r="T708" s="64" t="str">
        <x:f>IF(A708="","",IF(COUNTIF($A$5:$A$1204,A708)&gt;1,"重复",""))</x:f>
      </x:c>
      <x:c r="U708" s="64" t="str">
        <x:f>IF(A708="","",IF(T708="重复","检查重复",IF(OR(R708="有证据",R708="有记录",R708="持续跟踪"),"可追踪","检查")))</x:f>
      </x:c>
    </x:row>
    <x:row r="709">
      <x:c r="A709" s="62"/>
      <x:c r="B709" s="62"/>
      <x:c r="C709" s="62"/>
      <x:c r="D709" s="66"/>
      <x:c r="E709" s="68"/>
      <x:c r="F709" s="62"/>
      <x:c r="G709" s="62"/>
      <x:c r="H709" s="62"/>
      <x:c r="I709" s="62"/>
      <x:c r="J709" s="62"/>
      <x:c r="K709" s="62"/>
      <x:c r="L709" s="62"/>
      <x:c r="M709" s="68"/>
      <x:c r="N709" s="68"/>
      <x:c r="O709" s="68"/>
      <x:c r="P709" s="71" t="str">
        <x:f>IF(A709="","",IF(N709&gt;0,N709,M709))</x:f>
      </x:c>
      <x:c r="Q709" s="72" t="n">
        <x:f>IF(A709="",0,IF(COUNTIF($A$5:A709,A709)=1,1,0))</x:f>
        <x:v>0</x:v>
      </x:c>
      <x:c r="R709" s="64" t="str">
        <x:f>IF(A709="","",IF(F709="C709成功",IF(AND(J709&lt;&gt;"",K709&lt;&gt;"",N709&gt;0),"有证据","缺C709证据"),IF(F709="C709发货确认中",IF(AND(J709&lt;&gt;"",K709&lt;&gt;""),"有证据","缺C709证据"),IF(F709="手动完结",IF(OR(L709&lt;&gt;"",O709&lt;&gt;"",S709&lt;&gt;""),"有记录","缺手工证据"),IF(OR(F709="卖出待补仓",F709="提交结果待确认",F709="异常待处理"),"持续跟踪","检查状态")))))</x:f>
      </x:c>
      <x:c r="T709" s="64" t="str">
        <x:f>IF(A709="","",IF(COUNTIF($A$5:$A$1204,A709)&gt;1,"重复",""))</x:f>
      </x:c>
      <x:c r="U709" s="64" t="str">
        <x:f>IF(A709="","",IF(T709="重复","检查重复",IF(OR(R709="有证据",R709="有记录",R709="持续跟踪"),"可追踪","检查")))</x:f>
      </x:c>
    </x:row>
    <x:row r="710">
      <x:c r="A710" s="62"/>
      <x:c r="B710" s="62"/>
      <x:c r="C710" s="62"/>
      <x:c r="D710" s="66"/>
      <x:c r="E710" s="68"/>
      <x:c r="F710" s="62"/>
      <x:c r="G710" s="62"/>
      <x:c r="H710" s="62"/>
      <x:c r="I710" s="62"/>
      <x:c r="J710" s="62"/>
      <x:c r="K710" s="62"/>
      <x:c r="L710" s="62"/>
      <x:c r="M710" s="68"/>
      <x:c r="N710" s="68"/>
      <x:c r="O710" s="68"/>
      <x:c r="P710" s="71" t="str">
        <x:f>IF(A710="","",IF(N710&gt;0,N710,M710))</x:f>
      </x:c>
      <x:c r="Q710" s="72" t="n">
        <x:f>IF(A710="",0,IF(COUNTIF($A$5:A710,A710)=1,1,0))</x:f>
        <x:v>0</x:v>
      </x:c>
      <x:c r="R710" s="64" t="str">
        <x:f>IF(A710="","",IF(F710="C710成功",IF(AND(J710&lt;&gt;"",K710&lt;&gt;"",N710&gt;0),"有证据","缺C710证据"),IF(F710="C710发货确认中",IF(AND(J710&lt;&gt;"",K710&lt;&gt;""),"有证据","缺C710证据"),IF(F710="手动完结",IF(OR(L710&lt;&gt;"",O710&lt;&gt;"",S710&lt;&gt;""),"有记录","缺手工证据"),IF(OR(F710="卖出待补仓",F710="提交结果待确认",F710="异常待处理"),"持续跟踪","检查状态")))))</x:f>
      </x:c>
      <x:c r="T710" s="64" t="str">
        <x:f>IF(A710="","",IF(COUNTIF($A$5:$A$1204,A710)&gt;1,"重复",""))</x:f>
      </x:c>
      <x:c r="U710" s="64" t="str">
        <x:f>IF(A710="","",IF(T710="重复","检查重复",IF(OR(R710="有证据",R710="有记录",R710="持续跟踪"),"可追踪","检查")))</x:f>
      </x:c>
    </x:row>
    <x:row r="711">
      <x:c r="A711" s="62"/>
      <x:c r="B711" s="62"/>
      <x:c r="C711" s="62"/>
      <x:c r="D711" s="66"/>
      <x:c r="E711" s="68"/>
      <x:c r="F711" s="62"/>
      <x:c r="G711" s="62"/>
      <x:c r="H711" s="62"/>
      <x:c r="I711" s="62"/>
      <x:c r="J711" s="62"/>
      <x:c r="K711" s="62"/>
      <x:c r="L711" s="62"/>
      <x:c r="M711" s="68"/>
      <x:c r="N711" s="68"/>
      <x:c r="O711" s="68"/>
      <x:c r="P711" s="71" t="str">
        <x:f>IF(A711="","",IF(N711&gt;0,N711,M711))</x:f>
      </x:c>
      <x:c r="Q711" s="72" t="n">
        <x:f>IF(A711="",0,IF(COUNTIF($A$5:A711,A711)=1,1,0))</x:f>
        <x:v>0</x:v>
      </x:c>
      <x:c r="R711" s="64" t="str">
        <x:f>IF(A711="","",IF(F711="C711成功",IF(AND(J711&lt;&gt;"",K711&lt;&gt;"",N711&gt;0),"有证据","缺C711证据"),IF(F711="C711发货确认中",IF(AND(J711&lt;&gt;"",K711&lt;&gt;""),"有证据","缺C711证据"),IF(F711="手动完结",IF(OR(L711&lt;&gt;"",O711&lt;&gt;"",S711&lt;&gt;""),"有记录","缺手工证据"),IF(OR(F711="卖出待补仓",F711="提交结果待确认",F711="异常待处理"),"持续跟踪","检查状态")))))</x:f>
      </x:c>
      <x:c r="T711" s="64" t="str">
        <x:f>IF(A711="","",IF(COUNTIF($A$5:$A$1204,A711)&gt;1,"重复",""))</x:f>
      </x:c>
      <x:c r="U711" s="64" t="str">
        <x:f>IF(A711="","",IF(T711="重复","检查重复",IF(OR(R711="有证据",R711="有记录",R711="持续跟踪"),"可追踪","检查")))</x:f>
      </x:c>
    </x:row>
    <x:row r="712">
      <x:c r="A712" s="62"/>
      <x:c r="B712" s="62"/>
      <x:c r="C712" s="62"/>
      <x:c r="D712" s="66"/>
      <x:c r="E712" s="68"/>
      <x:c r="F712" s="62"/>
      <x:c r="G712" s="62"/>
      <x:c r="H712" s="62"/>
      <x:c r="I712" s="62"/>
      <x:c r="J712" s="62"/>
      <x:c r="K712" s="62"/>
      <x:c r="L712" s="62"/>
      <x:c r="M712" s="68"/>
      <x:c r="N712" s="68"/>
      <x:c r="O712" s="68"/>
      <x:c r="P712" s="71" t="str">
        <x:f>IF(A712="","",IF(N712&gt;0,N712,M712))</x:f>
      </x:c>
      <x:c r="Q712" s="72" t="n">
        <x:f>IF(A712="",0,IF(COUNTIF($A$5:A712,A712)=1,1,0))</x:f>
        <x:v>0</x:v>
      </x:c>
      <x:c r="R712" s="64" t="str">
        <x:f>IF(A712="","",IF(F712="C712成功",IF(AND(J712&lt;&gt;"",K712&lt;&gt;"",N712&gt;0),"有证据","缺C712证据"),IF(F712="C712发货确认中",IF(AND(J712&lt;&gt;"",K712&lt;&gt;""),"有证据","缺C712证据"),IF(F712="手动完结",IF(OR(L712&lt;&gt;"",O712&lt;&gt;"",S712&lt;&gt;""),"有记录","缺手工证据"),IF(OR(F712="卖出待补仓",F712="提交结果待确认",F712="异常待处理"),"持续跟踪","检查状态")))))</x:f>
      </x:c>
      <x:c r="T712" s="64" t="str">
        <x:f>IF(A712="","",IF(COUNTIF($A$5:$A$1204,A712)&gt;1,"重复",""))</x:f>
      </x:c>
      <x:c r="U712" s="64" t="str">
        <x:f>IF(A712="","",IF(T712="重复","检查重复",IF(OR(R712="有证据",R712="有记录",R712="持续跟踪"),"可追踪","检查")))</x:f>
      </x:c>
    </x:row>
    <x:row r="713">
      <x:c r="A713" s="62"/>
      <x:c r="B713" s="62"/>
      <x:c r="C713" s="62"/>
      <x:c r="D713" s="66"/>
      <x:c r="E713" s="68"/>
      <x:c r="F713" s="62"/>
      <x:c r="G713" s="62"/>
      <x:c r="H713" s="62"/>
      <x:c r="I713" s="62"/>
      <x:c r="J713" s="62"/>
      <x:c r="K713" s="62"/>
      <x:c r="L713" s="62"/>
      <x:c r="M713" s="68"/>
      <x:c r="N713" s="68"/>
      <x:c r="O713" s="68"/>
      <x:c r="P713" s="71" t="str">
        <x:f>IF(A713="","",IF(N713&gt;0,N713,M713))</x:f>
      </x:c>
      <x:c r="Q713" s="72" t="n">
        <x:f>IF(A713="",0,IF(COUNTIF($A$5:A713,A713)=1,1,0))</x:f>
        <x:v>0</x:v>
      </x:c>
      <x:c r="R713" s="64" t="str">
        <x:f>IF(A713="","",IF(F713="C713成功",IF(AND(J713&lt;&gt;"",K713&lt;&gt;"",N713&gt;0),"有证据","缺C713证据"),IF(F713="C713发货确认中",IF(AND(J713&lt;&gt;"",K713&lt;&gt;""),"有证据","缺C713证据"),IF(F713="手动完结",IF(OR(L713&lt;&gt;"",O713&lt;&gt;"",S713&lt;&gt;""),"有记录","缺手工证据"),IF(OR(F713="卖出待补仓",F713="提交结果待确认",F713="异常待处理"),"持续跟踪","检查状态")))))</x:f>
      </x:c>
      <x:c r="T713" s="64" t="str">
        <x:f>IF(A713="","",IF(COUNTIF($A$5:$A$1204,A713)&gt;1,"重复",""))</x:f>
      </x:c>
      <x:c r="U713" s="64" t="str">
        <x:f>IF(A713="","",IF(T713="重复","检查重复",IF(OR(R713="有证据",R713="有记录",R713="持续跟踪"),"可追踪","检查")))</x:f>
      </x:c>
    </x:row>
    <x:row r="714">
      <x:c r="A714" s="62"/>
      <x:c r="B714" s="62"/>
      <x:c r="C714" s="62"/>
      <x:c r="D714" s="66"/>
      <x:c r="E714" s="68"/>
      <x:c r="F714" s="62"/>
      <x:c r="G714" s="62"/>
      <x:c r="H714" s="62"/>
      <x:c r="I714" s="62"/>
      <x:c r="J714" s="62"/>
      <x:c r="K714" s="62"/>
      <x:c r="L714" s="62"/>
      <x:c r="M714" s="68"/>
      <x:c r="N714" s="68"/>
      <x:c r="O714" s="68"/>
      <x:c r="P714" s="71" t="str">
        <x:f>IF(A714="","",IF(N714&gt;0,N714,M714))</x:f>
      </x:c>
      <x:c r="Q714" s="72" t="n">
        <x:f>IF(A714="",0,IF(COUNTIF($A$5:A714,A714)=1,1,0))</x:f>
        <x:v>0</x:v>
      </x:c>
      <x:c r="R714" s="64" t="str">
        <x:f>IF(A714="","",IF(F714="C714成功",IF(AND(J714&lt;&gt;"",K714&lt;&gt;"",N714&gt;0),"有证据","缺C714证据"),IF(F714="C714发货确认中",IF(AND(J714&lt;&gt;"",K714&lt;&gt;""),"有证据","缺C714证据"),IF(F714="手动完结",IF(OR(L714&lt;&gt;"",O714&lt;&gt;"",S714&lt;&gt;""),"有记录","缺手工证据"),IF(OR(F714="卖出待补仓",F714="提交结果待确认",F714="异常待处理"),"持续跟踪","检查状态")))))</x:f>
      </x:c>
      <x:c r="T714" s="64" t="str">
        <x:f>IF(A714="","",IF(COUNTIF($A$5:$A$1204,A714)&gt;1,"重复",""))</x:f>
      </x:c>
      <x:c r="U714" s="64" t="str">
        <x:f>IF(A714="","",IF(T714="重复","检查重复",IF(OR(R714="有证据",R714="有记录",R714="持续跟踪"),"可追踪","检查")))</x:f>
      </x:c>
    </x:row>
    <x:row r="715">
      <x:c r="A715" s="62"/>
      <x:c r="B715" s="62"/>
      <x:c r="C715" s="62"/>
      <x:c r="D715" s="66"/>
      <x:c r="E715" s="68"/>
      <x:c r="F715" s="62"/>
      <x:c r="G715" s="62"/>
      <x:c r="H715" s="62"/>
      <x:c r="I715" s="62"/>
      <x:c r="J715" s="62"/>
      <x:c r="K715" s="62"/>
      <x:c r="L715" s="62"/>
      <x:c r="M715" s="68"/>
      <x:c r="N715" s="68"/>
      <x:c r="O715" s="68"/>
      <x:c r="P715" s="71" t="str">
        <x:f>IF(A715="","",IF(N715&gt;0,N715,M715))</x:f>
      </x:c>
      <x:c r="Q715" s="72" t="n">
        <x:f>IF(A715="",0,IF(COUNTIF($A$5:A715,A715)=1,1,0))</x:f>
        <x:v>0</x:v>
      </x:c>
      <x:c r="R715" s="64" t="str">
        <x:f>IF(A715="","",IF(F715="C715成功",IF(AND(J715&lt;&gt;"",K715&lt;&gt;"",N715&gt;0),"有证据","缺C715证据"),IF(F715="C715发货确认中",IF(AND(J715&lt;&gt;"",K715&lt;&gt;""),"有证据","缺C715证据"),IF(F715="手动完结",IF(OR(L715&lt;&gt;"",O715&lt;&gt;"",S715&lt;&gt;""),"有记录","缺手工证据"),IF(OR(F715="卖出待补仓",F715="提交结果待确认",F715="异常待处理"),"持续跟踪","检查状态")))))</x:f>
      </x:c>
      <x:c r="T715" s="64" t="str">
        <x:f>IF(A715="","",IF(COUNTIF($A$5:$A$1204,A715)&gt;1,"重复",""))</x:f>
      </x:c>
      <x:c r="U715" s="64" t="str">
        <x:f>IF(A715="","",IF(T715="重复","检查重复",IF(OR(R715="有证据",R715="有记录",R715="持续跟踪"),"可追踪","检查")))</x:f>
      </x:c>
    </x:row>
    <x:row r="716">
      <x:c r="A716" s="62"/>
      <x:c r="B716" s="62"/>
      <x:c r="C716" s="62"/>
      <x:c r="D716" s="66"/>
      <x:c r="E716" s="68"/>
      <x:c r="F716" s="62"/>
      <x:c r="G716" s="62"/>
      <x:c r="H716" s="62"/>
      <x:c r="I716" s="62"/>
      <x:c r="J716" s="62"/>
      <x:c r="K716" s="62"/>
      <x:c r="L716" s="62"/>
      <x:c r="M716" s="68"/>
      <x:c r="N716" s="68"/>
      <x:c r="O716" s="68"/>
      <x:c r="P716" s="71" t="str">
        <x:f>IF(A716="","",IF(N716&gt;0,N716,M716))</x:f>
      </x:c>
      <x:c r="Q716" s="72" t="n">
        <x:f>IF(A716="",0,IF(COUNTIF($A$5:A716,A716)=1,1,0))</x:f>
        <x:v>0</x:v>
      </x:c>
      <x:c r="R716" s="64" t="str">
        <x:f>IF(A716="","",IF(F716="C716成功",IF(AND(J716&lt;&gt;"",K716&lt;&gt;"",N716&gt;0),"有证据","缺C716证据"),IF(F716="C716发货确认中",IF(AND(J716&lt;&gt;"",K716&lt;&gt;""),"有证据","缺C716证据"),IF(F716="手动完结",IF(OR(L716&lt;&gt;"",O716&lt;&gt;"",S716&lt;&gt;""),"有记录","缺手工证据"),IF(OR(F716="卖出待补仓",F716="提交结果待确认",F716="异常待处理"),"持续跟踪","检查状态")))))</x:f>
      </x:c>
      <x:c r="T716" s="64" t="str">
        <x:f>IF(A716="","",IF(COUNTIF($A$5:$A$1204,A716)&gt;1,"重复",""))</x:f>
      </x:c>
      <x:c r="U716" s="64" t="str">
        <x:f>IF(A716="","",IF(T716="重复","检查重复",IF(OR(R716="有证据",R716="有记录",R716="持续跟踪"),"可追踪","检查")))</x:f>
      </x:c>
    </x:row>
    <x:row r="717">
      <x:c r="A717" s="62"/>
      <x:c r="B717" s="62"/>
      <x:c r="C717" s="62"/>
      <x:c r="D717" s="66"/>
      <x:c r="E717" s="68"/>
      <x:c r="F717" s="62"/>
      <x:c r="G717" s="62"/>
      <x:c r="H717" s="62"/>
      <x:c r="I717" s="62"/>
      <x:c r="J717" s="62"/>
      <x:c r="K717" s="62"/>
      <x:c r="L717" s="62"/>
      <x:c r="M717" s="68"/>
      <x:c r="N717" s="68"/>
      <x:c r="O717" s="68"/>
      <x:c r="P717" s="71" t="str">
        <x:f>IF(A717="","",IF(N717&gt;0,N717,M717))</x:f>
      </x:c>
      <x:c r="Q717" s="72" t="n">
        <x:f>IF(A717="",0,IF(COUNTIF($A$5:A717,A717)=1,1,0))</x:f>
        <x:v>0</x:v>
      </x:c>
      <x:c r="R717" s="64" t="str">
        <x:f>IF(A717="","",IF(F717="C717成功",IF(AND(J717&lt;&gt;"",K717&lt;&gt;"",N717&gt;0),"有证据","缺C717证据"),IF(F717="C717发货确认中",IF(AND(J717&lt;&gt;"",K717&lt;&gt;""),"有证据","缺C717证据"),IF(F717="手动完结",IF(OR(L717&lt;&gt;"",O717&lt;&gt;"",S717&lt;&gt;""),"有记录","缺手工证据"),IF(OR(F717="卖出待补仓",F717="提交结果待确认",F717="异常待处理"),"持续跟踪","检查状态")))))</x:f>
      </x:c>
      <x:c r="T717" s="64" t="str">
        <x:f>IF(A717="","",IF(COUNTIF($A$5:$A$1204,A717)&gt;1,"重复",""))</x:f>
      </x:c>
      <x:c r="U717" s="64" t="str">
        <x:f>IF(A717="","",IF(T717="重复","检查重复",IF(OR(R717="有证据",R717="有记录",R717="持续跟踪"),"可追踪","检查")))</x:f>
      </x:c>
    </x:row>
    <x:row r="718">
      <x:c r="A718" s="62"/>
      <x:c r="B718" s="62"/>
      <x:c r="C718" s="62"/>
      <x:c r="D718" s="66"/>
      <x:c r="E718" s="68"/>
      <x:c r="F718" s="62"/>
      <x:c r="G718" s="62"/>
      <x:c r="H718" s="62"/>
      <x:c r="I718" s="62"/>
      <x:c r="J718" s="62"/>
      <x:c r="K718" s="62"/>
      <x:c r="L718" s="62"/>
      <x:c r="M718" s="68"/>
      <x:c r="N718" s="68"/>
      <x:c r="O718" s="68"/>
      <x:c r="P718" s="71" t="str">
        <x:f>IF(A718="","",IF(N718&gt;0,N718,M718))</x:f>
      </x:c>
      <x:c r="Q718" s="72" t="n">
        <x:f>IF(A718="",0,IF(COUNTIF($A$5:A718,A718)=1,1,0))</x:f>
        <x:v>0</x:v>
      </x:c>
      <x:c r="R718" s="64" t="str">
        <x:f>IF(A718="","",IF(F718="C718成功",IF(AND(J718&lt;&gt;"",K718&lt;&gt;"",N718&gt;0),"有证据","缺C718证据"),IF(F718="C718发货确认中",IF(AND(J718&lt;&gt;"",K718&lt;&gt;""),"有证据","缺C718证据"),IF(F718="手动完结",IF(OR(L718&lt;&gt;"",O718&lt;&gt;"",S718&lt;&gt;""),"有记录","缺手工证据"),IF(OR(F718="卖出待补仓",F718="提交结果待确认",F718="异常待处理"),"持续跟踪","检查状态")))))</x:f>
      </x:c>
      <x:c r="T718" s="64" t="str">
        <x:f>IF(A718="","",IF(COUNTIF($A$5:$A$1204,A718)&gt;1,"重复",""))</x:f>
      </x:c>
      <x:c r="U718" s="64" t="str">
        <x:f>IF(A718="","",IF(T718="重复","检查重复",IF(OR(R718="有证据",R718="有记录",R718="持续跟踪"),"可追踪","检查")))</x:f>
      </x:c>
    </x:row>
    <x:row r="719">
      <x:c r="A719" s="62"/>
      <x:c r="B719" s="62"/>
      <x:c r="C719" s="62"/>
      <x:c r="D719" s="66"/>
      <x:c r="E719" s="68"/>
      <x:c r="F719" s="62"/>
      <x:c r="G719" s="62"/>
      <x:c r="H719" s="62"/>
      <x:c r="I719" s="62"/>
      <x:c r="J719" s="62"/>
      <x:c r="K719" s="62"/>
      <x:c r="L719" s="62"/>
      <x:c r="M719" s="68"/>
      <x:c r="N719" s="68"/>
      <x:c r="O719" s="68"/>
      <x:c r="P719" s="71" t="str">
        <x:f>IF(A719="","",IF(N719&gt;0,N719,M719))</x:f>
      </x:c>
      <x:c r="Q719" s="72" t="n">
        <x:f>IF(A719="",0,IF(COUNTIF($A$5:A719,A719)=1,1,0))</x:f>
        <x:v>0</x:v>
      </x:c>
      <x:c r="R719" s="64" t="str">
        <x:f>IF(A719="","",IF(F719="C719成功",IF(AND(J719&lt;&gt;"",K719&lt;&gt;"",N719&gt;0),"有证据","缺C719证据"),IF(F719="C719发货确认中",IF(AND(J719&lt;&gt;"",K719&lt;&gt;""),"有证据","缺C719证据"),IF(F719="手动完结",IF(OR(L719&lt;&gt;"",O719&lt;&gt;"",S719&lt;&gt;""),"有记录","缺手工证据"),IF(OR(F719="卖出待补仓",F719="提交结果待确认",F719="异常待处理"),"持续跟踪","检查状态")))))</x:f>
      </x:c>
      <x:c r="T719" s="64" t="str">
        <x:f>IF(A719="","",IF(COUNTIF($A$5:$A$1204,A719)&gt;1,"重复",""))</x:f>
      </x:c>
      <x:c r="U719" s="64" t="str">
        <x:f>IF(A719="","",IF(T719="重复","检查重复",IF(OR(R719="有证据",R719="有记录",R719="持续跟踪"),"可追踪","检查")))</x:f>
      </x:c>
    </x:row>
    <x:row r="720">
      <x:c r="A720" s="62"/>
      <x:c r="B720" s="62"/>
      <x:c r="C720" s="62"/>
      <x:c r="D720" s="66"/>
      <x:c r="E720" s="68"/>
      <x:c r="F720" s="62"/>
      <x:c r="G720" s="62"/>
      <x:c r="H720" s="62"/>
      <x:c r="I720" s="62"/>
      <x:c r="J720" s="62"/>
      <x:c r="K720" s="62"/>
      <x:c r="L720" s="62"/>
      <x:c r="M720" s="68"/>
      <x:c r="N720" s="68"/>
      <x:c r="O720" s="68"/>
      <x:c r="P720" s="71" t="str">
        <x:f>IF(A720="","",IF(N720&gt;0,N720,M720))</x:f>
      </x:c>
      <x:c r="Q720" s="72" t="n">
        <x:f>IF(A720="",0,IF(COUNTIF($A$5:A720,A720)=1,1,0))</x:f>
        <x:v>0</x:v>
      </x:c>
      <x:c r="R720" s="64" t="str">
        <x:f>IF(A720="","",IF(F720="C720成功",IF(AND(J720&lt;&gt;"",K720&lt;&gt;"",N720&gt;0),"有证据","缺C720证据"),IF(F720="C720发货确认中",IF(AND(J720&lt;&gt;"",K720&lt;&gt;""),"有证据","缺C720证据"),IF(F720="手动完结",IF(OR(L720&lt;&gt;"",O720&lt;&gt;"",S720&lt;&gt;""),"有记录","缺手工证据"),IF(OR(F720="卖出待补仓",F720="提交结果待确认",F720="异常待处理"),"持续跟踪","检查状态")))))</x:f>
      </x:c>
      <x:c r="T720" s="64" t="str">
        <x:f>IF(A720="","",IF(COUNTIF($A$5:$A$1204,A720)&gt;1,"重复",""))</x:f>
      </x:c>
      <x:c r="U720" s="64" t="str">
        <x:f>IF(A720="","",IF(T720="重复","检查重复",IF(OR(R720="有证据",R720="有记录",R720="持续跟踪"),"可追踪","检查")))</x:f>
      </x:c>
    </x:row>
    <x:row r="721">
      <x:c r="A721" s="62"/>
      <x:c r="B721" s="62"/>
      <x:c r="C721" s="62"/>
      <x:c r="D721" s="66"/>
      <x:c r="E721" s="68"/>
      <x:c r="F721" s="62"/>
      <x:c r="G721" s="62"/>
      <x:c r="H721" s="62"/>
      <x:c r="I721" s="62"/>
      <x:c r="J721" s="62"/>
      <x:c r="K721" s="62"/>
      <x:c r="L721" s="62"/>
      <x:c r="M721" s="68"/>
      <x:c r="N721" s="68"/>
      <x:c r="O721" s="68"/>
      <x:c r="P721" s="71" t="str">
        <x:f>IF(A721="","",IF(N721&gt;0,N721,M721))</x:f>
      </x:c>
      <x:c r="Q721" s="72" t="n">
        <x:f>IF(A721="",0,IF(COUNTIF($A$5:A721,A721)=1,1,0))</x:f>
        <x:v>0</x:v>
      </x:c>
      <x:c r="R721" s="64" t="str">
        <x:f>IF(A721="","",IF(F721="C721成功",IF(AND(J721&lt;&gt;"",K721&lt;&gt;"",N721&gt;0),"有证据","缺C721证据"),IF(F721="C721发货确认中",IF(AND(J721&lt;&gt;"",K721&lt;&gt;""),"有证据","缺C721证据"),IF(F721="手动完结",IF(OR(L721&lt;&gt;"",O721&lt;&gt;"",S721&lt;&gt;""),"有记录","缺手工证据"),IF(OR(F721="卖出待补仓",F721="提交结果待确认",F721="异常待处理"),"持续跟踪","检查状态")))))</x:f>
      </x:c>
      <x:c r="T721" s="64" t="str">
        <x:f>IF(A721="","",IF(COUNTIF($A$5:$A$1204,A721)&gt;1,"重复",""))</x:f>
      </x:c>
      <x:c r="U721" s="64" t="str">
        <x:f>IF(A721="","",IF(T721="重复","检查重复",IF(OR(R721="有证据",R721="有记录",R721="持续跟踪"),"可追踪","检查")))</x:f>
      </x:c>
    </x:row>
    <x:row r="722">
      <x:c r="A722" s="62"/>
      <x:c r="B722" s="62"/>
      <x:c r="C722" s="62"/>
      <x:c r="D722" s="66"/>
      <x:c r="E722" s="68"/>
      <x:c r="F722" s="62"/>
      <x:c r="G722" s="62"/>
      <x:c r="H722" s="62"/>
      <x:c r="I722" s="62"/>
      <x:c r="J722" s="62"/>
      <x:c r="K722" s="62"/>
      <x:c r="L722" s="62"/>
      <x:c r="M722" s="68"/>
      <x:c r="N722" s="68"/>
      <x:c r="O722" s="68"/>
      <x:c r="P722" s="71" t="str">
        <x:f>IF(A722="","",IF(N722&gt;0,N722,M722))</x:f>
      </x:c>
      <x:c r="Q722" s="72" t="n">
        <x:f>IF(A722="",0,IF(COUNTIF($A$5:A722,A722)=1,1,0))</x:f>
        <x:v>0</x:v>
      </x:c>
      <x:c r="R722" s="64" t="str">
        <x:f>IF(A722="","",IF(F722="C722成功",IF(AND(J722&lt;&gt;"",K722&lt;&gt;"",N722&gt;0),"有证据","缺C722证据"),IF(F722="C722发货确认中",IF(AND(J722&lt;&gt;"",K722&lt;&gt;""),"有证据","缺C722证据"),IF(F722="手动完结",IF(OR(L722&lt;&gt;"",O722&lt;&gt;"",S722&lt;&gt;""),"有记录","缺手工证据"),IF(OR(F722="卖出待补仓",F722="提交结果待确认",F722="异常待处理"),"持续跟踪","检查状态")))))</x:f>
      </x:c>
      <x:c r="T722" s="64" t="str">
        <x:f>IF(A722="","",IF(COUNTIF($A$5:$A$1204,A722)&gt;1,"重复",""))</x:f>
      </x:c>
      <x:c r="U722" s="64" t="str">
        <x:f>IF(A722="","",IF(T722="重复","检查重复",IF(OR(R722="有证据",R722="有记录",R722="持续跟踪"),"可追踪","检查")))</x:f>
      </x:c>
    </x:row>
    <x:row r="723">
      <x:c r="A723" s="62"/>
      <x:c r="B723" s="62"/>
      <x:c r="C723" s="62"/>
      <x:c r="D723" s="66"/>
      <x:c r="E723" s="68"/>
      <x:c r="F723" s="62"/>
      <x:c r="G723" s="62"/>
      <x:c r="H723" s="62"/>
      <x:c r="I723" s="62"/>
      <x:c r="J723" s="62"/>
      <x:c r="K723" s="62"/>
      <x:c r="L723" s="62"/>
      <x:c r="M723" s="68"/>
      <x:c r="N723" s="68"/>
      <x:c r="O723" s="68"/>
      <x:c r="P723" s="71" t="str">
        <x:f>IF(A723="","",IF(N723&gt;0,N723,M723))</x:f>
      </x:c>
      <x:c r="Q723" s="72" t="n">
        <x:f>IF(A723="",0,IF(COUNTIF($A$5:A723,A723)=1,1,0))</x:f>
        <x:v>0</x:v>
      </x:c>
      <x:c r="R723" s="64" t="str">
        <x:f>IF(A723="","",IF(F723="C723成功",IF(AND(J723&lt;&gt;"",K723&lt;&gt;"",N723&gt;0),"有证据","缺C723证据"),IF(F723="C723发货确认中",IF(AND(J723&lt;&gt;"",K723&lt;&gt;""),"有证据","缺C723证据"),IF(F723="手动完结",IF(OR(L723&lt;&gt;"",O723&lt;&gt;"",S723&lt;&gt;""),"有记录","缺手工证据"),IF(OR(F723="卖出待补仓",F723="提交结果待确认",F723="异常待处理"),"持续跟踪","检查状态")))))</x:f>
      </x:c>
      <x:c r="T723" s="64" t="str">
        <x:f>IF(A723="","",IF(COUNTIF($A$5:$A$1204,A723)&gt;1,"重复",""))</x:f>
      </x:c>
      <x:c r="U723" s="64" t="str">
        <x:f>IF(A723="","",IF(T723="重复","检查重复",IF(OR(R723="有证据",R723="有记录",R723="持续跟踪"),"可追踪","检查")))</x:f>
      </x:c>
    </x:row>
    <x:row r="724">
      <x:c r="A724" s="62"/>
      <x:c r="B724" s="62"/>
      <x:c r="C724" s="62"/>
      <x:c r="D724" s="66"/>
      <x:c r="E724" s="68"/>
      <x:c r="F724" s="62"/>
      <x:c r="G724" s="62"/>
      <x:c r="H724" s="62"/>
      <x:c r="I724" s="62"/>
      <x:c r="J724" s="62"/>
      <x:c r="K724" s="62"/>
      <x:c r="L724" s="62"/>
      <x:c r="M724" s="68"/>
      <x:c r="N724" s="68"/>
      <x:c r="O724" s="68"/>
      <x:c r="P724" s="71" t="str">
        <x:f>IF(A724="","",IF(N724&gt;0,N724,M724))</x:f>
      </x:c>
      <x:c r="Q724" s="72" t="n">
        <x:f>IF(A724="",0,IF(COUNTIF($A$5:A724,A724)=1,1,0))</x:f>
        <x:v>0</x:v>
      </x:c>
      <x:c r="R724" s="64" t="str">
        <x:f>IF(A724="","",IF(F724="C724成功",IF(AND(J724&lt;&gt;"",K724&lt;&gt;"",N724&gt;0),"有证据","缺C724证据"),IF(F724="C724发货确认中",IF(AND(J724&lt;&gt;"",K724&lt;&gt;""),"有证据","缺C724证据"),IF(F724="手动完结",IF(OR(L724&lt;&gt;"",O724&lt;&gt;"",S724&lt;&gt;""),"有记录","缺手工证据"),IF(OR(F724="卖出待补仓",F724="提交结果待确认",F724="异常待处理"),"持续跟踪","检查状态")))))</x:f>
      </x:c>
      <x:c r="T724" s="64" t="str">
        <x:f>IF(A724="","",IF(COUNTIF($A$5:$A$1204,A724)&gt;1,"重复",""))</x:f>
      </x:c>
      <x:c r="U724" s="64" t="str">
        <x:f>IF(A724="","",IF(T724="重复","检查重复",IF(OR(R724="有证据",R724="有记录",R724="持续跟踪"),"可追踪","检查")))</x:f>
      </x:c>
    </x:row>
    <x:row r="725">
      <x:c r="A725" s="62"/>
      <x:c r="B725" s="62"/>
      <x:c r="C725" s="62"/>
      <x:c r="D725" s="66"/>
      <x:c r="E725" s="68"/>
      <x:c r="F725" s="62"/>
      <x:c r="G725" s="62"/>
      <x:c r="H725" s="62"/>
      <x:c r="I725" s="62"/>
      <x:c r="J725" s="62"/>
      <x:c r="K725" s="62"/>
      <x:c r="L725" s="62"/>
      <x:c r="M725" s="68"/>
      <x:c r="N725" s="68"/>
      <x:c r="O725" s="68"/>
      <x:c r="P725" s="71" t="str">
        <x:f>IF(A725="","",IF(N725&gt;0,N725,M725))</x:f>
      </x:c>
      <x:c r="Q725" s="72" t="n">
        <x:f>IF(A725="",0,IF(COUNTIF($A$5:A725,A725)=1,1,0))</x:f>
        <x:v>0</x:v>
      </x:c>
      <x:c r="R725" s="64" t="str">
        <x:f>IF(A725="","",IF(F725="C725成功",IF(AND(J725&lt;&gt;"",K725&lt;&gt;"",N725&gt;0),"有证据","缺C725证据"),IF(F725="C725发货确认中",IF(AND(J725&lt;&gt;"",K725&lt;&gt;""),"有证据","缺C725证据"),IF(F725="手动完结",IF(OR(L725&lt;&gt;"",O725&lt;&gt;"",S725&lt;&gt;""),"有记录","缺手工证据"),IF(OR(F725="卖出待补仓",F725="提交结果待确认",F725="异常待处理"),"持续跟踪","检查状态")))))</x:f>
      </x:c>
      <x:c r="T725" s="64" t="str">
        <x:f>IF(A725="","",IF(COUNTIF($A$5:$A$1204,A725)&gt;1,"重复",""))</x:f>
      </x:c>
      <x:c r="U725" s="64" t="str">
        <x:f>IF(A725="","",IF(T725="重复","检查重复",IF(OR(R725="有证据",R725="有记录",R725="持续跟踪"),"可追踪","检查")))</x:f>
      </x:c>
    </x:row>
    <x:row r="726">
      <x:c r="A726" s="62"/>
      <x:c r="B726" s="62"/>
      <x:c r="C726" s="62"/>
      <x:c r="D726" s="66"/>
      <x:c r="E726" s="68"/>
      <x:c r="F726" s="62"/>
      <x:c r="G726" s="62"/>
      <x:c r="H726" s="62"/>
      <x:c r="I726" s="62"/>
      <x:c r="J726" s="62"/>
      <x:c r="K726" s="62"/>
      <x:c r="L726" s="62"/>
      <x:c r="M726" s="68"/>
      <x:c r="N726" s="68"/>
      <x:c r="O726" s="68"/>
      <x:c r="P726" s="71" t="str">
        <x:f>IF(A726="","",IF(N726&gt;0,N726,M726))</x:f>
      </x:c>
      <x:c r="Q726" s="72" t="n">
        <x:f>IF(A726="",0,IF(COUNTIF($A$5:A726,A726)=1,1,0))</x:f>
        <x:v>0</x:v>
      </x:c>
      <x:c r="R726" s="64" t="str">
        <x:f>IF(A726="","",IF(F726="C726成功",IF(AND(J726&lt;&gt;"",K726&lt;&gt;"",N726&gt;0),"有证据","缺C726证据"),IF(F726="C726发货确认中",IF(AND(J726&lt;&gt;"",K726&lt;&gt;""),"有证据","缺C726证据"),IF(F726="手动完结",IF(OR(L726&lt;&gt;"",O726&lt;&gt;"",S726&lt;&gt;""),"有记录","缺手工证据"),IF(OR(F726="卖出待补仓",F726="提交结果待确认",F726="异常待处理"),"持续跟踪","检查状态")))))</x:f>
      </x:c>
      <x:c r="T726" s="64" t="str">
        <x:f>IF(A726="","",IF(COUNTIF($A$5:$A$1204,A726)&gt;1,"重复",""))</x:f>
      </x:c>
      <x:c r="U726" s="64" t="str">
        <x:f>IF(A726="","",IF(T726="重复","检查重复",IF(OR(R726="有证据",R726="有记录",R726="持续跟踪"),"可追踪","检查")))</x:f>
      </x:c>
    </x:row>
    <x:row r="727">
      <x:c r="A727" s="62"/>
      <x:c r="B727" s="62"/>
      <x:c r="C727" s="62"/>
      <x:c r="D727" s="66"/>
      <x:c r="E727" s="68"/>
      <x:c r="F727" s="62"/>
      <x:c r="G727" s="62"/>
      <x:c r="H727" s="62"/>
      <x:c r="I727" s="62"/>
      <x:c r="J727" s="62"/>
      <x:c r="K727" s="62"/>
      <x:c r="L727" s="62"/>
      <x:c r="M727" s="68"/>
      <x:c r="N727" s="68"/>
      <x:c r="O727" s="68"/>
      <x:c r="P727" s="71" t="str">
        <x:f>IF(A727="","",IF(N727&gt;0,N727,M727))</x:f>
      </x:c>
      <x:c r="Q727" s="72" t="n">
        <x:f>IF(A727="",0,IF(COUNTIF($A$5:A727,A727)=1,1,0))</x:f>
        <x:v>0</x:v>
      </x:c>
      <x:c r="R727" s="64" t="str">
        <x:f>IF(A727="","",IF(F727="C727成功",IF(AND(J727&lt;&gt;"",K727&lt;&gt;"",N727&gt;0),"有证据","缺C727证据"),IF(F727="C727发货确认中",IF(AND(J727&lt;&gt;"",K727&lt;&gt;""),"有证据","缺C727证据"),IF(F727="手动完结",IF(OR(L727&lt;&gt;"",O727&lt;&gt;"",S727&lt;&gt;""),"有记录","缺手工证据"),IF(OR(F727="卖出待补仓",F727="提交结果待确认",F727="异常待处理"),"持续跟踪","检查状态")))))</x:f>
      </x:c>
      <x:c r="T727" s="64" t="str">
        <x:f>IF(A727="","",IF(COUNTIF($A$5:$A$1204,A727)&gt;1,"重复",""))</x:f>
      </x:c>
      <x:c r="U727" s="64" t="str">
        <x:f>IF(A727="","",IF(T727="重复","检查重复",IF(OR(R727="有证据",R727="有记录",R727="持续跟踪"),"可追踪","检查")))</x:f>
      </x:c>
    </x:row>
    <x:row r="728">
      <x:c r="A728" s="62"/>
      <x:c r="B728" s="62"/>
      <x:c r="C728" s="62"/>
      <x:c r="D728" s="66"/>
      <x:c r="E728" s="68"/>
      <x:c r="F728" s="62"/>
      <x:c r="G728" s="62"/>
      <x:c r="H728" s="62"/>
      <x:c r="I728" s="62"/>
      <x:c r="J728" s="62"/>
      <x:c r="K728" s="62"/>
      <x:c r="L728" s="62"/>
      <x:c r="M728" s="68"/>
      <x:c r="N728" s="68"/>
      <x:c r="O728" s="68"/>
      <x:c r="P728" s="71" t="str">
        <x:f>IF(A728="","",IF(N728&gt;0,N728,M728))</x:f>
      </x:c>
      <x:c r="Q728" s="72" t="n">
        <x:f>IF(A728="",0,IF(COUNTIF($A$5:A728,A728)=1,1,0))</x:f>
        <x:v>0</x:v>
      </x:c>
      <x:c r="R728" s="64" t="str">
        <x:f>IF(A728="","",IF(F728="C728成功",IF(AND(J728&lt;&gt;"",K728&lt;&gt;"",N728&gt;0),"有证据","缺C728证据"),IF(F728="C728发货确认中",IF(AND(J728&lt;&gt;"",K728&lt;&gt;""),"有证据","缺C728证据"),IF(F728="手动完结",IF(OR(L728&lt;&gt;"",O728&lt;&gt;"",S728&lt;&gt;""),"有记录","缺手工证据"),IF(OR(F728="卖出待补仓",F728="提交结果待确认",F728="异常待处理"),"持续跟踪","检查状态")))))</x:f>
      </x:c>
      <x:c r="T728" s="64" t="str">
        <x:f>IF(A728="","",IF(COUNTIF($A$5:$A$1204,A728)&gt;1,"重复",""))</x:f>
      </x:c>
      <x:c r="U728" s="64" t="str">
        <x:f>IF(A728="","",IF(T728="重复","检查重复",IF(OR(R728="有证据",R728="有记录",R728="持续跟踪"),"可追踪","检查")))</x:f>
      </x:c>
    </x:row>
    <x:row r="729">
      <x:c r="A729" s="62"/>
      <x:c r="B729" s="62"/>
      <x:c r="C729" s="62"/>
      <x:c r="D729" s="66"/>
      <x:c r="E729" s="68"/>
      <x:c r="F729" s="62"/>
      <x:c r="G729" s="62"/>
      <x:c r="H729" s="62"/>
      <x:c r="I729" s="62"/>
      <x:c r="J729" s="62"/>
      <x:c r="K729" s="62"/>
      <x:c r="L729" s="62"/>
      <x:c r="M729" s="68"/>
      <x:c r="N729" s="68"/>
      <x:c r="O729" s="68"/>
      <x:c r="P729" s="71" t="str">
        <x:f>IF(A729="","",IF(N729&gt;0,N729,M729))</x:f>
      </x:c>
      <x:c r="Q729" s="72" t="n">
        <x:f>IF(A729="",0,IF(COUNTIF($A$5:A729,A729)=1,1,0))</x:f>
        <x:v>0</x:v>
      </x:c>
      <x:c r="R729" s="64" t="str">
        <x:f>IF(A729="","",IF(F729="C729成功",IF(AND(J729&lt;&gt;"",K729&lt;&gt;"",N729&gt;0),"有证据","缺C729证据"),IF(F729="C729发货确认中",IF(AND(J729&lt;&gt;"",K729&lt;&gt;""),"有证据","缺C729证据"),IF(F729="手动完结",IF(OR(L729&lt;&gt;"",O729&lt;&gt;"",S729&lt;&gt;""),"有记录","缺手工证据"),IF(OR(F729="卖出待补仓",F729="提交结果待确认",F729="异常待处理"),"持续跟踪","检查状态")))))</x:f>
      </x:c>
      <x:c r="T729" s="64" t="str">
        <x:f>IF(A729="","",IF(COUNTIF($A$5:$A$1204,A729)&gt;1,"重复",""))</x:f>
      </x:c>
      <x:c r="U729" s="64" t="str">
        <x:f>IF(A729="","",IF(T729="重复","检查重复",IF(OR(R729="有证据",R729="有记录",R729="持续跟踪"),"可追踪","检查")))</x:f>
      </x:c>
    </x:row>
    <x:row r="730">
      <x:c r="A730" s="62"/>
      <x:c r="B730" s="62"/>
      <x:c r="C730" s="62"/>
      <x:c r="D730" s="66"/>
      <x:c r="E730" s="68"/>
      <x:c r="F730" s="62"/>
      <x:c r="G730" s="62"/>
      <x:c r="H730" s="62"/>
      <x:c r="I730" s="62"/>
      <x:c r="J730" s="62"/>
      <x:c r="K730" s="62"/>
      <x:c r="L730" s="62"/>
      <x:c r="M730" s="68"/>
      <x:c r="N730" s="68"/>
      <x:c r="O730" s="68"/>
      <x:c r="P730" s="71" t="str">
        <x:f>IF(A730="","",IF(N730&gt;0,N730,M730))</x:f>
      </x:c>
      <x:c r="Q730" s="72" t="n">
        <x:f>IF(A730="",0,IF(COUNTIF($A$5:A730,A730)=1,1,0))</x:f>
        <x:v>0</x:v>
      </x:c>
      <x:c r="R730" s="64" t="str">
        <x:f>IF(A730="","",IF(F730="C730成功",IF(AND(J730&lt;&gt;"",K730&lt;&gt;"",N730&gt;0),"有证据","缺C730证据"),IF(F730="C730发货确认中",IF(AND(J730&lt;&gt;"",K730&lt;&gt;""),"有证据","缺C730证据"),IF(F730="手动完结",IF(OR(L730&lt;&gt;"",O730&lt;&gt;"",S730&lt;&gt;""),"有记录","缺手工证据"),IF(OR(F730="卖出待补仓",F730="提交结果待确认",F730="异常待处理"),"持续跟踪","检查状态")))))</x:f>
      </x:c>
      <x:c r="T730" s="64" t="str">
        <x:f>IF(A730="","",IF(COUNTIF($A$5:$A$1204,A730)&gt;1,"重复",""))</x:f>
      </x:c>
      <x:c r="U730" s="64" t="str">
        <x:f>IF(A730="","",IF(T730="重复","检查重复",IF(OR(R730="有证据",R730="有记录",R730="持续跟踪"),"可追踪","检查")))</x:f>
      </x:c>
    </x:row>
    <x:row r="731">
      <x:c r="A731" s="62"/>
      <x:c r="B731" s="62"/>
      <x:c r="C731" s="62"/>
      <x:c r="D731" s="66"/>
      <x:c r="E731" s="68"/>
      <x:c r="F731" s="62"/>
      <x:c r="G731" s="62"/>
      <x:c r="H731" s="62"/>
      <x:c r="I731" s="62"/>
      <x:c r="J731" s="62"/>
      <x:c r="K731" s="62"/>
      <x:c r="L731" s="62"/>
      <x:c r="M731" s="68"/>
      <x:c r="N731" s="68"/>
      <x:c r="O731" s="68"/>
      <x:c r="P731" s="71" t="str">
        <x:f>IF(A731="","",IF(N731&gt;0,N731,M731))</x:f>
      </x:c>
      <x:c r="Q731" s="72" t="n">
        <x:f>IF(A731="",0,IF(COUNTIF($A$5:A731,A731)=1,1,0))</x:f>
        <x:v>0</x:v>
      </x:c>
      <x:c r="R731" s="64" t="str">
        <x:f>IF(A731="","",IF(F731="C731成功",IF(AND(J731&lt;&gt;"",K731&lt;&gt;"",N731&gt;0),"有证据","缺C731证据"),IF(F731="C731发货确认中",IF(AND(J731&lt;&gt;"",K731&lt;&gt;""),"有证据","缺C731证据"),IF(F731="手动完结",IF(OR(L731&lt;&gt;"",O731&lt;&gt;"",S731&lt;&gt;""),"有记录","缺手工证据"),IF(OR(F731="卖出待补仓",F731="提交结果待确认",F731="异常待处理"),"持续跟踪","检查状态")))))</x:f>
      </x:c>
      <x:c r="T731" s="64" t="str">
        <x:f>IF(A731="","",IF(COUNTIF($A$5:$A$1204,A731)&gt;1,"重复",""))</x:f>
      </x:c>
      <x:c r="U731" s="64" t="str">
        <x:f>IF(A731="","",IF(T731="重复","检查重复",IF(OR(R731="有证据",R731="有记录",R731="持续跟踪"),"可追踪","检查")))</x:f>
      </x:c>
    </x:row>
    <x:row r="732">
      <x:c r="A732" s="62"/>
      <x:c r="B732" s="62"/>
      <x:c r="C732" s="62"/>
      <x:c r="D732" s="66"/>
      <x:c r="E732" s="68"/>
      <x:c r="F732" s="62"/>
      <x:c r="G732" s="62"/>
      <x:c r="H732" s="62"/>
      <x:c r="I732" s="62"/>
      <x:c r="J732" s="62"/>
      <x:c r="K732" s="62"/>
      <x:c r="L732" s="62"/>
      <x:c r="M732" s="68"/>
      <x:c r="N732" s="68"/>
      <x:c r="O732" s="68"/>
      <x:c r="P732" s="71" t="str">
        <x:f>IF(A732="","",IF(N732&gt;0,N732,M732))</x:f>
      </x:c>
      <x:c r="Q732" s="72" t="n">
        <x:f>IF(A732="",0,IF(COUNTIF($A$5:A732,A732)=1,1,0))</x:f>
        <x:v>0</x:v>
      </x:c>
      <x:c r="R732" s="64" t="str">
        <x:f>IF(A732="","",IF(F732="C732成功",IF(AND(J732&lt;&gt;"",K732&lt;&gt;"",N732&gt;0),"有证据","缺C732证据"),IF(F732="C732发货确认中",IF(AND(J732&lt;&gt;"",K732&lt;&gt;""),"有证据","缺C732证据"),IF(F732="手动完结",IF(OR(L732&lt;&gt;"",O732&lt;&gt;"",S732&lt;&gt;""),"有记录","缺手工证据"),IF(OR(F732="卖出待补仓",F732="提交结果待确认",F732="异常待处理"),"持续跟踪","检查状态")))))</x:f>
      </x:c>
      <x:c r="T732" s="64" t="str">
        <x:f>IF(A732="","",IF(COUNTIF($A$5:$A$1204,A732)&gt;1,"重复",""))</x:f>
      </x:c>
      <x:c r="U732" s="64" t="str">
        <x:f>IF(A732="","",IF(T732="重复","检查重复",IF(OR(R732="有证据",R732="有记录",R732="持续跟踪"),"可追踪","检查")))</x:f>
      </x:c>
    </x:row>
    <x:row r="733">
      <x:c r="A733" s="62"/>
      <x:c r="B733" s="62"/>
      <x:c r="C733" s="62"/>
      <x:c r="D733" s="66"/>
      <x:c r="E733" s="68"/>
      <x:c r="F733" s="62"/>
      <x:c r="G733" s="62"/>
      <x:c r="H733" s="62"/>
      <x:c r="I733" s="62"/>
      <x:c r="J733" s="62"/>
      <x:c r="K733" s="62"/>
      <x:c r="L733" s="62"/>
      <x:c r="M733" s="68"/>
      <x:c r="N733" s="68"/>
      <x:c r="O733" s="68"/>
      <x:c r="P733" s="71" t="str">
        <x:f>IF(A733="","",IF(N733&gt;0,N733,M733))</x:f>
      </x:c>
      <x:c r="Q733" s="72" t="n">
        <x:f>IF(A733="",0,IF(COUNTIF($A$5:A733,A733)=1,1,0))</x:f>
        <x:v>0</x:v>
      </x:c>
      <x:c r="R733" s="64" t="str">
        <x:f>IF(A733="","",IF(F733="C733成功",IF(AND(J733&lt;&gt;"",K733&lt;&gt;"",N733&gt;0),"有证据","缺C733证据"),IF(F733="C733发货确认中",IF(AND(J733&lt;&gt;"",K733&lt;&gt;""),"有证据","缺C733证据"),IF(F733="手动完结",IF(OR(L733&lt;&gt;"",O733&lt;&gt;"",S733&lt;&gt;""),"有记录","缺手工证据"),IF(OR(F733="卖出待补仓",F733="提交结果待确认",F733="异常待处理"),"持续跟踪","检查状态")))))</x:f>
      </x:c>
      <x:c r="T733" s="64" t="str">
        <x:f>IF(A733="","",IF(COUNTIF($A$5:$A$1204,A733)&gt;1,"重复",""))</x:f>
      </x:c>
      <x:c r="U733" s="64" t="str">
        <x:f>IF(A733="","",IF(T733="重复","检查重复",IF(OR(R733="有证据",R733="有记录",R733="持续跟踪"),"可追踪","检查")))</x:f>
      </x:c>
    </x:row>
    <x:row r="734">
      <x:c r="A734" s="62"/>
      <x:c r="B734" s="62"/>
      <x:c r="C734" s="62"/>
      <x:c r="D734" s="66"/>
      <x:c r="E734" s="68"/>
      <x:c r="F734" s="62"/>
      <x:c r="G734" s="62"/>
      <x:c r="H734" s="62"/>
      <x:c r="I734" s="62"/>
      <x:c r="J734" s="62"/>
      <x:c r="K734" s="62"/>
      <x:c r="L734" s="62"/>
      <x:c r="M734" s="68"/>
      <x:c r="N734" s="68"/>
      <x:c r="O734" s="68"/>
      <x:c r="P734" s="71" t="str">
        <x:f>IF(A734="","",IF(N734&gt;0,N734,M734))</x:f>
      </x:c>
      <x:c r="Q734" s="72" t="n">
        <x:f>IF(A734="",0,IF(COUNTIF($A$5:A734,A734)=1,1,0))</x:f>
        <x:v>0</x:v>
      </x:c>
      <x:c r="R734" s="64" t="str">
        <x:f>IF(A734="","",IF(F734="C734成功",IF(AND(J734&lt;&gt;"",K734&lt;&gt;"",N734&gt;0),"有证据","缺C734证据"),IF(F734="C734发货确认中",IF(AND(J734&lt;&gt;"",K734&lt;&gt;""),"有证据","缺C734证据"),IF(F734="手动完结",IF(OR(L734&lt;&gt;"",O734&lt;&gt;"",S734&lt;&gt;""),"有记录","缺手工证据"),IF(OR(F734="卖出待补仓",F734="提交结果待确认",F734="异常待处理"),"持续跟踪","检查状态")))))</x:f>
      </x:c>
      <x:c r="T734" s="64" t="str">
        <x:f>IF(A734="","",IF(COUNTIF($A$5:$A$1204,A734)&gt;1,"重复",""))</x:f>
      </x:c>
      <x:c r="U734" s="64" t="str">
        <x:f>IF(A734="","",IF(T734="重复","检查重复",IF(OR(R734="有证据",R734="有记录",R734="持续跟踪"),"可追踪","检查")))</x:f>
      </x:c>
    </x:row>
    <x:row r="735">
      <x:c r="A735" s="62"/>
      <x:c r="B735" s="62"/>
      <x:c r="C735" s="62"/>
      <x:c r="D735" s="66"/>
      <x:c r="E735" s="68"/>
      <x:c r="F735" s="62"/>
      <x:c r="G735" s="62"/>
      <x:c r="H735" s="62"/>
      <x:c r="I735" s="62"/>
      <x:c r="J735" s="62"/>
      <x:c r="K735" s="62"/>
      <x:c r="L735" s="62"/>
      <x:c r="M735" s="68"/>
      <x:c r="N735" s="68"/>
      <x:c r="O735" s="68"/>
      <x:c r="P735" s="71" t="str">
        <x:f>IF(A735="","",IF(N735&gt;0,N735,M735))</x:f>
      </x:c>
      <x:c r="Q735" s="72" t="n">
        <x:f>IF(A735="",0,IF(COUNTIF($A$5:A735,A735)=1,1,0))</x:f>
        <x:v>0</x:v>
      </x:c>
      <x:c r="R735" s="64" t="str">
        <x:f>IF(A735="","",IF(F735="C735成功",IF(AND(J735&lt;&gt;"",K735&lt;&gt;"",N735&gt;0),"有证据","缺C735证据"),IF(F735="C735发货确认中",IF(AND(J735&lt;&gt;"",K735&lt;&gt;""),"有证据","缺C735证据"),IF(F735="手动完结",IF(OR(L735&lt;&gt;"",O735&lt;&gt;"",S735&lt;&gt;""),"有记录","缺手工证据"),IF(OR(F735="卖出待补仓",F735="提交结果待确认",F735="异常待处理"),"持续跟踪","检查状态")))))</x:f>
      </x:c>
      <x:c r="T735" s="64" t="str">
        <x:f>IF(A735="","",IF(COUNTIF($A$5:$A$1204,A735)&gt;1,"重复",""))</x:f>
      </x:c>
      <x:c r="U735" s="64" t="str">
        <x:f>IF(A735="","",IF(T735="重复","检查重复",IF(OR(R735="有证据",R735="有记录",R735="持续跟踪"),"可追踪","检查")))</x:f>
      </x:c>
    </x:row>
    <x:row r="736">
      <x:c r="A736" s="62"/>
      <x:c r="B736" s="62"/>
      <x:c r="C736" s="62"/>
      <x:c r="D736" s="66"/>
      <x:c r="E736" s="68"/>
      <x:c r="F736" s="62"/>
      <x:c r="G736" s="62"/>
      <x:c r="H736" s="62"/>
      <x:c r="I736" s="62"/>
      <x:c r="J736" s="62"/>
      <x:c r="K736" s="62"/>
      <x:c r="L736" s="62"/>
      <x:c r="M736" s="68"/>
      <x:c r="N736" s="68"/>
      <x:c r="O736" s="68"/>
      <x:c r="P736" s="71" t="str">
        <x:f>IF(A736="","",IF(N736&gt;0,N736,M736))</x:f>
      </x:c>
      <x:c r="Q736" s="72" t="n">
        <x:f>IF(A736="",0,IF(COUNTIF($A$5:A736,A736)=1,1,0))</x:f>
        <x:v>0</x:v>
      </x:c>
      <x:c r="R736" s="64" t="str">
        <x:f>IF(A736="","",IF(F736="C736成功",IF(AND(J736&lt;&gt;"",K736&lt;&gt;"",N736&gt;0),"有证据","缺C736证据"),IF(F736="C736发货确认中",IF(AND(J736&lt;&gt;"",K736&lt;&gt;""),"有证据","缺C736证据"),IF(F736="手动完结",IF(OR(L736&lt;&gt;"",O736&lt;&gt;"",S736&lt;&gt;""),"有记录","缺手工证据"),IF(OR(F736="卖出待补仓",F736="提交结果待确认",F736="异常待处理"),"持续跟踪","检查状态")))))</x:f>
      </x:c>
      <x:c r="T736" s="64" t="str">
        <x:f>IF(A736="","",IF(COUNTIF($A$5:$A$1204,A736)&gt;1,"重复",""))</x:f>
      </x:c>
      <x:c r="U736" s="64" t="str">
        <x:f>IF(A736="","",IF(T736="重复","检查重复",IF(OR(R736="有证据",R736="有记录",R736="持续跟踪"),"可追踪","检查")))</x:f>
      </x:c>
    </x:row>
    <x:row r="737">
      <x:c r="A737" s="62"/>
      <x:c r="B737" s="62"/>
      <x:c r="C737" s="62"/>
      <x:c r="D737" s="66"/>
      <x:c r="E737" s="68"/>
      <x:c r="F737" s="62"/>
      <x:c r="G737" s="62"/>
      <x:c r="H737" s="62"/>
      <x:c r="I737" s="62"/>
      <x:c r="J737" s="62"/>
      <x:c r="K737" s="62"/>
      <x:c r="L737" s="62"/>
      <x:c r="M737" s="68"/>
      <x:c r="N737" s="68"/>
      <x:c r="O737" s="68"/>
      <x:c r="P737" s="71" t="str">
        <x:f>IF(A737="","",IF(N737&gt;0,N737,M737))</x:f>
      </x:c>
      <x:c r="Q737" s="72" t="n">
        <x:f>IF(A737="",0,IF(COUNTIF($A$5:A737,A737)=1,1,0))</x:f>
        <x:v>0</x:v>
      </x:c>
      <x:c r="R737" s="64" t="str">
        <x:f>IF(A737="","",IF(F737="C737成功",IF(AND(J737&lt;&gt;"",K737&lt;&gt;"",N737&gt;0),"有证据","缺C737证据"),IF(F737="C737发货确认中",IF(AND(J737&lt;&gt;"",K737&lt;&gt;""),"有证据","缺C737证据"),IF(F737="手动完结",IF(OR(L737&lt;&gt;"",O737&lt;&gt;"",S737&lt;&gt;""),"有记录","缺手工证据"),IF(OR(F737="卖出待补仓",F737="提交结果待确认",F737="异常待处理"),"持续跟踪","检查状态")))))</x:f>
      </x:c>
      <x:c r="T737" s="64" t="str">
        <x:f>IF(A737="","",IF(COUNTIF($A$5:$A$1204,A737)&gt;1,"重复",""))</x:f>
      </x:c>
      <x:c r="U737" s="64" t="str">
        <x:f>IF(A737="","",IF(T737="重复","检查重复",IF(OR(R737="有证据",R737="有记录",R737="持续跟踪"),"可追踪","检查")))</x:f>
      </x:c>
    </x:row>
    <x:row r="738">
      <x:c r="A738" s="62"/>
      <x:c r="B738" s="62"/>
      <x:c r="C738" s="62"/>
      <x:c r="D738" s="66"/>
      <x:c r="E738" s="68"/>
      <x:c r="F738" s="62"/>
      <x:c r="G738" s="62"/>
      <x:c r="H738" s="62"/>
      <x:c r="I738" s="62"/>
      <x:c r="J738" s="62"/>
      <x:c r="K738" s="62"/>
      <x:c r="L738" s="62"/>
      <x:c r="M738" s="68"/>
      <x:c r="N738" s="68"/>
      <x:c r="O738" s="68"/>
      <x:c r="P738" s="71" t="str">
        <x:f>IF(A738="","",IF(N738&gt;0,N738,M738))</x:f>
      </x:c>
      <x:c r="Q738" s="72" t="n">
        <x:f>IF(A738="",0,IF(COUNTIF($A$5:A738,A738)=1,1,0))</x:f>
        <x:v>0</x:v>
      </x:c>
      <x:c r="R738" s="64" t="str">
        <x:f>IF(A738="","",IF(F738="C738成功",IF(AND(J738&lt;&gt;"",K738&lt;&gt;"",N738&gt;0),"有证据","缺C738证据"),IF(F738="C738发货确认中",IF(AND(J738&lt;&gt;"",K738&lt;&gt;""),"有证据","缺C738证据"),IF(F738="手动完结",IF(OR(L738&lt;&gt;"",O738&lt;&gt;"",S738&lt;&gt;""),"有记录","缺手工证据"),IF(OR(F738="卖出待补仓",F738="提交结果待确认",F738="异常待处理"),"持续跟踪","检查状态")))))</x:f>
      </x:c>
      <x:c r="T738" s="64" t="str">
        <x:f>IF(A738="","",IF(COUNTIF($A$5:$A$1204,A738)&gt;1,"重复",""))</x:f>
      </x:c>
      <x:c r="U738" s="64" t="str">
        <x:f>IF(A738="","",IF(T738="重复","检查重复",IF(OR(R738="有证据",R738="有记录",R738="持续跟踪"),"可追踪","检查")))</x:f>
      </x:c>
    </x:row>
    <x:row r="739">
      <x:c r="A739" s="62"/>
      <x:c r="B739" s="62"/>
      <x:c r="C739" s="62"/>
      <x:c r="D739" s="66"/>
      <x:c r="E739" s="68"/>
      <x:c r="F739" s="62"/>
      <x:c r="G739" s="62"/>
      <x:c r="H739" s="62"/>
      <x:c r="I739" s="62"/>
      <x:c r="J739" s="62"/>
      <x:c r="K739" s="62"/>
      <x:c r="L739" s="62"/>
      <x:c r="M739" s="68"/>
      <x:c r="N739" s="68"/>
      <x:c r="O739" s="68"/>
      <x:c r="P739" s="71" t="str">
        <x:f>IF(A739="","",IF(N739&gt;0,N739,M739))</x:f>
      </x:c>
      <x:c r="Q739" s="72" t="n">
        <x:f>IF(A739="",0,IF(COUNTIF($A$5:A739,A739)=1,1,0))</x:f>
        <x:v>0</x:v>
      </x:c>
      <x:c r="R739" s="64" t="str">
        <x:f>IF(A739="","",IF(F739="C739成功",IF(AND(J739&lt;&gt;"",K739&lt;&gt;"",N739&gt;0),"有证据","缺C739证据"),IF(F739="C739发货确认中",IF(AND(J739&lt;&gt;"",K739&lt;&gt;""),"有证据","缺C739证据"),IF(F739="手动完结",IF(OR(L739&lt;&gt;"",O739&lt;&gt;"",S739&lt;&gt;""),"有记录","缺手工证据"),IF(OR(F739="卖出待补仓",F739="提交结果待确认",F739="异常待处理"),"持续跟踪","检查状态")))))</x:f>
      </x:c>
      <x:c r="T739" s="64" t="str">
        <x:f>IF(A739="","",IF(COUNTIF($A$5:$A$1204,A739)&gt;1,"重复",""))</x:f>
      </x:c>
      <x:c r="U739" s="64" t="str">
        <x:f>IF(A739="","",IF(T739="重复","检查重复",IF(OR(R739="有证据",R739="有记录",R739="持续跟踪"),"可追踪","检查")))</x:f>
      </x:c>
    </x:row>
    <x:row r="740">
      <x:c r="A740" s="62"/>
      <x:c r="B740" s="62"/>
      <x:c r="C740" s="62"/>
      <x:c r="D740" s="66"/>
      <x:c r="E740" s="68"/>
      <x:c r="F740" s="62"/>
      <x:c r="G740" s="62"/>
      <x:c r="H740" s="62"/>
      <x:c r="I740" s="62"/>
      <x:c r="J740" s="62"/>
      <x:c r="K740" s="62"/>
      <x:c r="L740" s="62"/>
      <x:c r="M740" s="68"/>
      <x:c r="N740" s="68"/>
      <x:c r="O740" s="68"/>
      <x:c r="P740" s="71" t="str">
        <x:f>IF(A740="","",IF(N740&gt;0,N740,M740))</x:f>
      </x:c>
      <x:c r="Q740" s="72" t="n">
        <x:f>IF(A740="",0,IF(COUNTIF($A$5:A740,A740)=1,1,0))</x:f>
        <x:v>0</x:v>
      </x:c>
      <x:c r="R740" s="64" t="str">
        <x:f>IF(A740="","",IF(F740="C740成功",IF(AND(J740&lt;&gt;"",K740&lt;&gt;"",N740&gt;0),"有证据","缺C740证据"),IF(F740="C740发货确认中",IF(AND(J740&lt;&gt;"",K740&lt;&gt;""),"有证据","缺C740证据"),IF(F740="手动完结",IF(OR(L740&lt;&gt;"",O740&lt;&gt;"",S740&lt;&gt;""),"有记录","缺手工证据"),IF(OR(F740="卖出待补仓",F740="提交结果待确认",F740="异常待处理"),"持续跟踪","检查状态")))))</x:f>
      </x:c>
      <x:c r="T740" s="64" t="str">
        <x:f>IF(A740="","",IF(COUNTIF($A$5:$A$1204,A740)&gt;1,"重复",""))</x:f>
      </x:c>
      <x:c r="U740" s="64" t="str">
        <x:f>IF(A740="","",IF(T740="重复","检查重复",IF(OR(R740="有证据",R740="有记录",R740="持续跟踪"),"可追踪","检查")))</x:f>
      </x:c>
    </x:row>
    <x:row r="741">
      <x:c r="A741" s="62"/>
      <x:c r="B741" s="62"/>
      <x:c r="C741" s="62"/>
      <x:c r="D741" s="66"/>
      <x:c r="E741" s="68"/>
      <x:c r="F741" s="62"/>
      <x:c r="G741" s="62"/>
      <x:c r="H741" s="62"/>
      <x:c r="I741" s="62"/>
      <x:c r="J741" s="62"/>
      <x:c r="K741" s="62"/>
      <x:c r="L741" s="62"/>
      <x:c r="M741" s="68"/>
      <x:c r="N741" s="68"/>
      <x:c r="O741" s="68"/>
      <x:c r="P741" s="71" t="str">
        <x:f>IF(A741="","",IF(N741&gt;0,N741,M741))</x:f>
      </x:c>
      <x:c r="Q741" s="72" t="n">
        <x:f>IF(A741="",0,IF(COUNTIF($A$5:A741,A741)=1,1,0))</x:f>
        <x:v>0</x:v>
      </x:c>
      <x:c r="R741" s="64" t="str">
        <x:f>IF(A741="","",IF(F741="C741成功",IF(AND(J741&lt;&gt;"",K741&lt;&gt;"",N741&gt;0),"有证据","缺C741证据"),IF(F741="C741发货确认中",IF(AND(J741&lt;&gt;"",K741&lt;&gt;""),"有证据","缺C741证据"),IF(F741="手动完结",IF(OR(L741&lt;&gt;"",O741&lt;&gt;"",S741&lt;&gt;""),"有记录","缺手工证据"),IF(OR(F741="卖出待补仓",F741="提交结果待确认",F741="异常待处理"),"持续跟踪","检查状态")))))</x:f>
      </x:c>
      <x:c r="T741" s="64" t="str">
        <x:f>IF(A741="","",IF(COUNTIF($A$5:$A$1204,A741)&gt;1,"重复",""))</x:f>
      </x:c>
      <x:c r="U741" s="64" t="str">
        <x:f>IF(A741="","",IF(T741="重复","检查重复",IF(OR(R741="有证据",R741="有记录",R741="持续跟踪"),"可追踪","检查")))</x:f>
      </x:c>
    </x:row>
    <x:row r="742">
      <x:c r="A742" s="62"/>
      <x:c r="B742" s="62"/>
      <x:c r="C742" s="62"/>
      <x:c r="D742" s="66"/>
      <x:c r="E742" s="68"/>
      <x:c r="F742" s="62"/>
      <x:c r="G742" s="62"/>
      <x:c r="H742" s="62"/>
      <x:c r="I742" s="62"/>
      <x:c r="J742" s="62"/>
      <x:c r="K742" s="62"/>
      <x:c r="L742" s="62"/>
      <x:c r="M742" s="68"/>
      <x:c r="N742" s="68"/>
      <x:c r="O742" s="68"/>
      <x:c r="P742" s="71" t="str">
        <x:f>IF(A742="","",IF(N742&gt;0,N742,M742))</x:f>
      </x:c>
      <x:c r="Q742" s="72" t="n">
        <x:f>IF(A742="",0,IF(COUNTIF($A$5:A742,A742)=1,1,0))</x:f>
        <x:v>0</x:v>
      </x:c>
      <x:c r="R742" s="64" t="str">
        <x:f>IF(A742="","",IF(F742="C742成功",IF(AND(J742&lt;&gt;"",K742&lt;&gt;"",N742&gt;0),"有证据","缺C742证据"),IF(F742="C742发货确认中",IF(AND(J742&lt;&gt;"",K742&lt;&gt;""),"有证据","缺C742证据"),IF(F742="手动完结",IF(OR(L742&lt;&gt;"",O742&lt;&gt;"",S742&lt;&gt;""),"有记录","缺手工证据"),IF(OR(F742="卖出待补仓",F742="提交结果待确认",F742="异常待处理"),"持续跟踪","检查状态")))))</x:f>
      </x:c>
      <x:c r="T742" s="64" t="str">
        <x:f>IF(A742="","",IF(COUNTIF($A$5:$A$1204,A742)&gt;1,"重复",""))</x:f>
      </x:c>
      <x:c r="U742" s="64" t="str">
        <x:f>IF(A742="","",IF(T742="重复","检查重复",IF(OR(R742="有证据",R742="有记录",R742="持续跟踪"),"可追踪","检查")))</x:f>
      </x:c>
    </x:row>
    <x:row r="743">
      <x:c r="A743" s="62"/>
      <x:c r="B743" s="62"/>
      <x:c r="C743" s="62"/>
      <x:c r="D743" s="66"/>
      <x:c r="E743" s="68"/>
      <x:c r="F743" s="62"/>
      <x:c r="G743" s="62"/>
      <x:c r="H743" s="62"/>
      <x:c r="I743" s="62"/>
      <x:c r="J743" s="62"/>
      <x:c r="K743" s="62"/>
      <x:c r="L743" s="62"/>
      <x:c r="M743" s="68"/>
      <x:c r="N743" s="68"/>
      <x:c r="O743" s="68"/>
      <x:c r="P743" s="71" t="str">
        <x:f>IF(A743="","",IF(N743&gt;0,N743,M743))</x:f>
      </x:c>
      <x:c r="Q743" s="72" t="n">
        <x:f>IF(A743="",0,IF(COUNTIF($A$5:A743,A743)=1,1,0))</x:f>
        <x:v>0</x:v>
      </x:c>
      <x:c r="R743" s="64" t="str">
        <x:f>IF(A743="","",IF(F743="C743成功",IF(AND(J743&lt;&gt;"",K743&lt;&gt;"",N743&gt;0),"有证据","缺C743证据"),IF(F743="C743发货确认中",IF(AND(J743&lt;&gt;"",K743&lt;&gt;""),"有证据","缺C743证据"),IF(F743="手动完结",IF(OR(L743&lt;&gt;"",O743&lt;&gt;"",S743&lt;&gt;""),"有记录","缺手工证据"),IF(OR(F743="卖出待补仓",F743="提交结果待确认",F743="异常待处理"),"持续跟踪","检查状态")))))</x:f>
      </x:c>
      <x:c r="T743" s="64" t="str">
        <x:f>IF(A743="","",IF(COUNTIF($A$5:$A$1204,A743)&gt;1,"重复",""))</x:f>
      </x:c>
      <x:c r="U743" s="64" t="str">
        <x:f>IF(A743="","",IF(T743="重复","检查重复",IF(OR(R743="有证据",R743="有记录",R743="持续跟踪"),"可追踪","检查")))</x:f>
      </x:c>
    </x:row>
    <x:row r="744">
      <x:c r="A744" s="62"/>
      <x:c r="B744" s="62"/>
      <x:c r="C744" s="62"/>
      <x:c r="D744" s="66"/>
      <x:c r="E744" s="68"/>
      <x:c r="F744" s="62"/>
      <x:c r="G744" s="62"/>
      <x:c r="H744" s="62"/>
      <x:c r="I744" s="62"/>
      <x:c r="J744" s="62"/>
      <x:c r="K744" s="62"/>
      <x:c r="L744" s="62"/>
      <x:c r="M744" s="68"/>
      <x:c r="N744" s="68"/>
      <x:c r="O744" s="68"/>
      <x:c r="P744" s="71" t="str">
        <x:f>IF(A744="","",IF(N744&gt;0,N744,M744))</x:f>
      </x:c>
      <x:c r="Q744" s="72" t="n">
        <x:f>IF(A744="",0,IF(COUNTIF($A$5:A744,A744)=1,1,0))</x:f>
        <x:v>0</x:v>
      </x:c>
      <x:c r="R744" s="64" t="str">
        <x:f>IF(A744="","",IF(F744="C744成功",IF(AND(J744&lt;&gt;"",K744&lt;&gt;"",N744&gt;0),"有证据","缺C744证据"),IF(F744="C744发货确认中",IF(AND(J744&lt;&gt;"",K744&lt;&gt;""),"有证据","缺C744证据"),IF(F744="手动完结",IF(OR(L744&lt;&gt;"",O744&lt;&gt;"",S744&lt;&gt;""),"有记录","缺手工证据"),IF(OR(F744="卖出待补仓",F744="提交结果待确认",F744="异常待处理"),"持续跟踪","检查状态")))))</x:f>
      </x:c>
      <x:c r="T744" s="64" t="str">
        <x:f>IF(A744="","",IF(COUNTIF($A$5:$A$1204,A744)&gt;1,"重复",""))</x:f>
      </x:c>
      <x:c r="U744" s="64" t="str">
        <x:f>IF(A744="","",IF(T744="重复","检查重复",IF(OR(R744="有证据",R744="有记录",R744="持续跟踪"),"可追踪","检查")))</x:f>
      </x:c>
    </x:row>
    <x:row r="745">
      <x:c r="A745" s="62"/>
      <x:c r="B745" s="62"/>
      <x:c r="C745" s="62"/>
      <x:c r="D745" s="66"/>
      <x:c r="E745" s="68"/>
      <x:c r="F745" s="62"/>
      <x:c r="G745" s="62"/>
      <x:c r="H745" s="62"/>
      <x:c r="I745" s="62"/>
      <x:c r="J745" s="62"/>
      <x:c r="K745" s="62"/>
      <x:c r="L745" s="62"/>
      <x:c r="M745" s="68"/>
      <x:c r="N745" s="68"/>
      <x:c r="O745" s="68"/>
      <x:c r="P745" s="71" t="str">
        <x:f>IF(A745="","",IF(N745&gt;0,N745,M745))</x:f>
      </x:c>
      <x:c r="Q745" s="72" t="n">
        <x:f>IF(A745="",0,IF(COUNTIF($A$5:A745,A745)=1,1,0))</x:f>
        <x:v>0</x:v>
      </x:c>
      <x:c r="R745" s="64" t="str">
        <x:f>IF(A745="","",IF(F745="C745成功",IF(AND(J745&lt;&gt;"",K745&lt;&gt;"",N745&gt;0),"有证据","缺C745证据"),IF(F745="C745发货确认中",IF(AND(J745&lt;&gt;"",K745&lt;&gt;""),"有证据","缺C745证据"),IF(F745="手动完结",IF(OR(L745&lt;&gt;"",O745&lt;&gt;"",S745&lt;&gt;""),"有记录","缺手工证据"),IF(OR(F745="卖出待补仓",F745="提交结果待确认",F745="异常待处理"),"持续跟踪","检查状态")))))</x:f>
      </x:c>
      <x:c r="T745" s="64" t="str">
        <x:f>IF(A745="","",IF(COUNTIF($A$5:$A$1204,A745)&gt;1,"重复",""))</x:f>
      </x:c>
      <x:c r="U745" s="64" t="str">
        <x:f>IF(A745="","",IF(T745="重复","检查重复",IF(OR(R745="有证据",R745="有记录",R745="持续跟踪"),"可追踪","检查")))</x:f>
      </x:c>
    </x:row>
    <x:row r="746">
      <x:c r="A746" s="62"/>
      <x:c r="B746" s="62"/>
      <x:c r="C746" s="62"/>
      <x:c r="D746" s="66"/>
      <x:c r="E746" s="68"/>
      <x:c r="F746" s="62"/>
      <x:c r="G746" s="62"/>
      <x:c r="H746" s="62"/>
      <x:c r="I746" s="62"/>
      <x:c r="J746" s="62"/>
      <x:c r="K746" s="62"/>
      <x:c r="L746" s="62"/>
      <x:c r="M746" s="68"/>
      <x:c r="N746" s="68"/>
      <x:c r="O746" s="68"/>
      <x:c r="P746" s="71" t="str">
        <x:f>IF(A746="","",IF(N746&gt;0,N746,M746))</x:f>
      </x:c>
      <x:c r="Q746" s="72" t="n">
        <x:f>IF(A746="",0,IF(COUNTIF($A$5:A746,A746)=1,1,0))</x:f>
        <x:v>0</x:v>
      </x:c>
      <x:c r="R746" s="64" t="str">
        <x:f>IF(A746="","",IF(F746="C746成功",IF(AND(J746&lt;&gt;"",K746&lt;&gt;"",N746&gt;0),"有证据","缺C746证据"),IF(F746="C746发货确认中",IF(AND(J746&lt;&gt;"",K746&lt;&gt;""),"有证据","缺C746证据"),IF(F746="手动完结",IF(OR(L746&lt;&gt;"",O746&lt;&gt;"",S746&lt;&gt;""),"有记录","缺手工证据"),IF(OR(F746="卖出待补仓",F746="提交结果待确认",F746="异常待处理"),"持续跟踪","检查状态")))))</x:f>
      </x:c>
      <x:c r="T746" s="64" t="str">
        <x:f>IF(A746="","",IF(COUNTIF($A$5:$A$1204,A746)&gt;1,"重复",""))</x:f>
      </x:c>
      <x:c r="U746" s="64" t="str">
        <x:f>IF(A746="","",IF(T746="重复","检查重复",IF(OR(R746="有证据",R746="有记录",R746="持续跟踪"),"可追踪","检查")))</x:f>
      </x:c>
    </x:row>
    <x:row r="747">
      <x:c r="A747" s="62"/>
      <x:c r="B747" s="62"/>
      <x:c r="C747" s="62"/>
      <x:c r="D747" s="66"/>
      <x:c r="E747" s="68"/>
      <x:c r="F747" s="62"/>
      <x:c r="G747" s="62"/>
      <x:c r="H747" s="62"/>
      <x:c r="I747" s="62"/>
      <x:c r="J747" s="62"/>
      <x:c r="K747" s="62"/>
      <x:c r="L747" s="62"/>
      <x:c r="M747" s="68"/>
      <x:c r="N747" s="68"/>
      <x:c r="O747" s="68"/>
      <x:c r="P747" s="71" t="str">
        <x:f>IF(A747="","",IF(N747&gt;0,N747,M747))</x:f>
      </x:c>
      <x:c r="Q747" s="72" t="n">
        <x:f>IF(A747="",0,IF(COUNTIF($A$5:A747,A747)=1,1,0))</x:f>
        <x:v>0</x:v>
      </x:c>
      <x:c r="R747" s="64" t="str">
        <x:f>IF(A747="","",IF(F747="C747成功",IF(AND(J747&lt;&gt;"",K747&lt;&gt;"",N747&gt;0),"有证据","缺C747证据"),IF(F747="C747发货确认中",IF(AND(J747&lt;&gt;"",K747&lt;&gt;""),"有证据","缺C747证据"),IF(F747="手动完结",IF(OR(L747&lt;&gt;"",O747&lt;&gt;"",S747&lt;&gt;""),"有记录","缺手工证据"),IF(OR(F747="卖出待补仓",F747="提交结果待确认",F747="异常待处理"),"持续跟踪","检查状态")))))</x:f>
      </x:c>
      <x:c r="T747" s="64" t="str">
        <x:f>IF(A747="","",IF(COUNTIF($A$5:$A$1204,A747)&gt;1,"重复",""))</x:f>
      </x:c>
      <x:c r="U747" s="64" t="str">
        <x:f>IF(A747="","",IF(T747="重复","检查重复",IF(OR(R747="有证据",R747="有记录",R747="持续跟踪"),"可追踪","检查")))</x:f>
      </x:c>
    </x:row>
    <x:row r="748">
      <x:c r="A748" s="62"/>
      <x:c r="B748" s="62"/>
      <x:c r="C748" s="62"/>
      <x:c r="D748" s="66"/>
      <x:c r="E748" s="68"/>
      <x:c r="F748" s="62"/>
      <x:c r="G748" s="62"/>
      <x:c r="H748" s="62"/>
      <x:c r="I748" s="62"/>
      <x:c r="J748" s="62"/>
      <x:c r="K748" s="62"/>
      <x:c r="L748" s="62"/>
      <x:c r="M748" s="68"/>
      <x:c r="N748" s="68"/>
      <x:c r="O748" s="68"/>
      <x:c r="P748" s="71" t="str">
        <x:f>IF(A748="","",IF(N748&gt;0,N748,M748))</x:f>
      </x:c>
      <x:c r="Q748" s="72" t="n">
        <x:f>IF(A748="",0,IF(COUNTIF($A$5:A748,A748)=1,1,0))</x:f>
        <x:v>0</x:v>
      </x:c>
      <x:c r="R748" s="64" t="str">
        <x:f>IF(A748="","",IF(F748="C748成功",IF(AND(J748&lt;&gt;"",K748&lt;&gt;"",N748&gt;0),"有证据","缺C748证据"),IF(F748="C748发货确认中",IF(AND(J748&lt;&gt;"",K748&lt;&gt;""),"有证据","缺C748证据"),IF(F748="手动完结",IF(OR(L748&lt;&gt;"",O748&lt;&gt;"",S748&lt;&gt;""),"有记录","缺手工证据"),IF(OR(F748="卖出待补仓",F748="提交结果待确认",F748="异常待处理"),"持续跟踪","检查状态")))))</x:f>
      </x:c>
      <x:c r="T748" s="64" t="str">
        <x:f>IF(A748="","",IF(COUNTIF($A$5:$A$1204,A748)&gt;1,"重复",""))</x:f>
      </x:c>
      <x:c r="U748" s="64" t="str">
        <x:f>IF(A748="","",IF(T748="重复","检查重复",IF(OR(R748="有证据",R748="有记录",R748="持续跟踪"),"可追踪","检查")))</x:f>
      </x:c>
    </x:row>
    <x:row r="749">
      <x:c r="A749" s="62"/>
      <x:c r="B749" s="62"/>
      <x:c r="C749" s="62"/>
      <x:c r="D749" s="66"/>
      <x:c r="E749" s="68"/>
      <x:c r="F749" s="62"/>
      <x:c r="G749" s="62"/>
      <x:c r="H749" s="62"/>
      <x:c r="I749" s="62"/>
      <x:c r="J749" s="62"/>
      <x:c r="K749" s="62"/>
      <x:c r="L749" s="62"/>
      <x:c r="M749" s="68"/>
      <x:c r="N749" s="68"/>
      <x:c r="O749" s="68"/>
      <x:c r="P749" s="71" t="str">
        <x:f>IF(A749="","",IF(N749&gt;0,N749,M749))</x:f>
      </x:c>
      <x:c r="Q749" s="72" t="n">
        <x:f>IF(A749="",0,IF(COUNTIF($A$5:A749,A749)=1,1,0))</x:f>
        <x:v>0</x:v>
      </x:c>
      <x:c r="R749" s="64" t="str">
        <x:f>IF(A749="","",IF(F749="C749成功",IF(AND(J749&lt;&gt;"",K749&lt;&gt;"",N749&gt;0),"有证据","缺C749证据"),IF(F749="C749发货确认中",IF(AND(J749&lt;&gt;"",K749&lt;&gt;""),"有证据","缺C749证据"),IF(F749="手动完结",IF(OR(L749&lt;&gt;"",O749&lt;&gt;"",S749&lt;&gt;""),"有记录","缺手工证据"),IF(OR(F749="卖出待补仓",F749="提交结果待确认",F749="异常待处理"),"持续跟踪","检查状态")))))</x:f>
      </x:c>
      <x:c r="T749" s="64" t="str">
        <x:f>IF(A749="","",IF(COUNTIF($A$5:$A$1204,A749)&gt;1,"重复",""))</x:f>
      </x:c>
      <x:c r="U749" s="64" t="str">
        <x:f>IF(A749="","",IF(T749="重复","检查重复",IF(OR(R749="有证据",R749="有记录",R749="持续跟踪"),"可追踪","检查")))</x:f>
      </x:c>
    </x:row>
    <x:row r="750">
      <x:c r="A750" s="62"/>
      <x:c r="B750" s="62"/>
      <x:c r="C750" s="62"/>
      <x:c r="D750" s="66"/>
      <x:c r="E750" s="68"/>
      <x:c r="F750" s="62"/>
      <x:c r="G750" s="62"/>
      <x:c r="H750" s="62"/>
      <x:c r="I750" s="62"/>
      <x:c r="J750" s="62"/>
      <x:c r="K750" s="62"/>
      <x:c r="L750" s="62"/>
      <x:c r="M750" s="68"/>
      <x:c r="N750" s="68"/>
      <x:c r="O750" s="68"/>
      <x:c r="P750" s="71" t="str">
        <x:f>IF(A750="","",IF(N750&gt;0,N750,M750))</x:f>
      </x:c>
      <x:c r="Q750" s="72" t="n">
        <x:f>IF(A750="",0,IF(COUNTIF($A$5:A750,A750)=1,1,0))</x:f>
        <x:v>0</x:v>
      </x:c>
      <x:c r="R750" s="64" t="str">
        <x:f>IF(A750="","",IF(F750="C750成功",IF(AND(J750&lt;&gt;"",K750&lt;&gt;"",N750&gt;0),"有证据","缺C750证据"),IF(F750="C750发货确认中",IF(AND(J750&lt;&gt;"",K750&lt;&gt;""),"有证据","缺C750证据"),IF(F750="手动完结",IF(OR(L750&lt;&gt;"",O750&lt;&gt;"",S750&lt;&gt;""),"有记录","缺手工证据"),IF(OR(F750="卖出待补仓",F750="提交结果待确认",F750="异常待处理"),"持续跟踪","检查状态")))))</x:f>
      </x:c>
      <x:c r="T750" s="64" t="str">
        <x:f>IF(A750="","",IF(COUNTIF($A$5:$A$1204,A750)&gt;1,"重复",""))</x:f>
      </x:c>
      <x:c r="U750" s="64" t="str">
        <x:f>IF(A750="","",IF(T750="重复","检查重复",IF(OR(R750="有证据",R750="有记录",R750="持续跟踪"),"可追踪","检查")))</x:f>
      </x:c>
    </x:row>
    <x:row r="751">
      <x:c r="A751" s="62"/>
      <x:c r="B751" s="62"/>
      <x:c r="C751" s="62"/>
      <x:c r="D751" s="66"/>
      <x:c r="E751" s="68"/>
      <x:c r="F751" s="62"/>
      <x:c r="G751" s="62"/>
      <x:c r="H751" s="62"/>
      <x:c r="I751" s="62"/>
      <x:c r="J751" s="62"/>
      <x:c r="K751" s="62"/>
      <x:c r="L751" s="62"/>
      <x:c r="M751" s="68"/>
      <x:c r="N751" s="68"/>
      <x:c r="O751" s="68"/>
      <x:c r="P751" s="71" t="str">
        <x:f>IF(A751="","",IF(N751&gt;0,N751,M751))</x:f>
      </x:c>
      <x:c r="Q751" s="72" t="n">
        <x:f>IF(A751="",0,IF(COUNTIF($A$5:A751,A751)=1,1,0))</x:f>
        <x:v>0</x:v>
      </x:c>
      <x:c r="R751" s="64" t="str">
        <x:f>IF(A751="","",IF(F751="C751成功",IF(AND(J751&lt;&gt;"",K751&lt;&gt;"",N751&gt;0),"有证据","缺C751证据"),IF(F751="C751发货确认中",IF(AND(J751&lt;&gt;"",K751&lt;&gt;""),"有证据","缺C751证据"),IF(F751="手动完结",IF(OR(L751&lt;&gt;"",O751&lt;&gt;"",S751&lt;&gt;""),"有记录","缺手工证据"),IF(OR(F751="卖出待补仓",F751="提交结果待确认",F751="异常待处理"),"持续跟踪","检查状态")))))</x:f>
      </x:c>
      <x:c r="T751" s="64" t="str">
        <x:f>IF(A751="","",IF(COUNTIF($A$5:$A$1204,A751)&gt;1,"重复",""))</x:f>
      </x:c>
      <x:c r="U751" s="64" t="str">
        <x:f>IF(A751="","",IF(T751="重复","检查重复",IF(OR(R751="有证据",R751="有记录",R751="持续跟踪"),"可追踪","检查")))</x:f>
      </x:c>
    </x:row>
    <x:row r="752">
      <x:c r="A752" s="62"/>
      <x:c r="B752" s="62"/>
      <x:c r="C752" s="62"/>
      <x:c r="D752" s="66"/>
      <x:c r="E752" s="68"/>
      <x:c r="F752" s="62"/>
      <x:c r="G752" s="62"/>
      <x:c r="H752" s="62"/>
      <x:c r="I752" s="62"/>
      <x:c r="J752" s="62"/>
      <x:c r="K752" s="62"/>
      <x:c r="L752" s="62"/>
      <x:c r="M752" s="68"/>
      <x:c r="N752" s="68"/>
      <x:c r="O752" s="68"/>
      <x:c r="P752" s="71" t="str">
        <x:f>IF(A752="","",IF(N752&gt;0,N752,M752))</x:f>
      </x:c>
      <x:c r="Q752" s="72" t="n">
        <x:f>IF(A752="",0,IF(COUNTIF($A$5:A752,A752)=1,1,0))</x:f>
        <x:v>0</x:v>
      </x:c>
      <x:c r="R752" s="64" t="str">
        <x:f>IF(A752="","",IF(F752="C752成功",IF(AND(J752&lt;&gt;"",K752&lt;&gt;"",N752&gt;0),"有证据","缺C752证据"),IF(F752="C752发货确认中",IF(AND(J752&lt;&gt;"",K752&lt;&gt;""),"有证据","缺C752证据"),IF(F752="手动完结",IF(OR(L752&lt;&gt;"",O752&lt;&gt;"",S752&lt;&gt;""),"有记录","缺手工证据"),IF(OR(F752="卖出待补仓",F752="提交结果待确认",F752="异常待处理"),"持续跟踪","检查状态")))))</x:f>
      </x:c>
      <x:c r="T752" s="64" t="str">
        <x:f>IF(A752="","",IF(COUNTIF($A$5:$A$1204,A752)&gt;1,"重复",""))</x:f>
      </x:c>
      <x:c r="U752" s="64" t="str">
        <x:f>IF(A752="","",IF(T752="重复","检查重复",IF(OR(R752="有证据",R752="有记录",R752="持续跟踪"),"可追踪","检查")))</x:f>
      </x:c>
    </x:row>
    <x:row r="753">
      <x:c r="A753" s="62"/>
      <x:c r="B753" s="62"/>
      <x:c r="C753" s="62"/>
      <x:c r="D753" s="66"/>
      <x:c r="E753" s="68"/>
      <x:c r="F753" s="62"/>
      <x:c r="G753" s="62"/>
      <x:c r="H753" s="62"/>
      <x:c r="I753" s="62"/>
      <x:c r="J753" s="62"/>
      <x:c r="K753" s="62"/>
      <x:c r="L753" s="62"/>
      <x:c r="M753" s="68"/>
      <x:c r="N753" s="68"/>
      <x:c r="O753" s="68"/>
      <x:c r="P753" s="71" t="str">
        <x:f>IF(A753="","",IF(N753&gt;0,N753,M753))</x:f>
      </x:c>
      <x:c r="Q753" s="72" t="n">
        <x:f>IF(A753="",0,IF(COUNTIF($A$5:A753,A753)=1,1,0))</x:f>
        <x:v>0</x:v>
      </x:c>
      <x:c r="R753" s="64" t="str">
        <x:f>IF(A753="","",IF(F753="C753成功",IF(AND(J753&lt;&gt;"",K753&lt;&gt;"",N753&gt;0),"有证据","缺C753证据"),IF(F753="C753发货确认中",IF(AND(J753&lt;&gt;"",K753&lt;&gt;""),"有证据","缺C753证据"),IF(F753="手动完结",IF(OR(L753&lt;&gt;"",O753&lt;&gt;"",S753&lt;&gt;""),"有记录","缺手工证据"),IF(OR(F753="卖出待补仓",F753="提交结果待确认",F753="异常待处理"),"持续跟踪","检查状态")))))</x:f>
      </x:c>
      <x:c r="T753" s="64" t="str">
        <x:f>IF(A753="","",IF(COUNTIF($A$5:$A$1204,A753)&gt;1,"重复",""))</x:f>
      </x:c>
      <x:c r="U753" s="64" t="str">
        <x:f>IF(A753="","",IF(T753="重复","检查重复",IF(OR(R753="有证据",R753="有记录",R753="持续跟踪"),"可追踪","检查")))</x:f>
      </x:c>
    </x:row>
    <x:row r="754">
      <x:c r="A754" s="62"/>
      <x:c r="B754" s="62"/>
      <x:c r="C754" s="62"/>
      <x:c r="D754" s="66"/>
      <x:c r="E754" s="68"/>
      <x:c r="F754" s="62"/>
      <x:c r="G754" s="62"/>
      <x:c r="H754" s="62"/>
      <x:c r="I754" s="62"/>
      <x:c r="J754" s="62"/>
      <x:c r="K754" s="62"/>
      <x:c r="L754" s="62"/>
      <x:c r="M754" s="68"/>
      <x:c r="N754" s="68"/>
      <x:c r="O754" s="68"/>
      <x:c r="P754" s="71" t="str">
        <x:f>IF(A754="","",IF(N754&gt;0,N754,M754))</x:f>
      </x:c>
      <x:c r="Q754" s="72" t="n">
        <x:f>IF(A754="",0,IF(COUNTIF($A$5:A754,A754)=1,1,0))</x:f>
        <x:v>0</x:v>
      </x:c>
      <x:c r="R754" s="64" t="str">
        <x:f>IF(A754="","",IF(F754="C754成功",IF(AND(J754&lt;&gt;"",K754&lt;&gt;"",N754&gt;0),"有证据","缺C754证据"),IF(F754="C754发货确认中",IF(AND(J754&lt;&gt;"",K754&lt;&gt;""),"有证据","缺C754证据"),IF(F754="手动完结",IF(OR(L754&lt;&gt;"",O754&lt;&gt;"",S754&lt;&gt;""),"有记录","缺手工证据"),IF(OR(F754="卖出待补仓",F754="提交结果待确认",F754="异常待处理"),"持续跟踪","检查状态")))))</x:f>
      </x:c>
      <x:c r="T754" s="64" t="str">
        <x:f>IF(A754="","",IF(COUNTIF($A$5:$A$1204,A754)&gt;1,"重复",""))</x:f>
      </x:c>
      <x:c r="U754" s="64" t="str">
        <x:f>IF(A754="","",IF(T754="重复","检查重复",IF(OR(R754="有证据",R754="有记录",R754="持续跟踪"),"可追踪","检查")))</x:f>
      </x:c>
    </x:row>
    <x:row r="755">
      <x:c r="A755" s="62"/>
      <x:c r="B755" s="62"/>
      <x:c r="C755" s="62"/>
      <x:c r="D755" s="66"/>
      <x:c r="E755" s="68"/>
      <x:c r="F755" s="62"/>
      <x:c r="G755" s="62"/>
      <x:c r="H755" s="62"/>
      <x:c r="I755" s="62"/>
      <x:c r="J755" s="62"/>
      <x:c r="K755" s="62"/>
      <x:c r="L755" s="62"/>
      <x:c r="M755" s="68"/>
      <x:c r="N755" s="68"/>
      <x:c r="O755" s="68"/>
      <x:c r="P755" s="71" t="str">
        <x:f>IF(A755="","",IF(N755&gt;0,N755,M755))</x:f>
      </x:c>
      <x:c r="Q755" s="72" t="n">
        <x:f>IF(A755="",0,IF(COUNTIF($A$5:A755,A755)=1,1,0))</x:f>
        <x:v>0</x:v>
      </x:c>
      <x:c r="R755" s="64" t="str">
        <x:f>IF(A755="","",IF(F755="C755成功",IF(AND(J755&lt;&gt;"",K755&lt;&gt;"",N755&gt;0),"有证据","缺C755证据"),IF(F755="C755发货确认中",IF(AND(J755&lt;&gt;"",K755&lt;&gt;""),"有证据","缺C755证据"),IF(F755="手动完结",IF(OR(L755&lt;&gt;"",O755&lt;&gt;"",S755&lt;&gt;""),"有记录","缺手工证据"),IF(OR(F755="卖出待补仓",F755="提交结果待确认",F755="异常待处理"),"持续跟踪","检查状态")))))</x:f>
      </x:c>
      <x:c r="T755" s="64" t="str">
        <x:f>IF(A755="","",IF(COUNTIF($A$5:$A$1204,A755)&gt;1,"重复",""))</x:f>
      </x:c>
      <x:c r="U755" s="64" t="str">
        <x:f>IF(A755="","",IF(T755="重复","检查重复",IF(OR(R755="有证据",R755="有记录",R755="持续跟踪"),"可追踪","检查")))</x:f>
      </x:c>
    </x:row>
    <x:row r="756">
      <x:c r="A756" s="62"/>
      <x:c r="B756" s="62"/>
      <x:c r="C756" s="62"/>
      <x:c r="D756" s="66"/>
      <x:c r="E756" s="68"/>
      <x:c r="F756" s="62"/>
      <x:c r="G756" s="62"/>
      <x:c r="H756" s="62"/>
      <x:c r="I756" s="62"/>
      <x:c r="J756" s="62"/>
      <x:c r="K756" s="62"/>
      <x:c r="L756" s="62"/>
      <x:c r="M756" s="68"/>
      <x:c r="N756" s="68"/>
      <x:c r="O756" s="68"/>
      <x:c r="P756" s="71" t="str">
        <x:f>IF(A756="","",IF(N756&gt;0,N756,M756))</x:f>
      </x:c>
      <x:c r="Q756" s="72" t="n">
        <x:f>IF(A756="",0,IF(COUNTIF($A$5:A756,A756)=1,1,0))</x:f>
        <x:v>0</x:v>
      </x:c>
      <x:c r="R756" s="64" t="str">
        <x:f>IF(A756="","",IF(F756="C756成功",IF(AND(J756&lt;&gt;"",K756&lt;&gt;"",N756&gt;0),"有证据","缺C756证据"),IF(F756="C756发货确认中",IF(AND(J756&lt;&gt;"",K756&lt;&gt;""),"有证据","缺C756证据"),IF(F756="手动完结",IF(OR(L756&lt;&gt;"",O756&lt;&gt;"",S756&lt;&gt;""),"有记录","缺手工证据"),IF(OR(F756="卖出待补仓",F756="提交结果待确认",F756="异常待处理"),"持续跟踪","检查状态")))))</x:f>
      </x:c>
      <x:c r="T756" s="64" t="str">
        <x:f>IF(A756="","",IF(COUNTIF($A$5:$A$1204,A756)&gt;1,"重复",""))</x:f>
      </x:c>
      <x:c r="U756" s="64" t="str">
        <x:f>IF(A756="","",IF(T756="重复","检查重复",IF(OR(R756="有证据",R756="有记录",R756="持续跟踪"),"可追踪","检查")))</x:f>
      </x:c>
    </x:row>
    <x:row r="757">
      <x:c r="A757" s="62"/>
      <x:c r="B757" s="62"/>
      <x:c r="C757" s="62"/>
      <x:c r="D757" s="66"/>
      <x:c r="E757" s="68"/>
      <x:c r="F757" s="62"/>
      <x:c r="G757" s="62"/>
      <x:c r="H757" s="62"/>
      <x:c r="I757" s="62"/>
      <x:c r="J757" s="62"/>
      <x:c r="K757" s="62"/>
      <x:c r="L757" s="62"/>
      <x:c r="M757" s="68"/>
      <x:c r="N757" s="68"/>
      <x:c r="O757" s="68"/>
      <x:c r="P757" s="71" t="str">
        <x:f>IF(A757="","",IF(N757&gt;0,N757,M757))</x:f>
      </x:c>
      <x:c r="Q757" s="72" t="n">
        <x:f>IF(A757="",0,IF(COUNTIF($A$5:A757,A757)=1,1,0))</x:f>
        <x:v>0</x:v>
      </x:c>
      <x:c r="R757" s="64" t="str">
        <x:f>IF(A757="","",IF(F757="C757成功",IF(AND(J757&lt;&gt;"",K757&lt;&gt;"",N757&gt;0),"有证据","缺C757证据"),IF(F757="C757发货确认中",IF(AND(J757&lt;&gt;"",K757&lt;&gt;""),"有证据","缺C757证据"),IF(F757="手动完结",IF(OR(L757&lt;&gt;"",O757&lt;&gt;"",S757&lt;&gt;""),"有记录","缺手工证据"),IF(OR(F757="卖出待补仓",F757="提交结果待确认",F757="异常待处理"),"持续跟踪","检查状态")))))</x:f>
      </x:c>
      <x:c r="T757" s="64" t="str">
        <x:f>IF(A757="","",IF(COUNTIF($A$5:$A$1204,A757)&gt;1,"重复",""))</x:f>
      </x:c>
      <x:c r="U757" s="64" t="str">
        <x:f>IF(A757="","",IF(T757="重复","检查重复",IF(OR(R757="有证据",R757="有记录",R757="持续跟踪"),"可追踪","检查")))</x:f>
      </x:c>
    </x:row>
    <x:row r="758">
      <x:c r="A758" s="62"/>
      <x:c r="B758" s="62"/>
      <x:c r="C758" s="62"/>
      <x:c r="D758" s="66"/>
      <x:c r="E758" s="68"/>
      <x:c r="F758" s="62"/>
      <x:c r="G758" s="62"/>
      <x:c r="H758" s="62"/>
      <x:c r="I758" s="62"/>
      <x:c r="J758" s="62"/>
      <x:c r="K758" s="62"/>
      <x:c r="L758" s="62"/>
      <x:c r="M758" s="68"/>
      <x:c r="N758" s="68"/>
      <x:c r="O758" s="68"/>
      <x:c r="P758" s="71" t="str">
        <x:f>IF(A758="","",IF(N758&gt;0,N758,M758))</x:f>
      </x:c>
      <x:c r="Q758" s="72" t="n">
        <x:f>IF(A758="",0,IF(COUNTIF($A$5:A758,A758)=1,1,0))</x:f>
        <x:v>0</x:v>
      </x:c>
      <x:c r="R758" s="64" t="str">
        <x:f>IF(A758="","",IF(F758="C758成功",IF(AND(J758&lt;&gt;"",K758&lt;&gt;"",N758&gt;0),"有证据","缺C758证据"),IF(F758="C758发货确认中",IF(AND(J758&lt;&gt;"",K758&lt;&gt;""),"有证据","缺C758证据"),IF(F758="手动完结",IF(OR(L758&lt;&gt;"",O758&lt;&gt;"",S758&lt;&gt;""),"有记录","缺手工证据"),IF(OR(F758="卖出待补仓",F758="提交结果待确认",F758="异常待处理"),"持续跟踪","检查状态")))))</x:f>
      </x:c>
      <x:c r="T758" s="64" t="str">
        <x:f>IF(A758="","",IF(COUNTIF($A$5:$A$1204,A758)&gt;1,"重复",""))</x:f>
      </x:c>
      <x:c r="U758" s="64" t="str">
        <x:f>IF(A758="","",IF(T758="重复","检查重复",IF(OR(R758="有证据",R758="有记录",R758="持续跟踪"),"可追踪","检查")))</x:f>
      </x:c>
    </x:row>
    <x:row r="759">
      <x:c r="A759" s="62"/>
      <x:c r="B759" s="62"/>
      <x:c r="C759" s="62"/>
      <x:c r="D759" s="66"/>
      <x:c r="E759" s="68"/>
      <x:c r="F759" s="62"/>
      <x:c r="G759" s="62"/>
      <x:c r="H759" s="62"/>
      <x:c r="I759" s="62"/>
      <x:c r="J759" s="62"/>
      <x:c r="K759" s="62"/>
      <x:c r="L759" s="62"/>
      <x:c r="M759" s="68"/>
      <x:c r="N759" s="68"/>
      <x:c r="O759" s="68"/>
      <x:c r="P759" s="71" t="str">
        <x:f>IF(A759="","",IF(N759&gt;0,N759,M759))</x:f>
      </x:c>
      <x:c r="Q759" s="72" t="n">
        <x:f>IF(A759="",0,IF(COUNTIF($A$5:A759,A759)=1,1,0))</x:f>
        <x:v>0</x:v>
      </x:c>
      <x:c r="R759" s="64" t="str">
        <x:f>IF(A759="","",IF(F759="C759成功",IF(AND(J759&lt;&gt;"",K759&lt;&gt;"",N759&gt;0),"有证据","缺C759证据"),IF(F759="C759发货确认中",IF(AND(J759&lt;&gt;"",K759&lt;&gt;""),"有证据","缺C759证据"),IF(F759="手动完结",IF(OR(L759&lt;&gt;"",O759&lt;&gt;"",S759&lt;&gt;""),"有记录","缺手工证据"),IF(OR(F759="卖出待补仓",F759="提交结果待确认",F759="异常待处理"),"持续跟踪","检查状态")))))</x:f>
      </x:c>
      <x:c r="T759" s="64" t="str">
        <x:f>IF(A759="","",IF(COUNTIF($A$5:$A$1204,A759)&gt;1,"重复",""))</x:f>
      </x:c>
      <x:c r="U759" s="64" t="str">
        <x:f>IF(A759="","",IF(T759="重复","检查重复",IF(OR(R759="有证据",R759="有记录",R759="持续跟踪"),"可追踪","检查")))</x:f>
      </x:c>
    </x:row>
    <x:row r="760">
      <x:c r="A760" s="62"/>
      <x:c r="B760" s="62"/>
      <x:c r="C760" s="62"/>
      <x:c r="D760" s="66"/>
      <x:c r="E760" s="68"/>
      <x:c r="F760" s="62"/>
      <x:c r="G760" s="62"/>
      <x:c r="H760" s="62"/>
      <x:c r="I760" s="62"/>
      <x:c r="J760" s="62"/>
      <x:c r="K760" s="62"/>
      <x:c r="L760" s="62"/>
      <x:c r="M760" s="68"/>
      <x:c r="N760" s="68"/>
      <x:c r="O760" s="68"/>
      <x:c r="P760" s="71" t="str">
        <x:f>IF(A760="","",IF(N760&gt;0,N760,M760))</x:f>
      </x:c>
      <x:c r="Q760" s="72" t="n">
        <x:f>IF(A760="",0,IF(COUNTIF($A$5:A760,A760)=1,1,0))</x:f>
        <x:v>0</x:v>
      </x:c>
      <x:c r="R760" s="64" t="str">
        <x:f>IF(A760="","",IF(F760="C760成功",IF(AND(J760&lt;&gt;"",K760&lt;&gt;"",N760&gt;0),"有证据","缺C760证据"),IF(F760="C760发货确认中",IF(AND(J760&lt;&gt;"",K760&lt;&gt;""),"有证据","缺C760证据"),IF(F760="手动完结",IF(OR(L760&lt;&gt;"",O760&lt;&gt;"",S760&lt;&gt;""),"有记录","缺手工证据"),IF(OR(F760="卖出待补仓",F760="提交结果待确认",F760="异常待处理"),"持续跟踪","检查状态")))))</x:f>
      </x:c>
      <x:c r="T760" s="64" t="str">
        <x:f>IF(A760="","",IF(COUNTIF($A$5:$A$1204,A760)&gt;1,"重复",""))</x:f>
      </x:c>
      <x:c r="U760" s="64" t="str">
        <x:f>IF(A760="","",IF(T760="重复","检查重复",IF(OR(R760="有证据",R760="有记录",R760="持续跟踪"),"可追踪","检查")))</x:f>
      </x:c>
    </x:row>
    <x:row r="761">
      <x:c r="A761" s="62"/>
      <x:c r="B761" s="62"/>
      <x:c r="C761" s="62"/>
      <x:c r="D761" s="66"/>
      <x:c r="E761" s="68"/>
      <x:c r="F761" s="62"/>
      <x:c r="G761" s="62"/>
      <x:c r="H761" s="62"/>
      <x:c r="I761" s="62"/>
      <x:c r="J761" s="62"/>
      <x:c r="K761" s="62"/>
      <x:c r="L761" s="62"/>
      <x:c r="M761" s="68"/>
      <x:c r="N761" s="68"/>
      <x:c r="O761" s="68"/>
      <x:c r="P761" s="71" t="str">
        <x:f>IF(A761="","",IF(N761&gt;0,N761,M761))</x:f>
      </x:c>
      <x:c r="Q761" s="72" t="n">
        <x:f>IF(A761="",0,IF(COUNTIF($A$5:A761,A761)=1,1,0))</x:f>
        <x:v>0</x:v>
      </x:c>
      <x:c r="R761" s="64" t="str">
        <x:f>IF(A761="","",IF(F761="C761成功",IF(AND(J761&lt;&gt;"",K761&lt;&gt;"",N761&gt;0),"有证据","缺C761证据"),IF(F761="C761发货确认中",IF(AND(J761&lt;&gt;"",K761&lt;&gt;""),"有证据","缺C761证据"),IF(F761="手动完结",IF(OR(L761&lt;&gt;"",O761&lt;&gt;"",S761&lt;&gt;""),"有记录","缺手工证据"),IF(OR(F761="卖出待补仓",F761="提交结果待确认",F761="异常待处理"),"持续跟踪","检查状态")))))</x:f>
      </x:c>
      <x:c r="T761" s="64" t="str">
        <x:f>IF(A761="","",IF(COUNTIF($A$5:$A$1204,A761)&gt;1,"重复",""))</x:f>
      </x:c>
      <x:c r="U761" s="64" t="str">
        <x:f>IF(A761="","",IF(T761="重复","检查重复",IF(OR(R761="有证据",R761="有记录",R761="持续跟踪"),"可追踪","检查")))</x:f>
      </x:c>
    </x:row>
    <x:row r="762">
      <x:c r="A762" s="62"/>
      <x:c r="B762" s="62"/>
      <x:c r="C762" s="62"/>
      <x:c r="D762" s="66"/>
      <x:c r="E762" s="68"/>
      <x:c r="F762" s="62"/>
      <x:c r="G762" s="62"/>
      <x:c r="H762" s="62"/>
      <x:c r="I762" s="62"/>
      <x:c r="J762" s="62"/>
      <x:c r="K762" s="62"/>
      <x:c r="L762" s="62"/>
      <x:c r="M762" s="68"/>
      <x:c r="N762" s="68"/>
      <x:c r="O762" s="68"/>
      <x:c r="P762" s="71" t="str">
        <x:f>IF(A762="","",IF(N762&gt;0,N762,M762))</x:f>
      </x:c>
      <x:c r="Q762" s="72" t="n">
        <x:f>IF(A762="",0,IF(COUNTIF($A$5:A762,A762)=1,1,0))</x:f>
        <x:v>0</x:v>
      </x:c>
      <x:c r="R762" s="64" t="str">
        <x:f>IF(A762="","",IF(F762="C762成功",IF(AND(J762&lt;&gt;"",K762&lt;&gt;"",N762&gt;0),"有证据","缺C762证据"),IF(F762="C762发货确认中",IF(AND(J762&lt;&gt;"",K762&lt;&gt;""),"有证据","缺C762证据"),IF(F762="手动完结",IF(OR(L762&lt;&gt;"",O762&lt;&gt;"",S762&lt;&gt;""),"有记录","缺手工证据"),IF(OR(F762="卖出待补仓",F762="提交结果待确认",F762="异常待处理"),"持续跟踪","检查状态")))))</x:f>
      </x:c>
      <x:c r="T762" s="64" t="str">
        <x:f>IF(A762="","",IF(COUNTIF($A$5:$A$1204,A762)&gt;1,"重复",""))</x:f>
      </x:c>
      <x:c r="U762" s="64" t="str">
        <x:f>IF(A762="","",IF(T762="重复","检查重复",IF(OR(R762="有证据",R762="有记录",R762="持续跟踪"),"可追踪","检查")))</x:f>
      </x:c>
    </x:row>
    <x:row r="763">
      <x:c r="A763" s="62"/>
      <x:c r="B763" s="62"/>
      <x:c r="C763" s="62"/>
      <x:c r="D763" s="66"/>
      <x:c r="E763" s="68"/>
      <x:c r="F763" s="62"/>
      <x:c r="G763" s="62"/>
      <x:c r="H763" s="62"/>
      <x:c r="I763" s="62"/>
      <x:c r="J763" s="62"/>
      <x:c r="K763" s="62"/>
      <x:c r="L763" s="62"/>
      <x:c r="M763" s="68"/>
      <x:c r="N763" s="68"/>
      <x:c r="O763" s="68"/>
      <x:c r="P763" s="71" t="str">
        <x:f>IF(A763="","",IF(N763&gt;0,N763,M763))</x:f>
      </x:c>
      <x:c r="Q763" s="72" t="n">
        <x:f>IF(A763="",0,IF(COUNTIF($A$5:A763,A763)=1,1,0))</x:f>
        <x:v>0</x:v>
      </x:c>
      <x:c r="R763" s="64" t="str">
        <x:f>IF(A763="","",IF(F763="C763成功",IF(AND(J763&lt;&gt;"",K763&lt;&gt;"",N763&gt;0),"有证据","缺C763证据"),IF(F763="C763发货确认中",IF(AND(J763&lt;&gt;"",K763&lt;&gt;""),"有证据","缺C763证据"),IF(F763="手动完结",IF(OR(L763&lt;&gt;"",O763&lt;&gt;"",S763&lt;&gt;""),"有记录","缺手工证据"),IF(OR(F763="卖出待补仓",F763="提交结果待确认",F763="异常待处理"),"持续跟踪","检查状态")))))</x:f>
      </x:c>
      <x:c r="T763" s="64" t="str">
        <x:f>IF(A763="","",IF(COUNTIF($A$5:$A$1204,A763)&gt;1,"重复",""))</x:f>
      </x:c>
      <x:c r="U763" s="64" t="str">
        <x:f>IF(A763="","",IF(T763="重复","检查重复",IF(OR(R763="有证据",R763="有记录",R763="持续跟踪"),"可追踪","检查")))</x:f>
      </x:c>
    </x:row>
    <x:row r="764">
      <x:c r="A764" s="62"/>
      <x:c r="B764" s="62"/>
      <x:c r="C764" s="62"/>
      <x:c r="D764" s="66"/>
      <x:c r="E764" s="68"/>
      <x:c r="F764" s="62"/>
      <x:c r="G764" s="62"/>
      <x:c r="H764" s="62"/>
      <x:c r="I764" s="62"/>
      <x:c r="J764" s="62"/>
      <x:c r="K764" s="62"/>
      <x:c r="L764" s="62"/>
      <x:c r="M764" s="68"/>
      <x:c r="N764" s="68"/>
      <x:c r="O764" s="68"/>
      <x:c r="P764" s="71" t="str">
        <x:f>IF(A764="","",IF(N764&gt;0,N764,M764))</x:f>
      </x:c>
      <x:c r="Q764" s="72" t="n">
        <x:f>IF(A764="",0,IF(COUNTIF($A$5:A764,A764)=1,1,0))</x:f>
        <x:v>0</x:v>
      </x:c>
      <x:c r="R764" s="64" t="str">
        <x:f>IF(A764="","",IF(F764="C764成功",IF(AND(J764&lt;&gt;"",K764&lt;&gt;"",N764&gt;0),"有证据","缺C764证据"),IF(F764="C764发货确认中",IF(AND(J764&lt;&gt;"",K764&lt;&gt;""),"有证据","缺C764证据"),IF(F764="手动完结",IF(OR(L764&lt;&gt;"",O764&lt;&gt;"",S764&lt;&gt;""),"有记录","缺手工证据"),IF(OR(F764="卖出待补仓",F764="提交结果待确认",F764="异常待处理"),"持续跟踪","检查状态")))))</x:f>
      </x:c>
      <x:c r="T764" s="64" t="str">
        <x:f>IF(A764="","",IF(COUNTIF($A$5:$A$1204,A764)&gt;1,"重复",""))</x:f>
      </x:c>
      <x:c r="U764" s="64" t="str">
        <x:f>IF(A764="","",IF(T764="重复","检查重复",IF(OR(R764="有证据",R764="有记录",R764="持续跟踪"),"可追踪","检查")))</x:f>
      </x:c>
    </x:row>
    <x:row r="765">
      <x:c r="A765" s="62"/>
      <x:c r="B765" s="62"/>
      <x:c r="C765" s="62"/>
      <x:c r="D765" s="66"/>
      <x:c r="E765" s="68"/>
      <x:c r="F765" s="62"/>
      <x:c r="G765" s="62"/>
      <x:c r="H765" s="62"/>
      <x:c r="I765" s="62"/>
      <x:c r="J765" s="62"/>
      <x:c r="K765" s="62"/>
      <x:c r="L765" s="62"/>
      <x:c r="M765" s="68"/>
      <x:c r="N765" s="68"/>
      <x:c r="O765" s="68"/>
      <x:c r="P765" s="71" t="str">
        <x:f>IF(A765="","",IF(N765&gt;0,N765,M765))</x:f>
      </x:c>
      <x:c r="Q765" s="72" t="n">
        <x:f>IF(A765="",0,IF(COUNTIF($A$5:A765,A765)=1,1,0))</x:f>
        <x:v>0</x:v>
      </x:c>
      <x:c r="R765" s="64" t="str">
        <x:f>IF(A765="","",IF(F765="C765成功",IF(AND(J765&lt;&gt;"",K765&lt;&gt;"",N765&gt;0),"有证据","缺C765证据"),IF(F765="C765发货确认中",IF(AND(J765&lt;&gt;"",K765&lt;&gt;""),"有证据","缺C765证据"),IF(F765="手动完结",IF(OR(L765&lt;&gt;"",O765&lt;&gt;"",S765&lt;&gt;""),"有记录","缺手工证据"),IF(OR(F765="卖出待补仓",F765="提交结果待确认",F765="异常待处理"),"持续跟踪","检查状态")))))</x:f>
      </x:c>
      <x:c r="T765" s="64" t="str">
        <x:f>IF(A765="","",IF(COUNTIF($A$5:$A$1204,A765)&gt;1,"重复",""))</x:f>
      </x:c>
      <x:c r="U765" s="64" t="str">
        <x:f>IF(A765="","",IF(T765="重复","检查重复",IF(OR(R765="有证据",R765="有记录",R765="持续跟踪"),"可追踪","检查")))</x:f>
      </x:c>
    </x:row>
    <x:row r="766">
      <x:c r="A766" s="62"/>
      <x:c r="B766" s="62"/>
      <x:c r="C766" s="62"/>
      <x:c r="D766" s="66"/>
      <x:c r="E766" s="68"/>
      <x:c r="F766" s="62"/>
      <x:c r="G766" s="62"/>
      <x:c r="H766" s="62"/>
      <x:c r="I766" s="62"/>
      <x:c r="J766" s="62"/>
      <x:c r="K766" s="62"/>
      <x:c r="L766" s="62"/>
      <x:c r="M766" s="68"/>
      <x:c r="N766" s="68"/>
      <x:c r="O766" s="68"/>
      <x:c r="P766" s="71" t="str">
        <x:f>IF(A766="","",IF(N766&gt;0,N766,M766))</x:f>
      </x:c>
      <x:c r="Q766" s="72" t="n">
        <x:f>IF(A766="",0,IF(COUNTIF($A$5:A766,A766)=1,1,0))</x:f>
        <x:v>0</x:v>
      </x:c>
      <x:c r="R766" s="64" t="str">
        <x:f>IF(A766="","",IF(F766="C766成功",IF(AND(J766&lt;&gt;"",K766&lt;&gt;"",N766&gt;0),"有证据","缺C766证据"),IF(F766="C766发货确认中",IF(AND(J766&lt;&gt;"",K766&lt;&gt;""),"有证据","缺C766证据"),IF(F766="手动完结",IF(OR(L766&lt;&gt;"",O766&lt;&gt;"",S766&lt;&gt;""),"有记录","缺手工证据"),IF(OR(F766="卖出待补仓",F766="提交结果待确认",F766="异常待处理"),"持续跟踪","检查状态")))))</x:f>
      </x:c>
      <x:c r="T766" s="64" t="str">
        <x:f>IF(A766="","",IF(COUNTIF($A$5:$A$1204,A766)&gt;1,"重复",""))</x:f>
      </x:c>
      <x:c r="U766" s="64" t="str">
        <x:f>IF(A766="","",IF(T766="重复","检查重复",IF(OR(R766="有证据",R766="有记录",R766="持续跟踪"),"可追踪","检查")))</x:f>
      </x:c>
    </x:row>
    <x:row r="767">
      <x:c r="A767" s="62"/>
      <x:c r="B767" s="62"/>
      <x:c r="C767" s="62"/>
      <x:c r="D767" s="66"/>
      <x:c r="E767" s="68"/>
      <x:c r="F767" s="62"/>
      <x:c r="G767" s="62"/>
      <x:c r="H767" s="62"/>
      <x:c r="I767" s="62"/>
      <x:c r="J767" s="62"/>
      <x:c r="K767" s="62"/>
      <x:c r="L767" s="62"/>
      <x:c r="M767" s="68"/>
      <x:c r="N767" s="68"/>
      <x:c r="O767" s="68"/>
      <x:c r="P767" s="71" t="str">
        <x:f>IF(A767="","",IF(N767&gt;0,N767,M767))</x:f>
      </x:c>
      <x:c r="Q767" s="72" t="n">
        <x:f>IF(A767="",0,IF(COUNTIF($A$5:A767,A767)=1,1,0))</x:f>
        <x:v>0</x:v>
      </x:c>
      <x:c r="R767" s="64" t="str">
        <x:f>IF(A767="","",IF(F767="C767成功",IF(AND(J767&lt;&gt;"",K767&lt;&gt;"",N767&gt;0),"有证据","缺C767证据"),IF(F767="C767发货确认中",IF(AND(J767&lt;&gt;"",K767&lt;&gt;""),"有证据","缺C767证据"),IF(F767="手动完结",IF(OR(L767&lt;&gt;"",O767&lt;&gt;"",S767&lt;&gt;""),"有记录","缺手工证据"),IF(OR(F767="卖出待补仓",F767="提交结果待确认",F767="异常待处理"),"持续跟踪","检查状态")))))</x:f>
      </x:c>
      <x:c r="T767" s="64" t="str">
        <x:f>IF(A767="","",IF(COUNTIF($A$5:$A$1204,A767)&gt;1,"重复",""))</x:f>
      </x:c>
      <x:c r="U767" s="64" t="str">
        <x:f>IF(A767="","",IF(T767="重复","检查重复",IF(OR(R767="有证据",R767="有记录",R767="持续跟踪"),"可追踪","检查")))</x:f>
      </x:c>
    </x:row>
    <x:row r="768">
      <x:c r="A768" s="62"/>
      <x:c r="B768" s="62"/>
      <x:c r="C768" s="62"/>
      <x:c r="D768" s="66"/>
      <x:c r="E768" s="68"/>
      <x:c r="F768" s="62"/>
      <x:c r="G768" s="62"/>
      <x:c r="H768" s="62"/>
      <x:c r="I768" s="62"/>
      <x:c r="J768" s="62"/>
      <x:c r="K768" s="62"/>
      <x:c r="L768" s="62"/>
      <x:c r="M768" s="68"/>
      <x:c r="N768" s="68"/>
      <x:c r="O768" s="68"/>
      <x:c r="P768" s="71" t="str">
        <x:f>IF(A768="","",IF(N768&gt;0,N768,M768))</x:f>
      </x:c>
      <x:c r="Q768" s="72" t="n">
        <x:f>IF(A768="",0,IF(COUNTIF($A$5:A768,A768)=1,1,0))</x:f>
        <x:v>0</x:v>
      </x:c>
      <x:c r="R768" s="64" t="str">
        <x:f>IF(A768="","",IF(F768="C768成功",IF(AND(J768&lt;&gt;"",K768&lt;&gt;"",N768&gt;0),"有证据","缺C768证据"),IF(F768="C768发货确认中",IF(AND(J768&lt;&gt;"",K768&lt;&gt;""),"有证据","缺C768证据"),IF(F768="手动完结",IF(OR(L768&lt;&gt;"",O768&lt;&gt;"",S768&lt;&gt;""),"有记录","缺手工证据"),IF(OR(F768="卖出待补仓",F768="提交结果待确认",F768="异常待处理"),"持续跟踪","检查状态")))))</x:f>
      </x:c>
      <x:c r="T768" s="64" t="str">
        <x:f>IF(A768="","",IF(COUNTIF($A$5:$A$1204,A768)&gt;1,"重复",""))</x:f>
      </x:c>
      <x:c r="U768" s="64" t="str">
        <x:f>IF(A768="","",IF(T768="重复","检查重复",IF(OR(R768="有证据",R768="有记录",R768="持续跟踪"),"可追踪","检查")))</x:f>
      </x:c>
    </x:row>
    <x:row r="769">
      <x:c r="A769" s="62"/>
      <x:c r="B769" s="62"/>
      <x:c r="C769" s="62"/>
      <x:c r="D769" s="66"/>
      <x:c r="E769" s="68"/>
      <x:c r="F769" s="62"/>
      <x:c r="G769" s="62"/>
      <x:c r="H769" s="62"/>
      <x:c r="I769" s="62"/>
      <x:c r="J769" s="62"/>
      <x:c r="K769" s="62"/>
      <x:c r="L769" s="62"/>
      <x:c r="M769" s="68"/>
      <x:c r="N769" s="68"/>
      <x:c r="O769" s="68"/>
      <x:c r="P769" s="71" t="str">
        <x:f>IF(A769="","",IF(N769&gt;0,N769,M769))</x:f>
      </x:c>
      <x:c r="Q769" s="72" t="n">
        <x:f>IF(A769="",0,IF(COUNTIF($A$5:A769,A769)=1,1,0))</x:f>
        <x:v>0</x:v>
      </x:c>
      <x:c r="R769" s="64" t="str">
        <x:f>IF(A769="","",IF(F769="C769成功",IF(AND(J769&lt;&gt;"",K769&lt;&gt;"",N769&gt;0),"有证据","缺C769证据"),IF(F769="C769发货确认中",IF(AND(J769&lt;&gt;"",K769&lt;&gt;""),"有证据","缺C769证据"),IF(F769="手动完结",IF(OR(L769&lt;&gt;"",O769&lt;&gt;"",S769&lt;&gt;""),"有记录","缺手工证据"),IF(OR(F769="卖出待补仓",F769="提交结果待确认",F769="异常待处理"),"持续跟踪","检查状态")))))</x:f>
      </x:c>
      <x:c r="T769" s="64" t="str">
        <x:f>IF(A769="","",IF(COUNTIF($A$5:$A$1204,A769)&gt;1,"重复",""))</x:f>
      </x:c>
      <x:c r="U769" s="64" t="str">
        <x:f>IF(A769="","",IF(T769="重复","检查重复",IF(OR(R769="有证据",R769="有记录",R769="持续跟踪"),"可追踪","检查")))</x:f>
      </x:c>
    </x:row>
    <x:row r="770">
      <x:c r="A770" s="62"/>
      <x:c r="B770" s="62"/>
      <x:c r="C770" s="62"/>
      <x:c r="D770" s="66"/>
      <x:c r="E770" s="68"/>
      <x:c r="F770" s="62"/>
      <x:c r="G770" s="62"/>
      <x:c r="H770" s="62"/>
      <x:c r="I770" s="62"/>
      <x:c r="J770" s="62"/>
      <x:c r="K770" s="62"/>
      <x:c r="L770" s="62"/>
      <x:c r="M770" s="68"/>
      <x:c r="N770" s="68"/>
      <x:c r="O770" s="68"/>
      <x:c r="P770" s="71" t="str">
        <x:f>IF(A770="","",IF(N770&gt;0,N770,M770))</x:f>
      </x:c>
      <x:c r="Q770" s="72" t="n">
        <x:f>IF(A770="",0,IF(COUNTIF($A$5:A770,A770)=1,1,0))</x:f>
        <x:v>0</x:v>
      </x:c>
      <x:c r="R770" s="64" t="str">
        <x:f>IF(A770="","",IF(F770="C770成功",IF(AND(J770&lt;&gt;"",K770&lt;&gt;"",N770&gt;0),"有证据","缺C770证据"),IF(F770="C770发货确认中",IF(AND(J770&lt;&gt;"",K770&lt;&gt;""),"有证据","缺C770证据"),IF(F770="手动完结",IF(OR(L770&lt;&gt;"",O770&lt;&gt;"",S770&lt;&gt;""),"有记录","缺手工证据"),IF(OR(F770="卖出待补仓",F770="提交结果待确认",F770="异常待处理"),"持续跟踪","检查状态")))))</x:f>
      </x:c>
      <x:c r="T770" s="64" t="str">
        <x:f>IF(A770="","",IF(COUNTIF($A$5:$A$1204,A770)&gt;1,"重复",""))</x:f>
      </x:c>
      <x:c r="U770" s="64" t="str">
        <x:f>IF(A770="","",IF(T770="重复","检查重复",IF(OR(R770="有证据",R770="有记录",R770="持续跟踪"),"可追踪","检查")))</x:f>
      </x:c>
    </x:row>
    <x:row r="771">
      <x:c r="A771" s="62"/>
      <x:c r="B771" s="62"/>
      <x:c r="C771" s="62"/>
      <x:c r="D771" s="66"/>
      <x:c r="E771" s="68"/>
      <x:c r="F771" s="62"/>
      <x:c r="G771" s="62"/>
      <x:c r="H771" s="62"/>
      <x:c r="I771" s="62"/>
      <x:c r="J771" s="62"/>
      <x:c r="K771" s="62"/>
      <x:c r="L771" s="62"/>
      <x:c r="M771" s="68"/>
      <x:c r="N771" s="68"/>
      <x:c r="O771" s="68"/>
      <x:c r="P771" s="71" t="str">
        <x:f>IF(A771="","",IF(N771&gt;0,N771,M771))</x:f>
      </x:c>
      <x:c r="Q771" s="72" t="n">
        <x:f>IF(A771="",0,IF(COUNTIF($A$5:A771,A771)=1,1,0))</x:f>
        <x:v>0</x:v>
      </x:c>
      <x:c r="R771" s="64" t="str">
        <x:f>IF(A771="","",IF(F771="C771成功",IF(AND(J771&lt;&gt;"",K771&lt;&gt;"",N771&gt;0),"有证据","缺C771证据"),IF(F771="C771发货确认中",IF(AND(J771&lt;&gt;"",K771&lt;&gt;""),"有证据","缺C771证据"),IF(F771="手动完结",IF(OR(L771&lt;&gt;"",O771&lt;&gt;"",S771&lt;&gt;""),"有记录","缺手工证据"),IF(OR(F771="卖出待补仓",F771="提交结果待确认",F771="异常待处理"),"持续跟踪","检查状态")))))</x:f>
      </x:c>
      <x:c r="T771" s="64" t="str">
        <x:f>IF(A771="","",IF(COUNTIF($A$5:$A$1204,A771)&gt;1,"重复",""))</x:f>
      </x:c>
      <x:c r="U771" s="64" t="str">
        <x:f>IF(A771="","",IF(T771="重复","检查重复",IF(OR(R771="有证据",R771="有记录",R771="持续跟踪"),"可追踪","检查")))</x:f>
      </x:c>
    </x:row>
    <x:row r="772">
      <x:c r="A772" s="62"/>
      <x:c r="B772" s="62"/>
      <x:c r="C772" s="62"/>
      <x:c r="D772" s="66"/>
      <x:c r="E772" s="68"/>
      <x:c r="F772" s="62"/>
      <x:c r="G772" s="62"/>
      <x:c r="H772" s="62"/>
      <x:c r="I772" s="62"/>
      <x:c r="J772" s="62"/>
      <x:c r="K772" s="62"/>
      <x:c r="L772" s="62"/>
      <x:c r="M772" s="68"/>
      <x:c r="N772" s="68"/>
      <x:c r="O772" s="68"/>
      <x:c r="P772" s="71" t="str">
        <x:f>IF(A772="","",IF(N772&gt;0,N772,M772))</x:f>
      </x:c>
      <x:c r="Q772" s="72" t="n">
        <x:f>IF(A772="",0,IF(COUNTIF($A$5:A772,A772)=1,1,0))</x:f>
        <x:v>0</x:v>
      </x:c>
      <x:c r="R772" s="64" t="str">
        <x:f>IF(A772="","",IF(F772="C772成功",IF(AND(J772&lt;&gt;"",K772&lt;&gt;"",N772&gt;0),"有证据","缺C772证据"),IF(F772="C772发货确认中",IF(AND(J772&lt;&gt;"",K772&lt;&gt;""),"有证据","缺C772证据"),IF(F772="手动完结",IF(OR(L772&lt;&gt;"",O772&lt;&gt;"",S772&lt;&gt;""),"有记录","缺手工证据"),IF(OR(F772="卖出待补仓",F772="提交结果待确认",F772="异常待处理"),"持续跟踪","检查状态")))))</x:f>
      </x:c>
      <x:c r="T772" s="64" t="str">
        <x:f>IF(A772="","",IF(COUNTIF($A$5:$A$1204,A772)&gt;1,"重复",""))</x:f>
      </x:c>
      <x:c r="U772" s="64" t="str">
        <x:f>IF(A772="","",IF(T772="重复","检查重复",IF(OR(R772="有证据",R772="有记录",R772="持续跟踪"),"可追踪","检查")))</x:f>
      </x:c>
    </x:row>
    <x:row r="773">
      <x:c r="A773" s="62"/>
      <x:c r="B773" s="62"/>
      <x:c r="C773" s="62"/>
      <x:c r="D773" s="66"/>
      <x:c r="E773" s="68"/>
      <x:c r="F773" s="62"/>
      <x:c r="G773" s="62"/>
      <x:c r="H773" s="62"/>
      <x:c r="I773" s="62"/>
      <x:c r="J773" s="62"/>
      <x:c r="K773" s="62"/>
      <x:c r="L773" s="62"/>
      <x:c r="M773" s="68"/>
      <x:c r="N773" s="68"/>
      <x:c r="O773" s="68"/>
      <x:c r="P773" s="71" t="str">
        <x:f>IF(A773="","",IF(N773&gt;0,N773,M773))</x:f>
      </x:c>
      <x:c r="Q773" s="72" t="n">
        <x:f>IF(A773="",0,IF(COUNTIF($A$5:A773,A773)=1,1,0))</x:f>
        <x:v>0</x:v>
      </x:c>
      <x:c r="R773" s="64" t="str">
        <x:f>IF(A773="","",IF(F773="C773成功",IF(AND(J773&lt;&gt;"",K773&lt;&gt;"",N773&gt;0),"有证据","缺C773证据"),IF(F773="C773发货确认中",IF(AND(J773&lt;&gt;"",K773&lt;&gt;""),"有证据","缺C773证据"),IF(F773="手动完结",IF(OR(L773&lt;&gt;"",O773&lt;&gt;"",S773&lt;&gt;""),"有记录","缺手工证据"),IF(OR(F773="卖出待补仓",F773="提交结果待确认",F773="异常待处理"),"持续跟踪","检查状态")))))</x:f>
      </x:c>
      <x:c r="T773" s="64" t="str">
        <x:f>IF(A773="","",IF(COUNTIF($A$5:$A$1204,A773)&gt;1,"重复",""))</x:f>
      </x:c>
      <x:c r="U773" s="64" t="str">
        <x:f>IF(A773="","",IF(T773="重复","检查重复",IF(OR(R773="有证据",R773="有记录",R773="持续跟踪"),"可追踪","检查")))</x:f>
      </x:c>
    </x:row>
    <x:row r="774">
      <x:c r="A774" s="62"/>
      <x:c r="B774" s="62"/>
      <x:c r="C774" s="62"/>
      <x:c r="D774" s="66"/>
      <x:c r="E774" s="68"/>
      <x:c r="F774" s="62"/>
      <x:c r="G774" s="62"/>
      <x:c r="H774" s="62"/>
      <x:c r="I774" s="62"/>
      <x:c r="J774" s="62"/>
      <x:c r="K774" s="62"/>
      <x:c r="L774" s="62"/>
      <x:c r="M774" s="68"/>
      <x:c r="N774" s="68"/>
      <x:c r="O774" s="68"/>
      <x:c r="P774" s="71" t="str">
        <x:f>IF(A774="","",IF(N774&gt;0,N774,M774))</x:f>
      </x:c>
      <x:c r="Q774" s="72" t="n">
        <x:f>IF(A774="",0,IF(COUNTIF($A$5:A774,A774)=1,1,0))</x:f>
        <x:v>0</x:v>
      </x:c>
      <x:c r="R774" s="64" t="str">
        <x:f>IF(A774="","",IF(F774="C774成功",IF(AND(J774&lt;&gt;"",K774&lt;&gt;"",N774&gt;0),"有证据","缺C774证据"),IF(F774="C774发货确认中",IF(AND(J774&lt;&gt;"",K774&lt;&gt;""),"有证据","缺C774证据"),IF(F774="手动完结",IF(OR(L774&lt;&gt;"",O774&lt;&gt;"",S774&lt;&gt;""),"有记录","缺手工证据"),IF(OR(F774="卖出待补仓",F774="提交结果待确认",F774="异常待处理"),"持续跟踪","检查状态")))))</x:f>
      </x:c>
      <x:c r="T774" s="64" t="str">
        <x:f>IF(A774="","",IF(COUNTIF($A$5:$A$1204,A774)&gt;1,"重复",""))</x:f>
      </x:c>
      <x:c r="U774" s="64" t="str">
        <x:f>IF(A774="","",IF(T774="重复","检查重复",IF(OR(R774="有证据",R774="有记录",R774="持续跟踪"),"可追踪","检查")))</x:f>
      </x:c>
    </x:row>
    <x:row r="775">
      <x:c r="A775" s="62"/>
      <x:c r="B775" s="62"/>
      <x:c r="C775" s="62"/>
      <x:c r="D775" s="66"/>
      <x:c r="E775" s="68"/>
      <x:c r="F775" s="62"/>
      <x:c r="G775" s="62"/>
      <x:c r="H775" s="62"/>
      <x:c r="I775" s="62"/>
      <x:c r="J775" s="62"/>
      <x:c r="K775" s="62"/>
      <x:c r="L775" s="62"/>
      <x:c r="M775" s="68"/>
      <x:c r="N775" s="68"/>
      <x:c r="O775" s="68"/>
      <x:c r="P775" s="71" t="str">
        <x:f>IF(A775="","",IF(N775&gt;0,N775,M775))</x:f>
      </x:c>
      <x:c r="Q775" s="72" t="n">
        <x:f>IF(A775="",0,IF(COUNTIF($A$5:A775,A775)=1,1,0))</x:f>
        <x:v>0</x:v>
      </x:c>
      <x:c r="R775" s="64" t="str">
        <x:f>IF(A775="","",IF(F775="C775成功",IF(AND(J775&lt;&gt;"",K775&lt;&gt;"",N775&gt;0),"有证据","缺C775证据"),IF(F775="C775发货确认中",IF(AND(J775&lt;&gt;"",K775&lt;&gt;""),"有证据","缺C775证据"),IF(F775="手动完结",IF(OR(L775&lt;&gt;"",O775&lt;&gt;"",S775&lt;&gt;""),"有记录","缺手工证据"),IF(OR(F775="卖出待补仓",F775="提交结果待确认",F775="异常待处理"),"持续跟踪","检查状态")))))</x:f>
      </x:c>
      <x:c r="T775" s="64" t="str">
        <x:f>IF(A775="","",IF(COUNTIF($A$5:$A$1204,A775)&gt;1,"重复",""))</x:f>
      </x:c>
      <x:c r="U775" s="64" t="str">
        <x:f>IF(A775="","",IF(T775="重复","检查重复",IF(OR(R775="有证据",R775="有记录",R775="持续跟踪"),"可追踪","检查")))</x:f>
      </x:c>
    </x:row>
    <x:row r="776">
      <x:c r="A776" s="62"/>
      <x:c r="B776" s="62"/>
      <x:c r="C776" s="62"/>
      <x:c r="D776" s="66"/>
      <x:c r="E776" s="68"/>
      <x:c r="F776" s="62"/>
      <x:c r="G776" s="62"/>
      <x:c r="H776" s="62"/>
      <x:c r="I776" s="62"/>
      <x:c r="J776" s="62"/>
      <x:c r="K776" s="62"/>
      <x:c r="L776" s="62"/>
      <x:c r="M776" s="68"/>
      <x:c r="N776" s="68"/>
      <x:c r="O776" s="68"/>
      <x:c r="P776" s="71" t="str">
        <x:f>IF(A776="","",IF(N776&gt;0,N776,M776))</x:f>
      </x:c>
      <x:c r="Q776" s="72" t="n">
        <x:f>IF(A776="",0,IF(COUNTIF($A$5:A776,A776)=1,1,0))</x:f>
        <x:v>0</x:v>
      </x:c>
      <x:c r="R776" s="64" t="str">
        <x:f>IF(A776="","",IF(F776="C776成功",IF(AND(J776&lt;&gt;"",K776&lt;&gt;"",N776&gt;0),"有证据","缺C776证据"),IF(F776="C776发货确认中",IF(AND(J776&lt;&gt;"",K776&lt;&gt;""),"有证据","缺C776证据"),IF(F776="手动完结",IF(OR(L776&lt;&gt;"",O776&lt;&gt;"",S776&lt;&gt;""),"有记录","缺手工证据"),IF(OR(F776="卖出待补仓",F776="提交结果待确认",F776="异常待处理"),"持续跟踪","检查状态")))))</x:f>
      </x:c>
      <x:c r="T776" s="64" t="str">
        <x:f>IF(A776="","",IF(COUNTIF($A$5:$A$1204,A776)&gt;1,"重复",""))</x:f>
      </x:c>
      <x:c r="U776" s="64" t="str">
        <x:f>IF(A776="","",IF(T776="重复","检查重复",IF(OR(R776="有证据",R776="有记录",R776="持续跟踪"),"可追踪","检查")))</x:f>
      </x:c>
    </x:row>
    <x:row r="777">
      <x:c r="A777" s="62"/>
      <x:c r="B777" s="62"/>
      <x:c r="C777" s="62"/>
      <x:c r="D777" s="66"/>
      <x:c r="E777" s="68"/>
      <x:c r="F777" s="62"/>
      <x:c r="G777" s="62"/>
      <x:c r="H777" s="62"/>
      <x:c r="I777" s="62"/>
      <x:c r="J777" s="62"/>
      <x:c r="K777" s="62"/>
      <x:c r="L777" s="62"/>
      <x:c r="M777" s="68"/>
      <x:c r="N777" s="68"/>
      <x:c r="O777" s="68"/>
      <x:c r="P777" s="71" t="str">
        <x:f>IF(A777="","",IF(N777&gt;0,N777,M777))</x:f>
      </x:c>
      <x:c r="Q777" s="72" t="n">
        <x:f>IF(A777="",0,IF(COUNTIF($A$5:A777,A777)=1,1,0))</x:f>
        <x:v>0</x:v>
      </x:c>
      <x:c r="R777" s="64" t="str">
        <x:f>IF(A777="","",IF(F777="C777成功",IF(AND(J777&lt;&gt;"",K777&lt;&gt;"",N777&gt;0),"有证据","缺C777证据"),IF(F777="C777发货确认中",IF(AND(J777&lt;&gt;"",K777&lt;&gt;""),"有证据","缺C777证据"),IF(F777="手动完结",IF(OR(L777&lt;&gt;"",O777&lt;&gt;"",S777&lt;&gt;""),"有记录","缺手工证据"),IF(OR(F777="卖出待补仓",F777="提交结果待确认",F777="异常待处理"),"持续跟踪","检查状态")))))</x:f>
      </x:c>
      <x:c r="T777" s="64" t="str">
        <x:f>IF(A777="","",IF(COUNTIF($A$5:$A$1204,A777)&gt;1,"重复",""))</x:f>
      </x:c>
      <x:c r="U777" s="64" t="str">
        <x:f>IF(A777="","",IF(T777="重复","检查重复",IF(OR(R777="有证据",R777="有记录",R777="持续跟踪"),"可追踪","检查")))</x:f>
      </x:c>
    </x:row>
    <x:row r="778">
      <x:c r="A778" s="62"/>
      <x:c r="B778" s="62"/>
      <x:c r="C778" s="62"/>
      <x:c r="D778" s="66"/>
      <x:c r="E778" s="68"/>
      <x:c r="F778" s="62"/>
      <x:c r="G778" s="62"/>
      <x:c r="H778" s="62"/>
      <x:c r="I778" s="62"/>
      <x:c r="J778" s="62"/>
      <x:c r="K778" s="62"/>
      <x:c r="L778" s="62"/>
      <x:c r="M778" s="68"/>
      <x:c r="N778" s="68"/>
      <x:c r="O778" s="68"/>
      <x:c r="P778" s="71" t="str">
        <x:f>IF(A778="","",IF(N778&gt;0,N778,M778))</x:f>
      </x:c>
      <x:c r="Q778" s="72" t="n">
        <x:f>IF(A778="",0,IF(COUNTIF($A$5:A778,A778)=1,1,0))</x:f>
        <x:v>0</x:v>
      </x:c>
      <x:c r="R778" s="64" t="str">
        <x:f>IF(A778="","",IF(F778="C778成功",IF(AND(J778&lt;&gt;"",K778&lt;&gt;"",N778&gt;0),"有证据","缺C778证据"),IF(F778="C778发货确认中",IF(AND(J778&lt;&gt;"",K778&lt;&gt;""),"有证据","缺C778证据"),IF(F778="手动完结",IF(OR(L778&lt;&gt;"",O778&lt;&gt;"",S778&lt;&gt;""),"有记录","缺手工证据"),IF(OR(F778="卖出待补仓",F778="提交结果待确认",F778="异常待处理"),"持续跟踪","检查状态")))))</x:f>
      </x:c>
      <x:c r="T778" s="64" t="str">
        <x:f>IF(A778="","",IF(COUNTIF($A$5:$A$1204,A778)&gt;1,"重复",""))</x:f>
      </x:c>
      <x:c r="U778" s="64" t="str">
        <x:f>IF(A778="","",IF(T778="重复","检查重复",IF(OR(R778="有证据",R778="有记录",R778="持续跟踪"),"可追踪","检查")))</x:f>
      </x:c>
    </x:row>
    <x:row r="779">
      <x:c r="A779" s="62"/>
      <x:c r="B779" s="62"/>
      <x:c r="C779" s="62"/>
      <x:c r="D779" s="66"/>
      <x:c r="E779" s="68"/>
      <x:c r="F779" s="62"/>
      <x:c r="G779" s="62"/>
      <x:c r="H779" s="62"/>
      <x:c r="I779" s="62"/>
      <x:c r="J779" s="62"/>
      <x:c r="K779" s="62"/>
      <x:c r="L779" s="62"/>
      <x:c r="M779" s="68"/>
      <x:c r="N779" s="68"/>
      <x:c r="O779" s="68"/>
      <x:c r="P779" s="71" t="str">
        <x:f>IF(A779="","",IF(N779&gt;0,N779,M779))</x:f>
      </x:c>
      <x:c r="Q779" s="72" t="n">
        <x:f>IF(A779="",0,IF(COUNTIF($A$5:A779,A779)=1,1,0))</x:f>
        <x:v>0</x:v>
      </x:c>
      <x:c r="R779" s="64" t="str">
        <x:f>IF(A779="","",IF(F779="C779成功",IF(AND(J779&lt;&gt;"",K779&lt;&gt;"",N779&gt;0),"有证据","缺C779证据"),IF(F779="C779发货确认中",IF(AND(J779&lt;&gt;"",K779&lt;&gt;""),"有证据","缺C779证据"),IF(F779="手动完结",IF(OR(L779&lt;&gt;"",O779&lt;&gt;"",S779&lt;&gt;""),"有记录","缺手工证据"),IF(OR(F779="卖出待补仓",F779="提交结果待确认",F779="异常待处理"),"持续跟踪","检查状态")))))</x:f>
      </x:c>
      <x:c r="T779" s="64" t="str">
        <x:f>IF(A779="","",IF(COUNTIF($A$5:$A$1204,A779)&gt;1,"重复",""))</x:f>
      </x:c>
      <x:c r="U779" s="64" t="str">
        <x:f>IF(A779="","",IF(T779="重复","检查重复",IF(OR(R779="有证据",R779="有记录",R779="持续跟踪"),"可追踪","检查")))</x:f>
      </x:c>
    </x:row>
    <x:row r="780">
      <x:c r="A780" s="62"/>
      <x:c r="B780" s="62"/>
      <x:c r="C780" s="62"/>
      <x:c r="D780" s="66"/>
      <x:c r="E780" s="68"/>
      <x:c r="F780" s="62"/>
      <x:c r="G780" s="62"/>
      <x:c r="H780" s="62"/>
      <x:c r="I780" s="62"/>
      <x:c r="J780" s="62"/>
      <x:c r="K780" s="62"/>
      <x:c r="L780" s="62"/>
      <x:c r="M780" s="68"/>
      <x:c r="N780" s="68"/>
      <x:c r="O780" s="68"/>
      <x:c r="P780" s="71" t="str">
        <x:f>IF(A780="","",IF(N780&gt;0,N780,M780))</x:f>
      </x:c>
      <x:c r="Q780" s="72" t="n">
        <x:f>IF(A780="",0,IF(COUNTIF($A$5:A780,A780)=1,1,0))</x:f>
        <x:v>0</x:v>
      </x:c>
      <x:c r="R780" s="64" t="str">
        <x:f>IF(A780="","",IF(F780="C780成功",IF(AND(J780&lt;&gt;"",K780&lt;&gt;"",N780&gt;0),"有证据","缺C780证据"),IF(F780="C780发货确认中",IF(AND(J780&lt;&gt;"",K780&lt;&gt;""),"有证据","缺C780证据"),IF(F780="手动完结",IF(OR(L780&lt;&gt;"",O780&lt;&gt;"",S780&lt;&gt;""),"有记录","缺手工证据"),IF(OR(F780="卖出待补仓",F780="提交结果待确认",F780="异常待处理"),"持续跟踪","检查状态")))))</x:f>
      </x:c>
      <x:c r="T780" s="64" t="str">
        <x:f>IF(A780="","",IF(COUNTIF($A$5:$A$1204,A780)&gt;1,"重复",""))</x:f>
      </x:c>
      <x:c r="U780" s="64" t="str">
        <x:f>IF(A780="","",IF(T780="重复","检查重复",IF(OR(R780="有证据",R780="有记录",R780="持续跟踪"),"可追踪","检查")))</x:f>
      </x:c>
    </x:row>
    <x:row r="781">
      <x:c r="A781" s="62"/>
      <x:c r="B781" s="62"/>
      <x:c r="C781" s="62"/>
      <x:c r="D781" s="66"/>
      <x:c r="E781" s="68"/>
      <x:c r="F781" s="62"/>
      <x:c r="G781" s="62"/>
      <x:c r="H781" s="62"/>
      <x:c r="I781" s="62"/>
      <x:c r="J781" s="62"/>
      <x:c r="K781" s="62"/>
      <x:c r="L781" s="62"/>
      <x:c r="M781" s="68"/>
      <x:c r="N781" s="68"/>
      <x:c r="O781" s="68"/>
      <x:c r="P781" s="71" t="str">
        <x:f>IF(A781="","",IF(N781&gt;0,N781,M781))</x:f>
      </x:c>
      <x:c r="Q781" s="72" t="n">
        <x:f>IF(A781="",0,IF(COUNTIF($A$5:A781,A781)=1,1,0))</x:f>
        <x:v>0</x:v>
      </x:c>
      <x:c r="R781" s="64" t="str">
        <x:f>IF(A781="","",IF(F781="C781成功",IF(AND(J781&lt;&gt;"",K781&lt;&gt;"",N781&gt;0),"有证据","缺C781证据"),IF(F781="C781发货确认中",IF(AND(J781&lt;&gt;"",K781&lt;&gt;""),"有证据","缺C781证据"),IF(F781="手动完结",IF(OR(L781&lt;&gt;"",O781&lt;&gt;"",S781&lt;&gt;""),"有记录","缺手工证据"),IF(OR(F781="卖出待补仓",F781="提交结果待确认",F781="异常待处理"),"持续跟踪","检查状态")))))</x:f>
      </x:c>
      <x:c r="T781" s="64" t="str">
        <x:f>IF(A781="","",IF(COUNTIF($A$5:$A$1204,A781)&gt;1,"重复",""))</x:f>
      </x:c>
      <x:c r="U781" s="64" t="str">
        <x:f>IF(A781="","",IF(T781="重复","检查重复",IF(OR(R781="有证据",R781="有记录",R781="持续跟踪"),"可追踪","检查")))</x:f>
      </x:c>
    </x:row>
    <x:row r="782">
      <x:c r="A782" s="62"/>
      <x:c r="B782" s="62"/>
      <x:c r="C782" s="62"/>
      <x:c r="D782" s="66"/>
      <x:c r="E782" s="68"/>
      <x:c r="F782" s="62"/>
      <x:c r="G782" s="62"/>
      <x:c r="H782" s="62"/>
      <x:c r="I782" s="62"/>
      <x:c r="J782" s="62"/>
      <x:c r="K782" s="62"/>
      <x:c r="L782" s="62"/>
      <x:c r="M782" s="68"/>
      <x:c r="N782" s="68"/>
      <x:c r="O782" s="68"/>
      <x:c r="P782" s="71" t="str">
        <x:f>IF(A782="","",IF(N782&gt;0,N782,M782))</x:f>
      </x:c>
      <x:c r="Q782" s="72" t="n">
        <x:f>IF(A782="",0,IF(COUNTIF($A$5:A782,A782)=1,1,0))</x:f>
        <x:v>0</x:v>
      </x:c>
      <x:c r="R782" s="64" t="str">
        <x:f>IF(A782="","",IF(F782="C782成功",IF(AND(J782&lt;&gt;"",K782&lt;&gt;"",N782&gt;0),"有证据","缺C782证据"),IF(F782="C782发货确认中",IF(AND(J782&lt;&gt;"",K782&lt;&gt;""),"有证据","缺C782证据"),IF(F782="手动完结",IF(OR(L782&lt;&gt;"",O782&lt;&gt;"",S782&lt;&gt;""),"有记录","缺手工证据"),IF(OR(F782="卖出待补仓",F782="提交结果待确认",F782="异常待处理"),"持续跟踪","检查状态")))))</x:f>
      </x:c>
      <x:c r="T782" s="64" t="str">
        <x:f>IF(A782="","",IF(COUNTIF($A$5:$A$1204,A782)&gt;1,"重复",""))</x:f>
      </x:c>
      <x:c r="U782" s="64" t="str">
        <x:f>IF(A782="","",IF(T782="重复","检查重复",IF(OR(R782="有证据",R782="有记录",R782="持续跟踪"),"可追踪","检查")))</x:f>
      </x:c>
    </x:row>
    <x:row r="783">
      <x:c r="A783" s="62"/>
      <x:c r="B783" s="62"/>
      <x:c r="C783" s="62"/>
      <x:c r="D783" s="66"/>
      <x:c r="E783" s="68"/>
      <x:c r="F783" s="62"/>
      <x:c r="G783" s="62"/>
      <x:c r="H783" s="62"/>
      <x:c r="I783" s="62"/>
      <x:c r="J783" s="62"/>
      <x:c r="K783" s="62"/>
      <x:c r="L783" s="62"/>
      <x:c r="M783" s="68"/>
      <x:c r="N783" s="68"/>
      <x:c r="O783" s="68"/>
      <x:c r="P783" s="71" t="str">
        <x:f>IF(A783="","",IF(N783&gt;0,N783,M783))</x:f>
      </x:c>
      <x:c r="Q783" s="72" t="n">
        <x:f>IF(A783="",0,IF(COUNTIF($A$5:A783,A783)=1,1,0))</x:f>
        <x:v>0</x:v>
      </x:c>
      <x:c r="R783" s="64" t="str">
        <x:f>IF(A783="","",IF(F783="C783成功",IF(AND(J783&lt;&gt;"",K783&lt;&gt;"",N783&gt;0),"有证据","缺C783证据"),IF(F783="C783发货确认中",IF(AND(J783&lt;&gt;"",K783&lt;&gt;""),"有证据","缺C783证据"),IF(F783="手动完结",IF(OR(L783&lt;&gt;"",O783&lt;&gt;"",S783&lt;&gt;""),"有记录","缺手工证据"),IF(OR(F783="卖出待补仓",F783="提交结果待确认",F783="异常待处理"),"持续跟踪","检查状态")))))</x:f>
      </x:c>
      <x:c r="T783" s="64" t="str">
        <x:f>IF(A783="","",IF(COUNTIF($A$5:$A$1204,A783)&gt;1,"重复",""))</x:f>
      </x:c>
      <x:c r="U783" s="64" t="str">
        <x:f>IF(A783="","",IF(T783="重复","检查重复",IF(OR(R783="有证据",R783="有记录",R783="持续跟踪"),"可追踪","检查")))</x:f>
      </x:c>
    </x:row>
    <x:row r="784">
      <x:c r="A784" s="62"/>
      <x:c r="B784" s="62"/>
      <x:c r="C784" s="62"/>
      <x:c r="D784" s="66"/>
      <x:c r="E784" s="68"/>
      <x:c r="F784" s="62"/>
      <x:c r="G784" s="62"/>
      <x:c r="H784" s="62"/>
      <x:c r="I784" s="62"/>
      <x:c r="J784" s="62"/>
      <x:c r="K784" s="62"/>
      <x:c r="L784" s="62"/>
      <x:c r="M784" s="68"/>
      <x:c r="N784" s="68"/>
      <x:c r="O784" s="68"/>
      <x:c r="P784" s="71" t="str">
        <x:f>IF(A784="","",IF(N784&gt;0,N784,M784))</x:f>
      </x:c>
      <x:c r="Q784" s="72" t="n">
        <x:f>IF(A784="",0,IF(COUNTIF($A$5:A784,A784)=1,1,0))</x:f>
        <x:v>0</x:v>
      </x:c>
      <x:c r="R784" s="64" t="str">
        <x:f>IF(A784="","",IF(F784="C784成功",IF(AND(J784&lt;&gt;"",K784&lt;&gt;"",N784&gt;0),"有证据","缺C784证据"),IF(F784="C784发货确认中",IF(AND(J784&lt;&gt;"",K784&lt;&gt;""),"有证据","缺C784证据"),IF(F784="手动完结",IF(OR(L784&lt;&gt;"",O784&lt;&gt;"",S784&lt;&gt;""),"有记录","缺手工证据"),IF(OR(F784="卖出待补仓",F784="提交结果待确认",F784="异常待处理"),"持续跟踪","检查状态")))))</x:f>
      </x:c>
      <x:c r="T784" s="64" t="str">
        <x:f>IF(A784="","",IF(COUNTIF($A$5:$A$1204,A784)&gt;1,"重复",""))</x:f>
      </x:c>
      <x:c r="U784" s="64" t="str">
        <x:f>IF(A784="","",IF(T784="重复","检查重复",IF(OR(R784="有证据",R784="有记录",R784="持续跟踪"),"可追踪","检查")))</x:f>
      </x:c>
    </x:row>
    <x:row r="785">
      <x:c r="A785" s="62"/>
      <x:c r="B785" s="62"/>
      <x:c r="C785" s="62"/>
      <x:c r="D785" s="66"/>
      <x:c r="E785" s="68"/>
      <x:c r="F785" s="62"/>
      <x:c r="G785" s="62"/>
      <x:c r="H785" s="62"/>
      <x:c r="I785" s="62"/>
      <x:c r="J785" s="62"/>
      <x:c r="K785" s="62"/>
      <x:c r="L785" s="62"/>
      <x:c r="M785" s="68"/>
      <x:c r="N785" s="68"/>
      <x:c r="O785" s="68"/>
      <x:c r="P785" s="71" t="str">
        <x:f>IF(A785="","",IF(N785&gt;0,N785,M785))</x:f>
      </x:c>
      <x:c r="Q785" s="72" t="n">
        <x:f>IF(A785="",0,IF(COUNTIF($A$5:A785,A785)=1,1,0))</x:f>
        <x:v>0</x:v>
      </x:c>
      <x:c r="R785" s="64" t="str">
        <x:f>IF(A785="","",IF(F785="C785成功",IF(AND(J785&lt;&gt;"",K785&lt;&gt;"",N785&gt;0),"有证据","缺C785证据"),IF(F785="C785发货确认中",IF(AND(J785&lt;&gt;"",K785&lt;&gt;""),"有证据","缺C785证据"),IF(F785="手动完结",IF(OR(L785&lt;&gt;"",O785&lt;&gt;"",S785&lt;&gt;""),"有记录","缺手工证据"),IF(OR(F785="卖出待补仓",F785="提交结果待确认",F785="异常待处理"),"持续跟踪","检查状态")))))</x:f>
      </x:c>
      <x:c r="T785" s="64" t="str">
        <x:f>IF(A785="","",IF(COUNTIF($A$5:$A$1204,A785)&gt;1,"重复",""))</x:f>
      </x:c>
      <x:c r="U785" s="64" t="str">
        <x:f>IF(A785="","",IF(T785="重复","检查重复",IF(OR(R785="有证据",R785="有记录",R785="持续跟踪"),"可追踪","检查")))</x:f>
      </x:c>
    </x:row>
    <x:row r="786">
      <x:c r="A786" s="62"/>
      <x:c r="B786" s="62"/>
      <x:c r="C786" s="62"/>
      <x:c r="D786" s="66"/>
      <x:c r="E786" s="68"/>
      <x:c r="F786" s="62"/>
      <x:c r="G786" s="62"/>
      <x:c r="H786" s="62"/>
      <x:c r="I786" s="62"/>
      <x:c r="J786" s="62"/>
      <x:c r="K786" s="62"/>
      <x:c r="L786" s="62"/>
      <x:c r="M786" s="68"/>
      <x:c r="N786" s="68"/>
      <x:c r="O786" s="68"/>
      <x:c r="P786" s="71" t="str">
        <x:f>IF(A786="","",IF(N786&gt;0,N786,M786))</x:f>
      </x:c>
      <x:c r="Q786" s="72" t="n">
        <x:f>IF(A786="",0,IF(COUNTIF($A$5:A786,A786)=1,1,0))</x:f>
        <x:v>0</x:v>
      </x:c>
      <x:c r="R786" s="64" t="str">
        <x:f>IF(A786="","",IF(F786="C786成功",IF(AND(J786&lt;&gt;"",K786&lt;&gt;"",N786&gt;0),"有证据","缺C786证据"),IF(F786="C786发货确认中",IF(AND(J786&lt;&gt;"",K786&lt;&gt;""),"有证据","缺C786证据"),IF(F786="手动完结",IF(OR(L786&lt;&gt;"",O786&lt;&gt;"",S786&lt;&gt;""),"有记录","缺手工证据"),IF(OR(F786="卖出待补仓",F786="提交结果待确认",F786="异常待处理"),"持续跟踪","检查状态")))))</x:f>
      </x:c>
      <x:c r="T786" s="64" t="str">
        <x:f>IF(A786="","",IF(COUNTIF($A$5:$A$1204,A786)&gt;1,"重复",""))</x:f>
      </x:c>
      <x:c r="U786" s="64" t="str">
        <x:f>IF(A786="","",IF(T786="重复","检查重复",IF(OR(R786="有证据",R786="有记录",R786="持续跟踪"),"可追踪","检查")))</x:f>
      </x:c>
    </x:row>
    <x:row r="787">
      <x:c r="A787" s="62"/>
      <x:c r="B787" s="62"/>
      <x:c r="C787" s="62"/>
      <x:c r="D787" s="66"/>
      <x:c r="E787" s="68"/>
      <x:c r="F787" s="62"/>
      <x:c r="G787" s="62"/>
      <x:c r="H787" s="62"/>
      <x:c r="I787" s="62"/>
      <x:c r="J787" s="62"/>
      <x:c r="K787" s="62"/>
      <x:c r="L787" s="62"/>
      <x:c r="M787" s="68"/>
      <x:c r="N787" s="68"/>
      <x:c r="O787" s="68"/>
      <x:c r="P787" s="71" t="str">
        <x:f>IF(A787="","",IF(N787&gt;0,N787,M787))</x:f>
      </x:c>
      <x:c r="Q787" s="72" t="n">
        <x:f>IF(A787="",0,IF(COUNTIF($A$5:A787,A787)=1,1,0))</x:f>
        <x:v>0</x:v>
      </x:c>
      <x:c r="R787" s="64" t="str">
        <x:f>IF(A787="","",IF(F787="C787成功",IF(AND(J787&lt;&gt;"",K787&lt;&gt;"",N787&gt;0),"有证据","缺C787证据"),IF(F787="C787发货确认中",IF(AND(J787&lt;&gt;"",K787&lt;&gt;""),"有证据","缺C787证据"),IF(F787="手动完结",IF(OR(L787&lt;&gt;"",O787&lt;&gt;"",S787&lt;&gt;""),"有记录","缺手工证据"),IF(OR(F787="卖出待补仓",F787="提交结果待确认",F787="异常待处理"),"持续跟踪","检查状态")))))</x:f>
      </x:c>
      <x:c r="T787" s="64" t="str">
        <x:f>IF(A787="","",IF(COUNTIF($A$5:$A$1204,A787)&gt;1,"重复",""))</x:f>
      </x:c>
      <x:c r="U787" s="64" t="str">
        <x:f>IF(A787="","",IF(T787="重复","检查重复",IF(OR(R787="有证据",R787="有记录",R787="持续跟踪"),"可追踪","检查")))</x:f>
      </x:c>
    </x:row>
    <x:row r="788">
      <x:c r="A788" s="62"/>
      <x:c r="B788" s="62"/>
      <x:c r="C788" s="62"/>
      <x:c r="D788" s="66"/>
      <x:c r="E788" s="68"/>
      <x:c r="F788" s="62"/>
      <x:c r="G788" s="62"/>
      <x:c r="H788" s="62"/>
      <x:c r="I788" s="62"/>
      <x:c r="J788" s="62"/>
      <x:c r="K788" s="62"/>
      <x:c r="L788" s="62"/>
      <x:c r="M788" s="68"/>
      <x:c r="N788" s="68"/>
      <x:c r="O788" s="68"/>
      <x:c r="P788" s="71" t="str">
        <x:f>IF(A788="","",IF(N788&gt;0,N788,M788))</x:f>
      </x:c>
      <x:c r="Q788" s="72" t="n">
        <x:f>IF(A788="",0,IF(COUNTIF($A$5:A788,A788)=1,1,0))</x:f>
        <x:v>0</x:v>
      </x:c>
      <x:c r="R788" s="64" t="str">
        <x:f>IF(A788="","",IF(F788="C788成功",IF(AND(J788&lt;&gt;"",K788&lt;&gt;"",N788&gt;0),"有证据","缺C788证据"),IF(F788="C788发货确认中",IF(AND(J788&lt;&gt;"",K788&lt;&gt;""),"有证据","缺C788证据"),IF(F788="手动完结",IF(OR(L788&lt;&gt;"",O788&lt;&gt;"",S788&lt;&gt;""),"有记录","缺手工证据"),IF(OR(F788="卖出待补仓",F788="提交结果待确认",F788="异常待处理"),"持续跟踪","检查状态")))))</x:f>
      </x:c>
      <x:c r="T788" s="64" t="str">
        <x:f>IF(A788="","",IF(COUNTIF($A$5:$A$1204,A788)&gt;1,"重复",""))</x:f>
      </x:c>
      <x:c r="U788" s="64" t="str">
        <x:f>IF(A788="","",IF(T788="重复","检查重复",IF(OR(R788="有证据",R788="有记录",R788="持续跟踪"),"可追踪","检查")))</x:f>
      </x:c>
    </x:row>
    <x:row r="789">
      <x:c r="A789" s="62"/>
      <x:c r="B789" s="62"/>
      <x:c r="C789" s="62"/>
      <x:c r="D789" s="66"/>
      <x:c r="E789" s="68"/>
      <x:c r="F789" s="62"/>
      <x:c r="G789" s="62"/>
      <x:c r="H789" s="62"/>
      <x:c r="I789" s="62"/>
      <x:c r="J789" s="62"/>
      <x:c r="K789" s="62"/>
      <x:c r="L789" s="62"/>
      <x:c r="M789" s="68"/>
      <x:c r="N789" s="68"/>
      <x:c r="O789" s="68"/>
      <x:c r="P789" s="71" t="str">
        <x:f>IF(A789="","",IF(N789&gt;0,N789,M789))</x:f>
      </x:c>
      <x:c r="Q789" s="72" t="n">
        <x:f>IF(A789="",0,IF(COUNTIF($A$5:A789,A789)=1,1,0))</x:f>
        <x:v>0</x:v>
      </x:c>
      <x:c r="R789" s="64" t="str">
        <x:f>IF(A789="","",IF(F789="C789成功",IF(AND(J789&lt;&gt;"",K789&lt;&gt;"",N789&gt;0),"有证据","缺C789证据"),IF(F789="C789发货确认中",IF(AND(J789&lt;&gt;"",K789&lt;&gt;""),"有证据","缺C789证据"),IF(F789="手动完结",IF(OR(L789&lt;&gt;"",O789&lt;&gt;"",S789&lt;&gt;""),"有记录","缺手工证据"),IF(OR(F789="卖出待补仓",F789="提交结果待确认",F789="异常待处理"),"持续跟踪","检查状态")))))</x:f>
      </x:c>
      <x:c r="T789" s="64" t="str">
        <x:f>IF(A789="","",IF(COUNTIF($A$5:$A$1204,A789)&gt;1,"重复",""))</x:f>
      </x:c>
      <x:c r="U789" s="64" t="str">
        <x:f>IF(A789="","",IF(T789="重复","检查重复",IF(OR(R789="有证据",R789="有记录",R789="持续跟踪"),"可追踪","检查")))</x:f>
      </x:c>
    </x:row>
    <x:row r="790">
      <x:c r="A790" s="62"/>
      <x:c r="B790" s="62"/>
      <x:c r="C790" s="62"/>
      <x:c r="D790" s="66"/>
      <x:c r="E790" s="68"/>
      <x:c r="F790" s="62"/>
      <x:c r="G790" s="62"/>
      <x:c r="H790" s="62"/>
      <x:c r="I790" s="62"/>
      <x:c r="J790" s="62"/>
      <x:c r="K790" s="62"/>
      <x:c r="L790" s="62"/>
      <x:c r="M790" s="68"/>
      <x:c r="N790" s="68"/>
      <x:c r="O790" s="68"/>
      <x:c r="P790" s="71" t="str">
        <x:f>IF(A790="","",IF(N790&gt;0,N790,M790))</x:f>
      </x:c>
      <x:c r="Q790" s="72" t="n">
        <x:f>IF(A790="",0,IF(COUNTIF($A$5:A790,A790)=1,1,0))</x:f>
        <x:v>0</x:v>
      </x:c>
      <x:c r="R790" s="64" t="str">
        <x:f>IF(A790="","",IF(F790="C790成功",IF(AND(J790&lt;&gt;"",K790&lt;&gt;"",N790&gt;0),"有证据","缺C790证据"),IF(F790="C790发货确认中",IF(AND(J790&lt;&gt;"",K790&lt;&gt;""),"有证据","缺C790证据"),IF(F790="手动完结",IF(OR(L790&lt;&gt;"",O790&lt;&gt;"",S790&lt;&gt;""),"有记录","缺手工证据"),IF(OR(F790="卖出待补仓",F790="提交结果待确认",F790="异常待处理"),"持续跟踪","检查状态")))))</x:f>
      </x:c>
      <x:c r="T790" s="64" t="str">
        <x:f>IF(A790="","",IF(COUNTIF($A$5:$A$1204,A790)&gt;1,"重复",""))</x:f>
      </x:c>
      <x:c r="U790" s="64" t="str">
        <x:f>IF(A790="","",IF(T790="重复","检查重复",IF(OR(R790="有证据",R790="有记录",R790="持续跟踪"),"可追踪","检查")))</x:f>
      </x:c>
    </x:row>
    <x:row r="791">
      <x:c r="A791" s="62"/>
      <x:c r="B791" s="62"/>
      <x:c r="C791" s="62"/>
      <x:c r="D791" s="66"/>
      <x:c r="E791" s="68"/>
      <x:c r="F791" s="62"/>
      <x:c r="G791" s="62"/>
      <x:c r="H791" s="62"/>
      <x:c r="I791" s="62"/>
      <x:c r="J791" s="62"/>
      <x:c r="K791" s="62"/>
      <x:c r="L791" s="62"/>
      <x:c r="M791" s="68"/>
      <x:c r="N791" s="68"/>
      <x:c r="O791" s="68"/>
      <x:c r="P791" s="71" t="str">
        <x:f>IF(A791="","",IF(N791&gt;0,N791,M791))</x:f>
      </x:c>
      <x:c r="Q791" s="72" t="n">
        <x:f>IF(A791="",0,IF(COUNTIF($A$5:A791,A791)=1,1,0))</x:f>
        <x:v>0</x:v>
      </x:c>
      <x:c r="R791" s="64" t="str">
        <x:f>IF(A791="","",IF(F791="C791成功",IF(AND(J791&lt;&gt;"",K791&lt;&gt;"",N791&gt;0),"有证据","缺C791证据"),IF(F791="C791发货确认中",IF(AND(J791&lt;&gt;"",K791&lt;&gt;""),"有证据","缺C791证据"),IF(F791="手动完结",IF(OR(L791&lt;&gt;"",O791&lt;&gt;"",S791&lt;&gt;""),"有记录","缺手工证据"),IF(OR(F791="卖出待补仓",F791="提交结果待确认",F791="异常待处理"),"持续跟踪","检查状态")))))</x:f>
      </x:c>
      <x:c r="T791" s="64" t="str">
        <x:f>IF(A791="","",IF(COUNTIF($A$5:$A$1204,A791)&gt;1,"重复",""))</x:f>
      </x:c>
      <x:c r="U791" s="64" t="str">
        <x:f>IF(A791="","",IF(T791="重复","检查重复",IF(OR(R791="有证据",R791="有记录",R791="持续跟踪"),"可追踪","检查")))</x:f>
      </x:c>
    </x:row>
    <x:row r="792">
      <x:c r="A792" s="62"/>
      <x:c r="B792" s="62"/>
      <x:c r="C792" s="62"/>
      <x:c r="D792" s="66"/>
      <x:c r="E792" s="68"/>
      <x:c r="F792" s="62"/>
      <x:c r="G792" s="62"/>
      <x:c r="H792" s="62"/>
      <x:c r="I792" s="62"/>
      <x:c r="J792" s="62"/>
      <x:c r="K792" s="62"/>
      <x:c r="L792" s="62"/>
      <x:c r="M792" s="68"/>
      <x:c r="N792" s="68"/>
      <x:c r="O792" s="68"/>
      <x:c r="P792" s="71" t="str">
        <x:f>IF(A792="","",IF(N792&gt;0,N792,M792))</x:f>
      </x:c>
      <x:c r="Q792" s="72" t="n">
        <x:f>IF(A792="",0,IF(COUNTIF($A$5:A792,A792)=1,1,0))</x:f>
        <x:v>0</x:v>
      </x:c>
      <x:c r="R792" s="64" t="str">
        <x:f>IF(A792="","",IF(F792="C792成功",IF(AND(J792&lt;&gt;"",K792&lt;&gt;"",N792&gt;0),"有证据","缺C792证据"),IF(F792="C792发货确认中",IF(AND(J792&lt;&gt;"",K792&lt;&gt;""),"有证据","缺C792证据"),IF(F792="手动完结",IF(OR(L792&lt;&gt;"",O792&lt;&gt;"",S792&lt;&gt;""),"有记录","缺手工证据"),IF(OR(F792="卖出待补仓",F792="提交结果待确认",F792="异常待处理"),"持续跟踪","检查状态")))))</x:f>
      </x:c>
      <x:c r="T792" s="64" t="str">
        <x:f>IF(A792="","",IF(COUNTIF($A$5:$A$1204,A792)&gt;1,"重复",""))</x:f>
      </x:c>
      <x:c r="U792" s="64" t="str">
        <x:f>IF(A792="","",IF(T792="重复","检查重复",IF(OR(R792="有证据",R792="有记录",R792="持续跟踪"),"可追踪","检查")))</x:f>
      </x:c>
    </x:row>
    <x:row r="793">
      <x:c r="A793" s="62"/>
      <x:c r="B793" s="62"/>
      <x:c r="C793" s="62"/>
      <x:c r="D793" s="66"/>
      <x:c r="E793" s="68"/>
      <x:c r="F793" s="62"/>
      <x:c r="G793" s="62"/>
      <x:c r="H793" s="62"/>
      <x:c r="I793" s="62"/>
      <x:c r="J793" s="62"/>
      <x:c r="K793" s="62"/>
      <x:c r="L793" s="62"/>
      <x:c r="M793" s="68"/>
      <x:c r="N793" s="68"/>
      <x:c r="O793" s="68"/>
      <x:c r="P793" s="71" t="str">
        <x:f>IF(A793="","",IF(N793&gt;0,N793,M793))</x:f>
      </x:c>
      <x:c r="Q793" s="72" t="n">
        <x:f>IF(A793="",0,IF(COUNTIF($A$5:A793,A793)=1,1,0))</x:f>
        <x:v>0</x:v>
      </x:c>
      <x:c r="R793" s="64" t="str">
        <x:f>IF(A793="","",IF(F793="C793成功",IF(AND(J793&lt;&gt;"",K793&lt;&gt;"",N793&gt;0),"有证据","缺C793证据"),IF(F793="C793发货确认中",IF(AND(J793&lt;&gt;"",K793&lt;&gt;""),"有证据","缺C793证据"),IF(F793="手动完结",IF(OR(L793&lt;&gt;"",O793&lt;&gt;"",S793&lt;&gt;""),"有记录","缺手工证据"),IF(OR(F793="卖出待补仓",F793="提交结果待确认",F793="异常待处理"),"持续跟踪","检查状态")))))</x:f>
      </x:c>
      <x:c r="T793" s="64" t="str">
        <x:f>IF(A793="","",IF(COUNTIF($A$5:$A$1204,A793)&gt;1,"重复",""))</x:f>
      </x:c>
      <x:c r="U793" s="64" t="str">
        <x:f>IF(A793="","",IF(T793="重复","检查重复",IF(OR(R793="有证据",R793="有记录",R793="持续跟踪"),"可追踪","检查")))</x:f>
      </x:c>
    </x:row>
    <x:row r="794">
      <x:c r="A794" s="62"/>
      <x:c r="B794" s="62"/>
      <x:c r="C794" s="62"/>
      <x:c r="D794" s="66"/>
      <x:c r="E794" s="68"/>
      <x:c r="F794" s="62"/>
      <x:c r="G794" s="62"/>
      <x:c r="H794" s="62"/>
      <x:c r="I794" s="62"/>
      <x:c r="J794" s="62"/>
      <x:c r="K794" s="62"/>
      <x:c r="L794" s="62"/>
      <x:c r="M794" s="68"/>
      <x:c r="N794" s="68"/>
      <x:c r="O794" s="68"/>
      <x:c r="P794" s="71" t="str">
        <x:f>IF(A794="","",IF(N794&gt;0,N794,M794))</x:f>
      </x:c>
      <x:c r="Q794" s="72" t="n">
        <x:f>IF(A794="",0,IF(COUNTIF($A$5:A794,A794)=1,1,0))</x:f>
        <x:v>0</x:v>
      </x:c>
      <x:c r="R794" s="64" t="str">
        <x:f>IF(A794="","",IF(F794="C794成功",IF(AND(J794&lt;&gt;"",K794&lt;&gt;"",N794&gt;0),"有证据","缺C794证据"),IF(F794="C794发货确认中",IF(AND(J794&lt;&gt;"",K794&lt;&gt;""),"有证据","缺C794证据"),IF(F794="手动完结",IF(OR(L794&lt;&gt;"",O794&lt;&gt;"",S794&lt;&gt;""),"有记录","缺手工证据"),IF(OR(F794="卖出待补仓",F794="提交结果待确认",F794="异常待处理"),"持续跟踪","检查状态")))))</x:f>
      </x:c>
      <x:c r="T794" s="64" t="str">
        <x:f>IF(A794="","",IF(COUNTIF($A$5:$A$1204,A794)&gt;1,"重复",""))</x:f>
      </x:c>
      <x:c r="U794" s="64" t="str">
        <x:f>IF(A794="","",IF(T794="重复","检查重复",IF(OR(R794="有证据",R794="有记录",R794="持续跟踪"),"可追踪","检查")))</x:f>
      </x:c>
    </x:row>
    <x:row r="795">
      <x:c r="A795" s="62"/>
      <x:c r="B795" s="62"/>
      <x:c r="C795" s="62"/>
      <x:c r="D795" s="66"/>
      <x:c r="E795" s="68"/>
      <x:c r="F795" s="62"/>
      <x:c r="G795" s="62"/>
      <x:c r="H795" s="62"/>
      <x:c r="I795" s="62"/>
      <x:c r="J795" s="62"/>
      <x:c r="K795" s="62"/>
      <x:c r="L795" s="62"/>
      <x:c r="M795" s="68"/>
      <x:c r="N795" s="68"/>
      <x:c r="O795" s="68"/>
      <x:c r="P795" s="71" t="str">
        <x:f>IF(A795="","",IF(N795&gt;0,N795,M795))</x:f>
      </x:c>
      <x:c r="Q795" s="72" t="n">
        <x:f>IF(A795="",0,IF(COUNTIF($A$5:A795,A795)=1,1,0))</x:f>
        <x:v>0</x:v>
      </x:c>
      <x:c r="R795" s="64" t="str">
        <x:f>IF(A795="","",IF(F795="C795成功",IF(AND(J795&lt;&gt;"",K795&lt;&gt;"",N795&gt;0),"有证据","缺C795证据"),IF(F795="C795发货确认中",IF(AND(J795&lt;&gt;"",K795&lt;&gt;""),"有证据","缺C795证据"),IF(F795="手动完结",IF(OR(L795&lt;&gt;"",O795&lt;&gt;"",S795&lt;&gt;""),"有记录","缺手工证据"),IF(OR(F795="卖出待补仓",F795="提交结果待确认",F795="异常待处理"),"持续跟踪","检查状态")))))</x:f>
      </x:c>
      <x:c r="T795" s="64" t="str">
        <x:f>IF(A795="","",IF(COUNTIF($A$5:$A$1204,A795)&gt;1,"重复",""))</x:f>
      </x:c>
      <x:c r="U795" s="64" t="str">
        <x:f>IF(A795="","",IF(T795="重复","检查重复",IF(OR(R795="有证据",R795="有记录",R795="持续跟踪"),"可追踪","检查")))</x:f>
      </x:c>
    </x:row>
    <x:row r="796">
      <x:c r="A796" s="62"/>
      <x:c r="B796" s="62"/>
      <x:c r="C796" s="62"/>
      <x:c r="D796" s="66"/>
      <x:c r="E796" s="68"/>
      <x:c r="F796" s="62"/>
      <x:c r="G796" s="62"/>
      <x:c r="H796" s="62"/>
      <x:c r="I796" s="62"/>
      <x:c r="J796" s="62"/>
      <x:c r="K796" s="62"/>
      <x:c r="L796" s="62"/>
      <x:c r="M796" s="68"/>
      <x:c r="N796" s="68"/>
      <x:c r="O796" s="68"/>
      <x:c r="P796" s="71" t="str">
        <x:f>IF(A796="","",IF(N796&gt;0,N796,M796))</x:f>
      </x:c>
      <x:c r="Q796" s="72" t="n">
        <x:f>IF(A796="",0,IF(COUNTIF($A$5:A796,A796)=1,1,0))</x:f>
        <x:v>0</x:v>
      </x:c>
      <x:c r="R796" s="64" t="str">
        <x:f>IF(A796="","",IF(F796="C796成功",IF(AND(J796&lt;&gt;"",K796&lt;&gt;"",N796&gt;0),"有证据","缺C796证据"),IF(F796="C796发货确认中",IF(AND(J796&lt;&gt;"",K796&lt;&gt;""),"有证据","缺C796证据"),IF(F796="手动完结",IF(OR(L796&lt;&gt;"",O796&lt;&gt;"",S796&lt;&gt;""),"有记录","缺手工证据"),IF(OR(F796="卖出待补仓",F796="提交结果待确认",F796="异常待处理"),"持续跟踪","检查状态")))))</x:f>
      </x:c>
      <x:c r="T796" s="64" t="str">
        <x:f>IF(A796="","",IF(COUNTIF($A$5:$A$1204,A796)&gt;1,"重复",""))</x:f>
      </x:c>
      <x:c r="U796" s="64" t="str">
        <x:f>IF(A796="","",IF(T796="重复","检查重复",IF(OR(R796="有证据",R796="有记录",R796="持续跟踪"),"可追踪","检查")))</x:f>
      </x:c>
    </x:row>
    <x:row r="797">
      <x:c r="A797" s="62"/>
      <x:c r="B797" s="62"/>
      <x:c r="C797" s="62"/>
      <x:c r="D797" s="66"/>
      <x:c r="E797" s="68"/>
      <x:c r="F797" s="62"/>
      <x:c r="G797" s="62"/>
      <x:c r="H797" s="62"/>
      <x:c r="I797" s="62"/>
      <x:c r="J797" s="62"/>
      <x:c r="K797" s="62"/>
      <x:c r="L797" s="62"/>
      <x:c r="M797" s="68"/>
      <x:c r="N797" s="68"/>
      <x:c r="O797" s="68"/>
      <x:c r="P797" s="71" t="str">
        <x:f>IF(A797="","",IF(N797&gt;0,N797,M797))</x:f>
      </x:c>
      <x:c r="Q797" s="72" t="n">
        <x:f>IF(A797="",0,IF(COUNTIF($A$5:A797,A797)=1,1,0))</x:f>
        <x:v>0</x:v>
      </x:c>
      <x:c r="R797" s="64" t="str">
        <x:f>IF(A797="","",IF(F797="C797成功",IF(AND(J797&lt;&gt;"",K797&lt;&gt;"",N797&gt;0),"有证据","缺C797证据"),IF(F797="C797发货确认中",IF(AND(J797&lt;&gt;"",K797&lt;&gt;""),"有证据","缺C797证据"),IF(F797="手动完结",IF(OR(L797&lt;&gt;"",O797&lt;&gt;"",S797&lt;&gt;""),"有记录","缺手工证据"),IF(OR(F797="卖出待补仓",F797="提交结果待确认",F797="异常待处理"),"持续跟踪","检查状态")))))</x:f>
      </x:c>
      <x:c r="T797" s="64" t="str">
        <x:f>IF(A797="","",IF(COUNTIF($A$5:$A$1204,A797)&gt;1,"重复",""))</x:f>
      </x:c>
      <x:c r="U797" s="64" t="str">
        <x:f>IF(A797="","",IF(T797="重复","检查重复",IF(OR(R797="有证据",R797="有记录",R797="持续跟踪"),"可追踪","检查")))</x:f>
      </x:c>
    </x:row>
    <x:row r="798">
      <x:c r="A798" s="62"/>
      <x:c r="B798" s="62"/>
      <x:c r="C798" s="62"/>
      <x:c r="D798" s="66"/>
      <x:c r="E798" s="68"/>
      <x:c r="F798" s="62"/>
      <x:c r="G798" s="62"/>
      <x:c r="H798" s="62"/>
      <x:c r="I798" s="62"/>
      <x:c r="J798" s="62"/>
      <x:c r="K798" s="62"/>
      <x:c r="L798" s="62"/>
      <x:c r="M798" s="68"/>
      <x:c r="N798" s="68"/>
      <x:c r="O798" s="68"/>
      <x:c r="P798" s="71" t="str">
        <x:f>IF(A798="","",IF(N798&gt;0,N798,M798))</x:f>
      </x:c>
      <x:c r="Q798" s="72" t="n">
        <x:f>IF(A798="",0,IF(COUNTIF($A$5:A798,A798)=1,1,0))</x:f>
        <x:v>0</x:v>
      </x:c>
      <x:c r="R798" s="64" t="str">
        <x:f>IF(A798="","",IF(F798="C798成功",IF(AND(J798&lt;&gt;"",K798&lt;&gt;"",N798&gt;0),"有证据","缺C798证据"),IF(F798="C798发货确认中",IF(AND(J798&lt;&gt;"",K798&lt;&gt;""),"有证据","缺C798证据"),IF(F798="手动完结",IF(OR(L798&lt;&gt;"",O798&lt;&gt;"",S798&lt;&gt;""),"有记录","缺手工证据"),IF(OR(F798="卖出待补仓",F798="提交结果待确认",F798="异常待处理"),"持续跟踪","检查状态")))))</x:f>
      </x:c>
      <x:c r="T798" s="64" t="str">
        <x:f>IF(A798="","",IF(COUNTIF($A$5:$A$1204,A798)&gt;1,"重复",""))</x:f>
      </x:c>
      <x:c r="U798" s="64" t="str">
        <x:f>IF(A798="","",IF(T798="重复","检查重复",IF(OR(R798="有证据",R798="有记录",R798="持续跟踪"),"可追踪","检查")))</x:f>
      </x:c>
    </x:row>
    <x:row r="799">
      <x:c r="A799" s="62"/>
      <x:c r="B799" s="62"/>
      <x:c r="C799" s="62"/>
      <x:c r="D799" s="66"/>
      <x:c r="E799" s="68"/>
      <x:c r="F799" s="62"/>
      <x:c r="G799" s="62"/>
      <x:c r="H799" s="62"/>
      <x:c r="I799" s="62"/>
      <x:c r="J799" s="62"/>
      <x:c r="K799" s="62"/>
      <x:c r="L799" s="62"/>
      <x:c r="M799" s="68"/>
      <x:c r="N799" s="68"/>
      <x:c r="O799" s="68"/>
      <x:c r="P799" s="71" t="str">
        <x:f>IF(A799="","",IF(N799&gt;0,N799,M799))</x:f>
      </x:c>
      <x:c r="Q799" s="72" t="n">
        <x:f>IF(A799="",0,IF(COUNTIF($A$5:A799,A799)=1,1,0))</x:f>
        <x:v>0</x:v>
      </x:c>
      <x:c r="R799" s="64" t="str">
        <x:f>IF(A799="","",IF(F799="C799成功",IF(AND(J799&lt;&gt;"",K799&lt;&gt;"",N799&gt;0),"有证据","缺C799证据"),IF(F799="C799发货确认中",IF(AND(J799&lt;&gt;"",K799&lt;&gt;""),"有证据","缺C799证据"),IF(F799="手动完结",IF(OR(L799&lt;&gt;"",O799&lt;&gt;"",S799&lt;&gt;""),"有记录","缺手工证据"),IF(OR(F799="卖出待补仓",F799="提交结果待确认",F799="异常待处理"),"持续跟踪","检查状态")))))</x:f>
      </x:c>
      <x:c r="T799" s="64" t="str">
        <x:f>IF(A799="","",IF(COUNTIF($A$5:$A$1204,A799)&gt;1,"重复",""))</x:f>
      </x:c>
      <x:c r="U799" s="64" t="str">
        <x:f>IF(A799="","",IF(T799="重复","检查重复",IF(OR(R799="有证据",R799="有记录",R799="持续跟踪"),"可追踪","检查")))</x:f>
      </x:c>
    </x:row>
    <x:row r="800">
      <x:c r="A800" s="62"/>
      <x:c r="B800" s="62"/>
      <x:c r="C800" s="62"/>
      <x:c r="D800" s="66"/>
      <x:c r="E800" s="68"/>
      <x:c r="F800" s="62"/>
      <x:c r="G800" s="62"/>
      <x:c r="H800" s="62"/>
      <x:c r="I800" s="62"/>
      <x:c r="J800" s="62"/>
      <x:c r="K800" s="62"/>
      <x:c r="L800" s="62"/>
      <x:c r="M800" s="68"/>
      <x:c r="N800" s="68"/>
      <x:c r="O800" s="68"/>
      <x:c r="P800" s="71" t="str">
        <x:f>IF(A800="","",IF(N800&gt;0,N800,M800))</x:f>
      </x:c>
      <x:c r="Q800" s="72" t="n">
        <x:f>IF(A800="",0,IF(COUNTIF($A$5:A800,A800)=1,1,0))</x:f>
        <x:v>0</x:v>
      </x:c>
      <x:c r="R800" s="64" t="str">
        <x:f>IF(A800="","",IF(F800="C800成功",IF(AND(J800&lt;&gt;"",K800&lt;&gt;"",N800&gt;0),"有证据","缺C800证据"),IF(F800="C800发货确认中",IF(AND(J800&lt;&gt;"",K800&lt;&gt;""),"有证据","缺C800证据"),IF(F800="手动完结",IF(OR(L800&lt;&gt;"",O800&lt;&gt;"",S800&lt;&gt;""),"有记录","缺手工证据"),IF(OR(F800="卖出待补仓",F800="提交结果待确认",F800="异常待处理"),"持续跟踪","检查状态")))))</x:f>
      </x:c>
      <x:c r="T800" s="64" t="str">
        <x:f>IF(A800="","",IF(COUNTIF($A$5:$A$1204,A800)&gt;1,"重复",""))</x:f>
      </x:c>
      <x:c r="U800" s="64" t="str">
        <x:f>IF(A800="","",IF(T800="重复","检查重复",IF(OR(R800="有证据",R800="有记录",R800="持续跟踪"),"可追踪","检查")))</x:f>
      </x:c>
    </x:row>
    <x:row r="801">
      <x:c r="A801" s="62"/>
      <x:c r="B801" s="62"/>
      <x:c r="C801" s="62"/>
      <x:c r="D801" s="66"/>
      <x:c r="E801" s="68"/>
      <x:c r="F801" s="62"/>
      <x:c r="G801" s="62"/>
      <x:c r="H801" s="62"/>
      <x:c r="I801" s="62"/>
      <x:c r="J801" s="62"/>
      <x:c r="K801" s="62"/>
      <x:c r="L801" s="62"/>
      <x:c r="M801" s="68"/>
      <x:c r="N801" s="68"/>
      <x:c r="O801" s="68"/>
      <x:c r="P801" s="71" t="str">
        <x:f>IF(A801="","",IF(N801&gt;0,N801,M801))</x:f>
      </x:c>
      <x:c r="Q801" s="72" t="n">
        <x:f>IF(A801="",0,IF(COUNTIF($A$5:A801,A801)=1,1,0))</x:f>
        <x:v>0</x:v>
      </x:c>
      <x:c r="R801" s="64" t="str">
        <x:f>IF(A801="","",IF(F801="C801成功",IF(AND(J801&lt;&gt;"",K801&lt;&gt;"",N801&gt;0),"有证据","缺C801证据"),IF(F801="C801发货确认中",IF(AND(J801&lt;&gt;"",K801&lt;&gt;""),"有证据","缺C801证据"),IF(F801="手动完结",IF(OR(L801&lt;&gt;"",O801&lt;&gt;"",S801&lt;&gt;""),"有记录","缺手工证据"),IF(OR(F801="卖出待补仓",F801="提交结果待确认",F801="异常待处理"),"持续跟踪","检查状态")))))</x:f>
      </x:c>
      <x:c r="T801" s="64" t="str">
        <x:f>IF(A801="","",IF(COUNTIF($A$5:$A$1204,A801)&gt;1,"重复",""))</x:f>
      </x:c>
      <x:c r="U801" s="64" t="str">
        <x:f>IF(A801="","",IF(T801="重复","检查重复",IF(OR(R801="有证据",R801="有记录",R801="持续跟踪"),"可追踪","检查")))</x:f>
      </x:c>
    </x:row>
    <x:row r="802">
      <x:c r="A802" s="62"/>
      <x:c r="B802" s="62"/>
      <x:c r="C802" s="62"/>
      <x:c r="D802" s="66"/>
      <x:c r="E802" s="68"/>
      <x:c r="F802" s="62"/>
      <x:c r="G802" s="62"/>
      <x:c r="H802" s="62"/>
      <x:c r="I802" s="62"/>
      <x:c r="J802" s="62"/>
      <x:c r="K802" s="62"/>
      <x:c r="L802" s="62"/>
      <x:c r="M802" s="68"/>
      <x:c r="N802" s="68"/>
      <x:c r="O802" s="68"/>
      <x:c r="P802" s="71" t="str">
        <x:f>IF(A802="","",IF(N802&gt;0,N802,M802))</x:f>
      </x:c>
      <x:c r="Q802" s="72" t="n">
        <x:f>IF(A802="",0,IF(COUNTIF($A$5:A802,A802)=1,1,0))</x:f>
        <x:v>0</x:v>
      </x:c>
      <x:c r="R802" s="64" t="str">
        <x:f>IF(A802="","",IF(F802="C802成功",IF(AND(J802&lt;&gt;"",K802&lt;&gt;"",N802&gt;0),"有证据","缺C802证据"),IF(F802="C802发货确认中",IF(AND(J802&lt;&gt;"",K802&lt;&gt;""),"有证据","缺C802证据"),IF(F802="手动完结",IF(OR(L802&lt;&gt;"",O802&lt;&gt;"",S802&lt;&gt;""),"有记录","缺手工证据"),IF(OR(F802="卖出待补仓",F802="提交结果待确认",F802="异常待处理"),"持续跟踪","检查状态")))))</x:f>
      </x:c>
      <x:c r="T802" s="64" t="str">
        <x:f>IF(A802="","",IF(COUNTIF($A$5:$A$1204,A802)&gt;1,"重复",""))</x:f>
      </x:c>
      <x:c r="U802" s="64" t="str">
        <x:f>IF(A802="","",IF(T802="重复","检查重复",IF(OR(R802="有证据",R802="有记录",R802="持续跟踪"),"可追踪","检查")))</x:f>
      </x:c>
    </x:row>
    <x:row r="803">
      <x:c r="A803" s="62"/>
      <x:c r="B803" s="62"/>
      <x:c r="C803" s="62"/>
      <x:c r="D803" s="66"/>
      <x:c r="E803" s="68"/>
      <x:c r="F803" s="62"/>
      <x:c r="G803" s="62"/>
      <x:c r="H803" s="62"/>
      <x:c r="I803" s="62"/>
      <x:c r="J803" s="62"/>
      <x:c r="K803" s="62"/>
      <x:c r="L803" s="62"/>
      <x:c r="M803" s="68"/>
      <x:c r="N803" s="68"/>
      <x:c r="O803" s="68"/>
      <x:c r="P803" s="71" t="str">
        <x:f>IF(A803="","",IF(N803&gt;0,N803,M803))</x:f>
      </x:c>
      <x:c r="Q803" s="72" t="n">
        <x:f>IF(A803="",0,IF(COUNTIF($A$5:A803,A803)=1,1,0))</x:f>
        <x:v>0</x:v>
      </x:c>
      <x:c r="R803" s="64" t="str">
        <x:f>IF(A803="","",IF(F803="C803成功",IF(AND(J803&lt;&gt;"",K803&lt;&gt;"",N803&gt;0),"有证据","缺C803证据"),IF(F803="C803发货确认中",IF(AND(J803&lt;&gt;"",K803&lt;&gt;""),"有证据","缺C803证据"),IF(F803="手动完结",IF(OR(L803&lt;&gt;"",O803&lt;&gt;"",S803&lt;&gt;""),"有记录","缺手工证据"),IF(OR(F803="卖出待补仓",F803="提交结果待确认",F803="异常待处理"),"持续跟踪","检查状态")))))</x:f>
      </x:c>
      <x:c r="T803" s="64" t="str">
        <x:f>IF(A803="","",IF(COUNTIF($A$5:$A$1204,A803)&gt;1,"重复",""))</x:f>
      </x:c>
      <x:c r="U803" s="64" t="str">
        <x:f>IF(A803="","",IF(T803="重复","检查重复",IF(OR(R803="有证据",R803="有记录",R803="持续跟踪"),"可追踪","检查")))</x:f>
      </x:c>
    </x:row>
    <x:row r="804">
      <x:c r="A804" s="62"/>
      <x:c r="B804" s="62"/>
      <x:c r="C804" s="62"/>
      <x:c r="D804" s="66"/>
      <x:c r="E804" s="68"/>
      <x:c r="F804" s="62"/>
      <x:c r="G804" s="62"/>
      <x:c r="H804" s="62"/>
      <x:c r="I804" s="62"/>
      <x:c r="J804" s="62"/>
      <x:c r="K804" s="62"/>
      <x:c r="L804" s="62"/>
      <x:c r="M804" s="68"/>
      <x:c r="N804" s="68"/>
      <x:c r="O804" s="68"/>
      <x:c r="P804" s="71" t="str">
        <x:f>IF(A804="","",IF(N804&gt;0,N804,M804))</x:f>
      </x:c>
      <x:c r="Q804" s="72" t="n">
        <x:f>IF(A804="",0,IF(COUNTIF($A$5:A804,A804)=1,1,0))</x:f>
        <x:v>0</x:v>
      </x:c>
      <x:c r="R804" s="64" t="str">
        <x:f>IF(A804="","",IF(F804="C804成功",IF(AND(J804&lt;&gt;"",K804&lt;&gt;"",N804&gt;0),"有证据","缺C804证据"),IF(F804="C804发货确认中",IF(AND(J804&lt;&gt;"",K804&lt;&gt;""),"有证据","缺C804证据"),IF(F804="手动完结",IF(OR(L804&lt;&gt;"",O804&lt;&gt;"",S804&lt;&gt;""),"有记录","缺手工证据"),IF(OR(F804="卖出待补仓",F804="提交结果待确认",F804="异常待处理"),"持续跟踪","检查状态")))))</x:f>
      </x:c>
      <x:c r="T804" s="64" t="str">
        <x:f>IF(A804="","",IF(COUNTIF($A$5:$A$1204,A804)&gt;1,"重复",""))</x:f>
      </x:c>
      <x:c r="U804" s="64" t="str">
        <x:f>IF(A804="","",IF(T804="重复","检查重复",IF(OR(R804="有证据",R804="有记录",R804="持续跟踪"),"可追踪","检查")))</x:f>
      </x:c>
    </x:row>
    <x:row r="805">
      <x:c r="A805" s="62"/>
      <x:c r="B805" s="62"/>
      <x:c r="C805" s="62"/>
      <x:c r="D805" s="66"/>
      <x:c r="E805" s="68"/>
      <x:c r="F805" s="62"/>
      <x:c r="G805" s="62"/>
      <x:c r="H805" s="62"/>
      <x:c r="I805" s="62"/>
      <x:c r="J805" s="62"/>
      <x:c r="K805" s="62"/>
      <x:c r="L805" s="62"/>
      <x:c r="M805" s="68"/>
      <x:c r="N805" s="68"/>
      <x:c r="O805" s="68"/>
      <x:c r="P805" s="71" t="str">
        <x:f>IF(A805="","",IF(N805&gt;0,N805,M805))</x:f>
      </x:c>
      <x:c r="Q805" s="72" t="n">
        <x:f>IF(A805="",0,IF(COUNTIF($A$5:A805,A805)=1,1,0))</x:f>
        <x:v>0</x:v>
      </x:c>
      <x:c r="R805" s="64" t="str">
        <x:f>IF(A805="","",IF(F805="C805成功",IF(AND(J805&lt;&gt;"",K805&lt;&gt;"",N805&gt;0),"有证据","缺C805证据"),IF(F805="C805发货确认中",IF(AND(J805&lt;&gt;"",K805&lt;&gt;""),"有证据","缺C805证据"),IF(F805="手动完结",IF(OR(L805&lt;&gt;"",O805&lt;&gt;"",S805&lt;&gt;""),"有记录","缺手工证据"),IF(OR(F805="卖出待补仓",F805="提交结果待确认",F805="异常待处理"),"持续跟踪","检查状态")))))</x:f>
      </x:c>
      <x:c r="T805" s="64" t="str">
        <x:f>IF(A805="","",IF(COUNTIF($A$5:$A$1204,A805)&gt;1,"重复",""))</x:f>
      </x:c>
      <x:c r="U805" s="64" t="str">
        <x:f>IF(A805="","",IF(T805="重复","检查重复",IF(OR(R805="有证据",R805="有记录",R805="持续跟踪"),"可追踪","检查")))</x:f>
      </x:c>
    </x:row>
    <x:row r="806">
      <x:c r="A806" s="62"/>
      <x:c r="B806" s="62"/>
      <x:c r="C806" s="62"/>
      <x:c r="D806" s="66"/>
      <x:c r="E806" s="68"/>
      <x:c r="F806" s="62"/>
      <x:c r="G806" s="62"/>
      <x:c r="H806" s="62"/>
      <x:c r="I806" s="62"/>
      <x:c r="J806" s="62"/>
      <x:c r="K806" s="62"/>
      <x:c r="L806" s="62"/>
      <x:c r="M806" s="68"/>
      <x:c r="N806" s="68"/>
      <x:c r="O806" s="68"/>
      <x:c r="P806" s="71" t="str">
        <x:f>IF(A806="","",IF(N806&gt;0,N806,M806))</x:f>
      </x:c>
      <x:c r="Q806" s="72" t="n">
        <x:f>IF(A806="",0,IF(COUNTIF($A$5:A806,A806)=1,1,0))</x:f>
        <x:v>0</x:v>
      </x:c>
      <x:c r="R806" s="64" t="str">
        <x:f>IF(A806="","",IF(F806="C806成功",IF(AND(J806&lt;&gt;"",K806&lt;&gt;"",N806&gt;0),"有证据","缺C806证据"),IF(F806="C806发货确认中",IF(AND(J806&lt;&gt;"",K806&lt;&gt;""),"有证据","缺C806证据"),IF(F806="手动完结",IF(OR(L806&lt;&gt;"",O806&lt;&gt;"",S806&lt;&gt;""),"有记录","缺手工证据"),IF(OR(F806="卖出待补仓",F806="提交结果待确认",F806="异常待处理"),"持续跟踪","检查状态")))))</x:f>
      </x:c>
      <x:c r="T806" s="64" t="str">
        <x:f>IF(A806="","",IF(COUNTIF($A$5:$A$1204,A806)&gt;1,"重复",""))</x:f>
      </x:c>
      <x:c r="U806" s="64" t="str">
        <x:f>IF(A806="","",IF(T806="重复","检查重复",IF(OR(R806="有证据",R806="有记录",R806="持续跟踪"),"可追踪","检查")))</x:f>
      </x:c>
    </x:row>
    <x:row r="807">
      <x:c r="A807" s="62"/>
      <x:c r="B807" s="62"/>
      <x:c r="C807" s="62"/>
      <x:c r="D807" s="66"/>
      <x:c r="E807" s="68"/>
      <x:c r="F807" s="62"/>
      <x:c r="G807" s="62"/>
      <x:c r="H807" s="62"/>
      <x:c r="I807" s="62"/>
      <x:c r="J807" s="62"/>
      <x:c r="K807" s="62"/>
      <x:c r="L807" s="62"/>
      <x:c r="M807" s="68"/>
      <x:c r="N807" s="68"/>
      <x:c r="O807" s="68"/>
      <x:c r="P807" s="71" t="str">
        <x:f>IF(A807="","",IF(N807&gt;0,N807,M807))</x:f>
      </x:c>
      <x:c r="Q807" s="72" t="n">
        <x:f>IF(A807="",0,IF(COUNTIF($A$5:A807,A807)=1,1,0))</x:f>
        <x:v>0</x:v>
      </x:c>
      <x:c r="R807" s="64" t="str">
        <x:f>IF(A807="","",IF(F807="C807成功",IF(AND(J807&lt;&gt;"",K807&lt;&gt;"",N807&gt;0),"有证据","缺C807证据"),IF(F807="C807发货确认中",IF(AND(J807&lt;&gt;"",K807&lt;&gt;""),"有证据","缺C807证据"),IF(F807="手动完结",IF(OR(L807&lt;&gt;"",O807&lt;&gt;"",S807&lt;&gt;""),"有记录","缺手工证据"),IF(OR(F807="卖出待补仓",F807="提交结果待确认",F807="异常待处理"),"持续跟踪","检查状态")))))</x:f>
      </x:c>
      <x:c r="T807" s="64" t="str">
        <x:f>IF(A807="","",IF(COUNTIF($A$5:$A$1204,A807)&gt;1,"重复",""))</x:f>
      </x:c>
      <x:c r="U807" s="64" t="str">
        <x:f>IF(A807="","",IF(T807="重复","检查重复",IF(OR(R807="有证据",R807="有记录",R807="持续跟踪"),"可追踪","检查")))</x:f>
      </x:c>
    </x:row>
    <x:row r="808">
      <x:c r="A808" s="62"/>
      <x:c r="B808" s="62"/>
      <x:c r="C808" s="62"/>
      <x:c r="D808" s="66"/>
      <x:c r="E808" s="68"/>
      <x:c r="F808" s="62"/>
      <x:c r="G808" s="62"/>
      <x:c r="H808" s="62"/>
      <x:c r="I808" s="62"/>
      <x:c r="J808" s="62"/>
      <x:c r="K808" s="62"/>
      <x:c r="L808" s="62"/>
      <x:c r="M808" s="68"/>
      <x:c r="N808" s="68"/>
      <x:c r="O808" s="68"/>
      <x:c r="P808" s="71" t="str">
        <x:f>IF(A808="","",IF(N808&gt;0,N808,M808))</x:f>
      </x:c>
      <x:c r="Q808" s="72" t="n">
        <x:f>IF(A808="",0,IF(COUNTIF($A$5:A808,A808)=1,1,0))</x:f>
        <x:v>0</x:v>
      </x:c>
      <x:c r="R808" s="64" t="str">
        <x:f>IF(A808="","",IF(F808="C808成功",IF(AND(J808&lt;&gt;"",K808&lt;&gt;"",N808&gt;0),"有证据","缺C808证据"),IF(F808="C808发货确认中",IF(AND(J808&lt;&gt;"",K808&lt;&gt;""),"有证据","缺C808证据"),IF(F808="手动完结",IF(OR(L808&lt;&gt;"",O808&lt;&gt;"",S808&lt;&gt;""),"有记录","缺手工证据"),IF(OR(F808="卖出待补仓",F808="提交结果待确认",F808="异常待处理"),"持续跟踪","检查状态")))))</x:f>
      </x:c>
      <x:c r="T808" s="64" t="str">
        <x:f>IF(A808="","",IF(COUNTIF($A$5:$A$1204,A808)&gt;1,"重复",""))</x:f>
      </x:c>
      <x:c r="U808" s="64" t="str">
        <x:f>IF(A808="","",IF(T808="重复","检查重复",IF(OR(R808="有证据",R808="有记录",R808="持续跟踪"),"可追踪","检查")))</x:f>
      </x:c>
    </x:row>
    <x:row r="809">
      <x:c r="A809" s="62"/>
      <x:c r="B809" s="62"/>
      <x:c r="C809" s="62"/>
      <x:c r="D809" s="66"/>
      <x:c r="E809" s="68"/>
      <x:c r="F809" s="62"/>
      <x:c r="G809" s="62"/>
      <x:c r="H809" s="62"/>
      <x:c r="I809" s="62"/>
      <x:c r="J809" s="62"/>
      <x:c r="K809" s="62"/>
      <x:c r="L809" s="62"/>
      <x:c r="M809" s="68"/>
      <x:c r="N809" s="68"/>
      <x:c r="O809" s="68"/>
      <x:c r="P809" s="71" t="str">
        <x:f>IF(A809="","",IF(N809&gt;0,N809,M809))</x:f>
      </x:c>
      <x:c r="Q809" s="72" t="n">
        <x:f>IF(A809="",0,IF(COUNTIF($A$5:A809,A809)=1,1,0))</x:f>
        <x:v>0</x:v>
      </x:c>
      <x:c r="R809" s="64" t="str">
        <x:f>IF(A809="","",IF(F809="C809成功",IF(AND(J809&lt;&gt;"",K809&lt;&gt;"",N809&gt;0),"有证据","缺C809证据"),IF(F809="C809发货确认中",IF(AND(J809&lt;&gt;"",K809&lt;&gt;""),"有证据","缺C809证据"),IF(F809="手动完结",IF(OR(L809&lt;&gt;"",O809&lt;&gt;"",S809&lt;&gt;""),"有记录","缺手工证据"),IF(OR(F809="卖出待补仓",F809="提交结果待确认",F809="异常待处理"),"持续跟踪","检查状态")))))</x:f>
      </x:c>
      <x:c r="T809" s="64" t="str">
        <x:f>IF(A809="","",IF(COUNTIF($A$5:$A$1204,A809)&gt;1,"重复",""))</x:f>
      </x:c>
      <x:c r="U809" s="64" t="str">
        <x:f>IF(A809="","",IF(T809="重复","检查重复",IF(OR(R809="有证据",R809="有记录",R809="持续跟踪"),"可追踪","检查")))</x:f>
      </x:c>
    </x:row>
    <x:row r="810">
      <x:c r="A810" s="62"/>
      <x:c r="B810" s="62"/>
      <x:c r="C810" s="62"/>
      <x:c r="D810" s="66"/>
      <x:c r="E810" s="68"/>
      <x:c r="F810" s="62"/>
      <x:c r="G810" s="62"/>
      <x:c r="H810" s="62"/>
      <x:c r="I810" s="62"/>
      <x:c r="J810" s="62"/>
      <x:c r="K810" s="62"/>
      <x:c r="L810" s="62"/>
      <x:c r="M810" s="68"/>
      <x:c r="N810" s="68"/>
      <x:c r="O810" s="68"/>
      <x:c r="P810" s="71" t="str">
        <x:f>IF(A810="","",IF(N810&gt;0,N810,M810))</x:f>
      </x:c>
      <x:c r="Q810" s="72" t="n">
        <x:f>IF(A810="",0,IF(COUNTIF($A$5:A810,A810)=1,1,0))</x:f>
        <x:v>0</x:v>
      </x:c>
      <x:c r="R810" s="64" t="str">
        <x:f>IF(A810="","",IF(F810="C810成功",IF(AND(J810&lt;&gt;"",K810&lt;&gt;"",N810&gt;0),"有证据","缺C810证据"),IF(F810="C810发货确认中",IF(AND(J810&lt;&gt;"",K810&lt;&gt;""),"有证据","缺C810证据"),IF(F810="手动完结",IF(OR(L810&lt;&gt;"",O810&lt;&gt;"",S810&lt;&gt;""),"有记录","缺手工证据"),IF(OR(F810="卖出待补仓",F810="提交结果待确认",F810="异常待处理"),"持续跟踪","检查状态")))))</x:f>
      </x:c>
      <x:c r="T810" s="64" t="str">
        <x:f>IF(A810="","",IF(COUNTIF($A$5:$A$1204,A810)&gt;1,"重复",""))</x:f>
      </x:c>
      <x:c r="U810" s="64" t="str">
        <x:f>IF(A810="","",IF(T810="重复","检查重复",IF(OR(R810="有证据",R810="有记录",R810="持续跟踪"),"可追踪","检查")))</x:f>
      </x:c>
    </x:row>
    <x:row r="811">
      <x:c r="A811" s="62"/>
      <x:c r="B811" s="62"/>
      <x:c r="C811" s="62"/>
      <x:c r="D811" s="66"/>
      <x:c r="E811" s="68"/>
      <x:c r="F811" s="62"/>
      <x:c r="G811" s="62"/>
      <x:c r="H811" s="62"/>
      <x:c r="I811" s="62"/>
      <x:c r="J811" s="62"/>
      <x:c r="K811" s="62"/>
      <x:c r="L811" s="62"/>
      <x:c r="M811" s="68"/>
      <x:c r="N811" s="68"/>
      <x:c r="O811" s="68"/>
      <x:c r="P811" s="71" t="str">
        <x:f>IF(A811="","",IF(N811&gt;0,N811,M811))</x:f>
      </x:c>
      <x:c r="Q811" s="72" t="n">
        <x:f>IF(A811="",0,IF(COUNTIF($A$5:A811,A811)=1,1,0))</x:f>
        <x:v>0</x:v>
      </x:c>
      <x:c r="R811" s="64" t="str">
        <x:f>IF(A811="","",IF(F811="C811成功",IF(AND(J811&lt;&gt;"",K811&lt;&gt;"",N811&gt;0),"有证据","缺C811证据"),IF(F811="C811发货确认中",IF(AND(J811&lt;&gt;"",K811&lt;&gt;""),"有证据","缺C811证据"),IF(F811="手动完结",IF(OR(L811&lt;&gt;"",O811&lt;&gt;"",S811&lt;&gt;""),"有记录","缺手工证据"),IF(OR(F811="卖出待补仓",F811="提交结果待确认",F811="异常待处理"),"持续跟踪","检查状态")))))</x:f>
      </x:c>
      <x:c r="T811" s="64" t="str">
        <x:f>IF(A811="","",IF(COUNTIF($A$5:$A$1204,A811)&gt;1,"重复",""))</x:f>
      </x:c>
      <x:c r="U811" s="64" t="str">
        <x:f>IF(A811="","",IF(T811="重复","检查重复",IF(OR(R811="有证据",R811="有记录",R811="持续跟踪"),"可追踪","检查")))</x:f>
      </x:c>
    </x:row>
    <x:row r="812">
      <x:c r="A812" s="62"/>
      <x:c r="B812" s="62"/>
      <x:c r="C812" s="62"/>
      <x:c r="D812" s="66"/>
      <x:c r="E812" s="68"/>
      <x:c r="F812" s="62"/>
      <x:c r="G812" s="62"/>
      <x:c r="H812" s="62"/>
      <x:c r="I812" s="62"/>
      <x:c r="J812" s="62"/>
      <x:c r="K812" s="62"/>
      <x:c r="L812" s="62"/>
      <x:c r="M812" s="68"/>
      <x:c r="N812" s="68"/>
      <x:c r="O812" s="68"/>
      <x:c r="P812" s="71" t="str">
        <x:f>IF(A812="","",IF(N812&gt;0,N812,M812))</x:f>
      </x:c>
      <x:c r="Q812" s="72" t="n">
        <x:f>IF(A812="",0,IF(COUNTIF($A$5:A812,A812)=1,1,0))</x:f>
        <x:v>0</x:v>
      </x:c>
      <x:c r="R812" s="64" t="str">
        <x:f>IF(A812="","",IF(F812="C812成功",IF(AND(J812&lt;&gt;"",K812&lt;&gt;"",N812&gt;0),"有证据","缺C812证据"),IF(F812="C812发货确认中",IF(AND(J812&lt;&gt;"",K812&lt;&gt;""),"有证据","缺C812证据"),IF(F812="手动完结",IF(OR(L812&lt;&gt;"",O812&lt;&gt;"",S812&lt;&gt;""),"有记录","缺手工证据"),IF(OR(F812="卖出待补仓",F812="提交结果待确认",F812="异常待处理"),"持续跟踪","检查状态")))))</x:f>
      </x:c>
      <x:c r="T812" s="64" t="str">
        <x:f>IF(A812="","",IF(COUNTIF($A$5:$A$1204,A812)&gt;1,"重复",""))</x:f>
      </x:c>
      <x:c r="U812" s="64" t="str">
        <x:f>IF(A812="","",IF(T812="重复","检查重复",IF(OR(R812="有证据",R812="有记录",R812="持续跟踪"),"可追踪","检查")))</x:f>
      </x:c>
    </x:row>
    <x:row r="813">
      <x:c r="A813" s="62"/>
      <x:c r="B813" s="62"/>
      <x:c r="C813" s="62"/>
      <x:c r="D813" s="66"/>
      <x:c r="E813" s="68"/>
      <x:c r="F813" s="62"/>
      <x:c r="G813" s="62"/>
      <x:c r="H813" s="62"/>
      <x:c r="I813" s="62"/>
      <x:c r="J813" s="62"/>
      <x:c r="K813" s="62"/>
      <x:c r="L813" s="62"/>
      <x:c r="M813" s="68"/>
      <x:c r="N813" s="68"/>
      <x:c r="O813" s="68"/>
      <x:c r="P813" s="71" t="str">
        <x:f>IF(A813="","",IF(N813&gt;0,N813,M813))</x:f>
      </x:c>
      <x:c r="Q813" s="72" t="n">
        <x:f>IF(A813="",0,IF(COUNTIF($A$5:A813,A813)=1,1,0))</x:f>
        <x:v>0</x:v>
      </x:c>
      <x:c r="R813" s="64" t="str">
        <x:f>IF(A813="","",IF(F813="C813成功",IF(AND(J813&lt;&gt;"",K813&lt;&gt;"",N813&gt;0),"有证据","缺C813证据"),IF(F813="C813发货确认中",IF(AND(J813&lt;&gt;"",K813&lt;&gt;""),"有证据","缺C813证据"),IF(F813="手动完结",IF(OR(L813&lt;&gt;"",O813&lt;&gt;"",S813&lt;&gt;""),"有记录","缺手工证据"),IF(OR(F813="卖出待补仓",F813="提交结果待确认",F813="异常待处理"),"持续跟踪","检查状态")))))</x:f>
      </x:c>
      <x:c r="T813" s="64" t="str">
        <x:f>IF(A813="","",IF(COUNTIF($A$5:$A$1204,A813)&gt;1,"重复",""))</x:f>
      </x:c>
      <x:c r="U813" s="64" t="str">
        <x:f>IF(A813="","",IF(T813="重复","检查重复",IF(OR(R813="有证据",R813="有记录",R813="持续跟踪"),"可追踪","检查")))</x:f>
      </x:c>
    </x:row>
    <x:row r="814">
      <x:c r="A814" s="62"/>
      <x:c r="B814" s="62"/>
      <x:c r="C814" s="62"/>
      <x:c r="D814" s="66"/>
      <x:c r="E814" s="68"/>
      <x:c r="F814" s="62"/>
      <x:c r="G814" s="62"/>
      <x:c r="H814" s="62"/>
      <x:c r="I814" s="62"/>
      <x:c r="J814" s="62"/>
      <x:c r="K814" s="62"/>
      <x:c r="L814" s="62"/>
      <x:c r="M814" s="68"/>
      <x:c r="N814" s="68"/>
      <x:c r="O814" s="68"/>
      <x:c r="P814" s="71" t="str">
        <x:f>IF(A814="","",IF(N814&gt;0,N814,M814))</x:f>
      </x:c>
      <x:c r="Q814" s="72" t="n">
        <x:f>IF(A814="",0,IF(COUNTIF($A$5:A814,A814)=1,1,0))</x:f>
        <x:v>0</x:v>
      </x:c>
      <x:c r="R814" s="64" t="str">
        <x:f>IF(A814="","",IF(F814="C814成功",IF(AND(J814&lt;&gt;"",K814&lt;&gt;"",N814&gt;0),"有证据","缺C814证据"),IF(F814="C814发货确认中",IF(AND(J814&lt;&gt;"",K814&lt;&gt;""),"有证据","缺C814证据"),IF(F814="手动完结",IF(OR(L814&lt;&gt;"",O814&lt;&gt;"",S814&lt;&gt;""),"有记录","缺手工证据"),IF(OR(F814="卖出待补仓",F814="提交结果待确认",F814="异常待处理"),"持续跟踪","检查状态")))))</x:f>
      </x:c>
      <x:c r="T814" s="64" t="str">
        <x:f>IF(A814="","",IF(COUNTIF($A$5:$A$1204,A814)&gt;1,"重复",""))</x:f>
      </x:c>
      <x:c r="U814" s="64" t="str">
        <x:f>IF(A814="","",IF(T814="重复","检查重复",IF(OR(R814="有证据",R814="有记录",R814="持续跟踪"),"可追踪","检查")))</x:f>
      </x:c>
    </x:row>
    <x:row r="815">
      <x:c r="A815" s="62"/>
      <x:c r="B815" s="62"/>
      <x:c r="C815" s="62"/>
      <x:c r="D815" s="66"/>
      <x:c r="E815" s="68"/>
      <x:c r="F815" s="62"/>
      <x:c r="G815" s="62"/>
      <x:c r="H815" s="62"/>
      <x:c r="I815" s="62"/>
      <x:c r="J815" s="62"/>
      <x:c r="K815" s="62"/>
      <x:c r="L815" s="62"/>
      <x:c r="M815" s="68"/>
      <x:c r="N815" s="68"/>
      <x:c r="O815" s="68"/>
      <x:c r="P815" s="71" t="str">
        <x:f>IF(A815="","",IF(N815&gt;0,N815,M815))</x:f>
      </x:c>
      <x:c r="Q815" s="72" t="n">
        <x:f>IF(A815="",0,IF(COUNTIF($A$5:A815,A815)=1,1,0))</x:f>
        <x:v>0</x:v>
      </x:c>
      <x:c r="R815" s="64" t="str">
        <x:f>IF(A815="","",IF(F815="C815成功",IF(AND(J815&lt;&gt;"",K815&lt;&gt;"",N815&gt;0),"有证据","缺C815证据"),IF(F815="C815发货确认中",IF(AND(J815&lt;&gt;"",K815&lt;&gt;""),"有证据","缺C815证据"),IF(F815="手动完结",IF(OR(L815&lt;&gt;"",O815&lt;&gt;"",S815&lt;&gt;""),"有记录","缺手工证据"),IF(OR(F815="卖出待补仓",F815="提交结果待确认",F815="异常待处理"),"持续跟踪","检查状态")))))</x:f>
      </x:c>
      <x:c r="T815" s="64" t="str">
        <x:f>IF(A815="","",IF(COUNTIF($A$5:$A$1204,A815)&gt;1,"重复",""))</x:f>
      </x:c>
      <x:c r="U815" s="64" t="str">
        <x:f>IF(A815="","",IF(T815="重复","检查重复",IF(OR(R815="有证据",R815="有记录",R815="持续跟踪"),"可追踪","检查")))</x:f>
      </x:c>
    </x:row>
    <x:row r="816">
      <x:c r="A816" s="62"/>
      <x:c r="B816" s="62"/>
      <x:c r="C816" s="62"/>
      <x:c r="D816" s="66"/>
      <x:c r="E816" s="68"/>
      <x:c r="F816" s="62"/>
      <x:c r="G816" s="62"/>
      <x:c r="H816" s="62"/>
      <x:c r="I816" s="62"/>
      <x:c r="J816" s="62"/>
      <x:c r="K816" s="62"/>
      <x:c r="L816" s="62"/>
      <x:c r="M816" s="68"/>
      <x:c r="N816" s="68"/>
      <x:c r="O816" s="68"/>
      <x:c r="P816" s="71" t="str">
        <x:f>IF(A816="","",IF(N816&gt;0,N816,M816))</x:f>
      </x:c>
      <x:c r="Q816" s="72" t="n">
        <x:f>IF(A816="",0,IF(COUNTIF($A$5:A816,A816)=1,1,0))</x:f>
        <x:v>0</x:v>
      </x:c>
      <x:c r="R816" s="64" t="str">
        <x:f>IF(A816="","",IF(F816="C816成功",IF(AND(J816&lt;&gt;"",K816&lt;&gt;"",N816&gt;0),"有证据","缺C816证据"),IF(F816="C816发货确认中",IF(AND(J816&lt;&gt;"",K816&lt;&gt;""),"有证据","缺C816证据"),IF(F816="手动完结",IF(OR(L816&lt;&gt;"",O816&lt;&gt;"",S816&lt;&gt;""),"有记录","缺手工证据"),IF(OR(F816="卖出待补仓",F816="提交结果待确认",F816="异常待处理"),"持续跟踪","检查状态")))))</x:f>
      </x:c>
      <x:c r="T816" s="64" t="str">
        <x:f>IF(A816="","",IF(COUNTIF($A$5:$A$1204,A816)&gt;1,"重复",""))</x:f>
      </x:c>
      <x:c r="U816" s="64" t="str">
        <x:f>IF(A816="","",IF(T816="重复","检查重复",IF(OR(R816="有证据",R816="有记录",R816="持续跟踪"),"可追踪","检查")))</x:f>
      </x:c>
    </x:row>
    <x:row r="817">
      <x:c r="A817" s="62"/>
      <x:c r="B817" s="62"/>
      <x:c r="C817" s="62"/>
      <x:c r="D817" s="66"/>
      <x:c r="E817" s="68"/>
      <x:c r="F817" s="62"/>
      <x:c r="G817" s="62"/>
      <x:c r="H817" s="62"/>
      <x:c r="I817" s="62"/>
      <x:c r="J817" s="62"/>
      <x:c r="K817" s="62"/>
      <x:c r="L817" s="62"/>
      <x:c r="M817" s="68"/>
      <x:c r="N817" s="68"/>
      <x:c r="O817" s="68"/>
      <x:c r="P817" s="71" t="str">
        <x:f>IF(A817="","",IF(N817&gt;0,N817,M817))</x:f>
      </x:c>
      <x:c r="Q817" s="72" t="n">
        <x:f>IF(A817="",0,IF(COUNTIF($A$5:A817,A817)=1,1,0))</x:f>
        <x:v>0</x:v>
      </x:c>
      <x:c r="R817" s="64" t="str">
        <x:f>IF(A817="","",IF(F817="C817成功",IF(AND(J817&lt;&gt;"",K817&lt;&gt;"",N817&gt;0),"有证据","缺C817证据"),IF(F817="C817发货确认中",IF(AND(J817&lt;&gt;"",K817&lt;&gt;""),"有证据","缺C817证据"),IF(F817="手动完结",IF(OR(L817&lt;&gt;"",O817&lt;&gt;"",S817&lt;&gt;""),"有记录","缺手工证据"),IF(OR(F817="卖出待补仓",F817="提交结果待确认",F817="异常待处理"),"持续跟踪","检查状态")))))</x:f>
      </x:c>
      <x:c r="T817" s="64" t="str">
        <x:f>IF(A817="","",IF(COUNTIF($A$5:$A$1204,A817)&gt;1,"重复",""))</x:f>
      </x:c>
      <x:c r="U817" s="64" t="str">
        <x:f>IF(A817="","",IF(T817="重复","检查重复",IF(OR(R817="有证据",R817="有记录",R817="持续跟踪"),"可追踪","检查")))</x:f>
      </x:c>
    </x:row>
    <x:row r="818">
      <x:c r="A818" s="62"/>
      <x:c r="B818" s="62"/>
      <x:c r="C818" s="62"/>
      <x:c r="D818" s="66"/>
      <x:c r="E818" s="68"/>
      <x:c r="F818" s="62"/>
      <x:c r="G818" s="62"/>
      <x:c r="H818" s="62"/>
      <x:c r="I818" s="62"/>
      <x:c r="J818" s="62"/>
      <x:c r="K818" s="62"/>
      <x:c r="L818" s="62"/>
      <x:c r="M818" s="68"/>
      <x:c r="N818" s="68"/>
      <x:c r="O818" s="68"/>
      <x:c r="P818" s="71" t="str">
        <x:f>IF(A818="","",IF(N818&gt;0,N818,M818))</x:f>
      </x:c>
      <x:c r="Q818" s="72" t="n">
        <x:f>IF(A818="",0,IF(COUNTIF($A$5:A818,A818)=1,1,0))</x:f>
        <x:v>0</x:v>
      </x:c>
      <x:c r="R818" s="64" t="str">
        <x:f>IF(A818="","",IF(F818="C818成功",IF(AND(J818&lt;&gt;"",K818&lt;&gt;"",N818&gt;0),"有证据","缺C818证据"),IF(F818="C818发货确认中",IF(AND(J818&lt;&gt;"",K818&lt;&gt;""),"有证据","缺C818证据"),IF(F818="手动完结",IF(OR(L818&lt;&gt;"",O818&lt;&gt;"",S818&lt;&gt;""),"有记录","缺手工证据"),IF(OR(F818="卖出待补仓",F818="提交结果待确认",F818="异常待处理"),"持续跟踪","检查状态")))))</x:f>
      </x:c>
      <x:c r="T818" s="64" t="str">
        <x:f>IF(A818="","",IF(COUNTIF($A$5:$A$1204,A818)&gt;1,"重复",""))</x:f>
      </x:c>
      <x:c r="U818" s="64" t="str">
        <x:f>IF(A818="","",IF(T818="重复","检查重复",IF(OR(R818="有证据",R818="有记录",R818="持续跟踪"),"可追踪","检查")))</x:f>
      </x:c>
    </x:row>
    <x:row r="819">
      <x:c r="A819" s="62"/>
      <x:c r="B819" s="62"/>
      <x:c r="C819" s="62"/>
      <x:c r="D819" s="66"/>
      <x:c r="E819" s="68"/>
      <x:c r="F819" s="62"/>
      <x:c r="G819" s="62"/>
      <x:c r="H819" s="62"/>
      <x:c r="I819" s="62"/>
      <x:c r="J819" s="62"/>
      <x:c r="K819" s="62"/>
      <x:c r="L819" s="62"/>
      <x:c r="M819" s="68"/>
      <x:c r="N819" s="68"/>
      <x:c r="O819" s="68"/>
      <x:c r="P819" s="71" t="str">
        <x:f>IF(A819="","",IF(N819&gt;0,N819,M819))</x:f>
      </x:c>
      <x:c r="Q819" s="72" t="n">
        <x:f>IF(A819="",0,IF(COUNTIF($A$5:A819,A819)=1,1,0))</x:f>
        <x:v>0</x:v>
      </x:c>
      <x:c r="R819" s="64" t="str">
        <x:f>IF(A819="","",IF(F819="C819成功",IF(AND(J819&lt;&gt;"",K819&lt;&gt;"",N819&gt;0),"有证据","缺C819证据"),IF(F819="C819发货确认中",IF(AND(J819&lt;&gt;"",K819&lt;&gt;""),"有证据","缺C819证据"),IF(F819="手动完结",IF(OR(L819&lt;&gt;"",O819&lt;&gt;"",S819&lt;&gt;""),"有记录","缺手工证据"),IF(OR(F819="卖出待补仓",F819="提交结果待确认",F819="异常待处理"),"持续跟踪","检查状态")))))</x:f>
      </x:c>
      <x:c r="T819" s="64" t="str">
        <x:f>IF(A819="","",IF(COUNTIF($A$5:$A$1204,A819)&gt;1,"重复",""))</x:f>
      </x:c>
      <x:c r="U819" s="64" t="str">
        <x:f>IF(A819="","",IF(T819="重复","检查重复",IF(OR(R819="有证据",R819="有记录",R819="持续跟踪"),"可追踪","检查")))</x:f>
      </x:c>
    </x:row>
    <x:row r="820">
      <x:c r="A820" s="62"/>
      <x:c r="B820" s="62"/>
      <x:c r="C820" s="62"/>
      <x:c r="D820" s="66"/>
      <x:c r="E820" s="68"/>
      <x:c r="F820" s="62"/>
      <x:c r="G820" s="62"/>
      <x:c r="H820" s="62"/>
      <x:c r="I820" s="62"/>
      <x:c r="J820" s="62"/>
      <x:c r="K820" s="62"/>
      <x:c r="L820" s="62"/>
      <x:c r="M820" s="68"/>
      <x:c r="N820" s="68"/>
      <x:c r="O820" s="68"/>
      <x:c r="P820" s="71" t="str">
        <x:f>IF(A820="","",IF(N820&gt;0,N820,M820))</x:f>
      </x:c>
      <x:c r="Q820" s="72" t="n">
        <x:f>IF(A820="",0,IF(COUNTIF($A$5:A820,A820)=1,1,0))</x:f>
        <x:v>0</x:v>
      </x:c>
      <x:c r="R820" s="64" t="str">
        <x:f>IF(A820="","",IF(F820="C820成功",IF(AND(J820&lt;&gt;"",K820&lt;&gt;"",N820&gt;0),"有证据","缺C820证据"),IF(F820="C820发货确认中",IF(AND(J820&lt;&gt;"",K820&lt;&gt;""),"有证据","缺C820证据"),IF(F820="手动完结",IF(OR(L820&lt;&gt;"",O820&lt;&gt;"",S820&lt;&gt;""),"有记录","缺手工证据"),IF(OR(F820="卖出待补仓",F820="提交结果待确认",F820="异常待处理"),"持续跟踪","检查状态")))))</x:f>
      </x:c>
      <x:c r="T820" s="64" t="str">
        <x:f>IF(A820="","",IF(COUNTIF($A$5:$A$1204,A820)&gt;1,"重复",""))</x:f>
      </x:c>
      <x:c r="U820" s="64" t="str">
        <x:f>IF(A820="","",IF(T820="重复","检查重复",IF(OR(R820="有证据",R820="有记录",R820="持续跟踪"),"可追踪","检查")))</x:f>
      </x:c>
    </x:row>
    <x:row r="821">
      <x:c r="A821" s="62"/>
      <x:c r="B821" s="62"/>
      <x:c r="C821" s="62"/>
      <x:c r="D821" s="66"/>
      <x:c r="E821" s="68"/>
      <x:c r="F821" s="62"/>
      <x:c r="G821" s="62"/>
      <x:c r="H821" s="62"/>
      <x:c r="I821" s="62"/>
      <x:c r="J821" s="62"/>
      <x:c r="K821" s="62"/>
      <x:c r="L821" s="62"/>
      <x:c r="M821" s="68"/>
      <x:c r="N821" s="68"/>
      <x:c r="O821" s="68"/>
      <x:c r="P821" s="71" t="str">
        <x:f>IF(A821="","",IF(N821&gt;0,N821,M821))</x:f>
      </x:c>
      <x:c r="Q821" s="72" t="n">
        <x:f>IF(A821="",0,IF(COUNTIF($A$5:A821,A821)=1,1,0))</x:f>
        <x:v>0</x:v>
      </x:c>
      <x:c r="R821" s="64" t="str">
        <x:f>IF(A821="","",IF(F821="C821成功",IF(AND(J821&lt;&gt;"",K821&lt;&gt;"",N821&gt;0),"有证据","缺C821证据"),IF(F821="C821发货确认中",IF(AND(J821&lt;&gt;"",K821&lt;&gt;""),"有证据","缺C821证据"),IF(F821="手动完结",IF(OR(L821&lt;&gt;"",O821&lt;&gt;"",S821&lt;&gt;""),"有记录","缺手工证据"),IF(OR(F821="卖出待补仓",F821="提交结果待确认",F821="异常待处理"),"持续跟踪","检查状态")))))</x:f>
      </x:c>
      <x:c r="T821" s="64" t="str">
        <x:f>IF(A821="","",IF(COUNTIF($A$5:$A$1204,A821)&gt;1,"重复",""))</x:f>
      </x:c>
      <x:c r="U821" s="64" t="str">
        <x:f>IF(A821="","",IF(T821="重复","检查重复",IF(OR(R821="有证据",R821="有记录",R821="持续跟踪"),"可追踪","检查")))</x:f>
      </x:c>
    </x:row>
    <x:row r="822">
      <x:c r="A822" s="62"/>
      <x:c r="B822" s="62"/>
      <x:c r="C822" s="62"/>
      <x:c r="D822" s="66"/>
      <x:c r="E822" s="68"/>
      <x:c r="F822" s="62"/>
      <x:c r="G822" s="62"/>
      <x:c r="H822" s="62"/>
      <x:c r="I822" s="62"/>
      <x:c r="J822" s="62"/>
      <x:c r="K822" s="62"/>
      <x:c r="L822" s="62"/>
      <x:c r="M822" s="68"/>
      <x:c r="N822" s="68"/>
      <x:c r="O822" s="68"/>
      <x:c r="P822" s="71" t="str">
        <x:f>IF(A822="","",IF(N822&gt;0,N822,M822))</x:f>
      </x:c>
      <x:c r="Q822" s="72" t="n">
        <x:f>IF(A822="",0,IF(COUNTIF($A$5:A822,A822)=1,1,0))</x:f>
        <x:v>0</x:v>
      </x:c>
      <x:c r="R822" s="64" t="str">
        <x:f>IF(A822="","",IF(F822="C822成功",IF(AND(J822&lt;&gt;"",K822&lt;&gt;"",N822&gt;0),"有证据","缺C822证据"),IF(F822="C822发货确认中",IF(AND(J822&lt;&gt;"",K822&lt;&gt;""),"有证据","缺C822证据"),IF(F822="手动完结",IF(OR(L822&lt;&gt;"",O822&lt;&gt;"",S822&lt;&gt;""),"有记录","缺手工证据"),IF(OR(F822="卖出待补仓",F822="提交结果待确认",F822="异常待处理"),"持续跟踪","检查状态")))))</x:f>
      </x:c>
      <x:c r="T822" s="64" t="str">
        <x:f>IF(A822="","",IF(COUNTIF($A$5:$A$1204,A822)&gt;1,"重复",""))</x:f>
      </x:c>
      <x:c r="U822" s="64" t="str">
        <x:f>IF(A822="","",IF(T822="重复","检查重复",IF(OR(R822="有证据",R822="有记录",R822="持续跟踪"),"可追踪","检查")))</x:f>
      </x:c>
    </x:row>
    <x:row r="823">
      <x:c r="A823" s="62"/>
      <x:c r="B823" s="62"/>
      <x:c r="C823" s="62"/>
      <x:c r="D823" s="66"/>
      <x:c r="E823" s="68"/>
      <x:c r="F823" s="62"/>
      <x:c r="G823" s="62"/>
      <x:c r="H823" s="62"/>
      <x:c r="I823" s="62"/>
      <x:c r="J823" s="62"/>
      <x:c r="K823" s="62"/>
      <x:c r="L823" s="62"/>
      <x:c r="M823" s="68"/>
      <x:c r="N823" s="68"/>
      <x:c r="O823" s="68"/>
      <x:c r="P823" s="71" t="str">
        <x:f>IF(A823="","",IF(N823&gt;0,N823,M823))</x:f>
      </x:c>
      <x:c r="Q823" s="72" t="n">
        <x:f>IF(A823="",0,IF(COUNTIF($A$5:A823,A823)=1,1,0))</x:f>
        <x:v>0</x:v>
      </x:c>
      <x:c r="R823" s="64" t="str">
        <x:f>IF(A823="","",IF(F823="C823成功",IF(AND(J823&lt;&gt;"",K823&lt;&gt;"",N823&gt;0),"有证据","缺C823证据"),IF(F823="C823发货确认中",IF(AND(J823&lt;&gt;"",K823&lt;&gt;""),"有证据","缺C823证据"),IF(F823="手动完结",IF(OR(L823&lt;&gt;"",O823&lt;&gt;"",S823&lt;&gt;""),"有记录","缺手工证据"),IF(OR(F823="卖出待补仓",F823="提交结果待确认",F823="异常待处理"),"持续跟踪","检查状态")))))</x:f>
      </x:c>
      <x:c r="T823" s="64" t="str">
        <x:f>IF(A823="","",IF(COUNTIF($A$5:$A$1204,A823)&gt;1,"重复",""))</x:f>
      </x:c>
      <x:c r="U823" s="64" t="str">
        <x:f>IF(A823="","",IF(T823="重复","检查重复",IF(OR(R823="有证据",R823="有记录",R823="持续跟踪"),"可追踪","检查")))</x:f>
      </x:c>
    </x:row>
    <x:row r="824">
      <x:c r="A824" s="62"/>
      <x:c r="B824" s="62"/>
      <x:c r="C824" s="62"/>
      <x:c r="D824" s="66"/>
      <x:c r="E824" s="68"/>
      <x:c r="F824" s="62"/>
      <x:c r="G824" s="62"/>
      <x:c r="H824" s="62"/>
      <x:c r="I824" s="62"/>
      <x:c r="J824" s="62"/>
      <x:c r="K824" s="62"/>
      <x:c r="L824" s="62"/>
      <x:c r="M824" s="68"/>
      <x:c r="N824" s="68"/>
      <x:c r="O824" s="68"/>
      <x:c r="P824" s="71" t="str">
        <x:f>IF(A824="","",IF(N824&gt;0,N824,M824))</x:f>
      </x:c>
      <x:c r="Q824" s="72" t="n">
        <x:f>IF(A824="",0,IF(COUNTIF($A$5:A824,A824)=1,1,0))</x:f>
        <x:v>0</x:v>
      </x:c>
      <x:c r="R824" s="64" t="str">
        <x:f>IF(A824="","",IF(F824="C824成功",IF(AND(J824&lt;&gt;"",K824&lt;&gt;"",N824&gt;0),"有证据","缺C824证据"),IF(F824="C824发货确认中",IF(AND(J824&lt;&gt;"",K824&lt;&gt;""),"有证据","缺C824证据"),IF(F824="手动完结",IF(OR(L824&lt;&gt;"",O824&lt;&gt;"",S824&lt;&gt;""),"有记录","缺手工证据"),IF(OR(F824="卖出待补仓",F824="提交结果待确认",F824="异常待处理"),"持续跟踪","检查状态")))))</x:f>
      </x:c>
      <x:c r="T824" s="64" t="str">
        <x:f>IF(A824="","",IF(COUNTIF($A$5:$A$1204,A824)&gt;1,"重复",""))</x:f>
      </x:c>
      <x:c r="U824" s="64" t="str">
        <x:f>IF(A824="","",IF(T824="重复","检查重复",IF(OR(R824="有证据",R824="有记录",R824="持续跟踪"),"可追踪","检查")))</x:f>
      </x:c>
    </x:row>
    <x:row r="825">
      <x:c r="A825" s="62"/>
      <x:c r="B825" s="62"/>
      <x:c r="C825" s="62"/>
      <x:c r="D825" s="66"/>
      <x:c r="E825" s="68"/>
      <x:c r="F825" s="62"/>
      <x:c r="G825" s="62"/>
      <x:c r="H825" s="62"/>
      <x:c r="I825" s="62"/>
      <x:c r="J825" s="62"/>
      <x:c r="K825" s="62"/>
      <x:c r="L825" s="62"/>
      <x:c r="M825" s="68"/>
      <x:c r="N825" s="68"/>
      <x:c r="O825" s="68"/>
      <x:c r="P825" s="71" t="str">
        <x:f>IF(A825="","",IF(N825&gt;0,N825,M825))</x:f>
      </x:c>
      <x:c r="Q825" s="72" t="n">
        <x:f>IF(A825="",0,IF(COUNTIF($A$5:A825,A825)=1,1,0))</x:f>
        <x:v>0</x:v>
      </x:c>
      <x:c r="R825" s="64" t="str">
        <x:f>IF(A825="","",IF(F825="C825成功",IF(AND(J825&lt;&gt;"",K825&lt;&gt;"",N825&gt;0),"有证据","缺C825证据"),IF(F825="C825发货确认中",IF(AND(J825&lt;&gt;"",K825&lt;&gt;""),"有证据","缺C825证据"),IF(F825="手动完结",IF(OR(L825&lt;&gt;"",O825&lt;&gt;"",S825&lt;&gt;""),"有记录","缺手工证据"),IF(OR(F825="卖出待补仓",F825="提交结果待确认",F825="异常待处理"),"持续跟踪","检查状态")))))</x:f>
      </x:c>
      <x:c r="T825" s="64" t="str">
        <x:f>IF(A825="","",IF(COUNTIF($A$5:$A$1204,A825)&gt;1,"重复",""))</x:f>
      </x:c>
      <x:c r="U825" s="64" t="str">
        <x:f>IF(A825="","",IF(T825="重复","检查重复",IF(OR(R825="有证据",R825="有记录",R825="持续跟踪"),"可追踪","检查")))</x:f>
      </x:c>
    </x:row>
    <x:row r="826">
      <x:c r="A826" s="62"/>
      <x:c r="B826" s="62"/>
      <x:c r="C826" s="62"/>
      <x:c r="D826" s="66"/>
      <x:c r="E826" s="68"/>
      <x:c r="F826" s="62"/>
      <x:c r="G826" s="62"/>
      <x:c r="H826" s="62"/>
      <x:c r="I826" s="62"/>
      <x:c r="J826" s="62"/>
      <x:c r="K826" s="62"/>
      <x:c r="L826" s="62"/>
      <x:c r="M826" s="68"/>
      <x:c r="N826" s="68"/>
      <x:c r="O826" s="68"/>
      <x:c r="P826" s="71" t="str">
        <x:f>IF(A826="","",IF(N826&gt;0,N826,M826))</x:f>
      </x:c>
      <x:c r="Q826" s="72" t="n">
        <x:f>IF(A826="",0,IF(COUNTIF($A$5:A826,A826)=1,1,0))</x:f>
        <x:v>0</x:v>
      </x:c>
      <x:c r="R826" s="64" t="str">
        <x:f>IF(A826="","",IF(F826="C826成功",IF(AND(J826&lt;&gt;"",K826&lt;&gt;"",N826&gt;0),"有证据","缺C826证据"),IF(F826="C826发货确认中",IF(AND(J826&lt;&gt;"",K826&lt;&gt;""),"有证据","缺C826证据"),IF(F826="手动完结",IF(OR(L826&lt;&gt;"",O826&lt;&gt;"",S826&lt;&gt;""),"有记录","缺手工证据"),IF(OR(F826="卖出待补仓",F826="提交结果待确认",F826="异常待处理"),"持续跟踪","检查状态")))))</x:f>
      </x:c>
      <x:c r="T826" s="64" t="str">
        <x:f>IF(A826="","",IF(COUNTIF($A$5:$A$1204,A826)&gt;1,"重复",""))</x:f>
      </x:c>
      <x:c r="U826" s="64" t="str">
        <x:f>IF(A826="","",IF(T826="重复","检查重复",IF(OR(R826="有证据",R826="有记录",R826="持续跟踪"),"可追踪","检查")))</x:f>
      </x:c>
    </x:row>
    <x:row r="827">
      <x:c r="A827" s="62"/>
      <x:c r="B827" s="62"/>
      <x:c r="C827" s="62"/>
      <x:c r="D827" s="66"/>
      <x:c r="E827" s="68"/>
      <x:c r="F827" s="62"/>
      <x:c r="G827" s="62"/>
      <x:c r="H827" s="62"/>
      <x:c r="I827" s="62"/>
      <x:c r="J827" s="62"/>
      <x:c r="K827" s="62"/>
      <x:c r="L827" s="62"/>
      <x:c r="M827" s="68"/>
      <x:c r="N827" s="68"/>
      <x:c r="O827" s="68"/>
      <x:c r="P827" s="71" t="str">
        <x:f>IF(A827="","",IF(N827&gt;0,N827,M827))</x:f>
      </x:c>
      <x:c r="Q827" s="72" t="n">
        <x:f>IF(A827="",0,IF(COUNTIF($A$5:A827,A827)=1,1,0))</x:f>
        <x:v>0</x:v>
      </x:c>
      <x:c r="R827" s="64" t="str">
        <x:f>IF(A827="","",IF(F827="C827成功",IF(AND(J827&lt;&gt;"",K827&lt;&gt;"",N827&gt;0),"有证据","缺C827证据"),IF(F827="C827发货确认中",IF(AND(J827&lt;&gt;"",K827&lt;&gt;""),"有证据","缺C827证据"),IF(F827="手动完结",IF(OR(L827&lt;&gt;"",O827&lt;&gt;"",S827&lt;&gt;""),"有记录","缺手工证据"),IF(OR(F827="卖出待补仓",F827="提交结果待确认",F827="异常待处理"),"持续跟踪","检查状态")))))</x:f>
      </x:c>
      <x:c r="T827" s="64" t="str">
        <x:f>IF(A827="","",IF(COUNTIF($A$5:$A$1204,A827)&gt;1,"重复",""))</x:f>
      </x:c>
      <x:c r="U827" s="64" t="str">
        <x:f>IF(A827="","",IF(T827="重复","检查重复",IF(OR(R827="有证据",R827="有记录",R827="持续跟踪"),"可追踪","检查")))</x:f>
      </x:c>
    </x:row>
    <x:row r="828">
      <x:c r="A828" s="62"/>
      <x:c r="B828" s="62"/>
      <x:c r="C828" s="62"/>
      <x:c r="D828" s="66"/>
      <x:c r="E828" s="68"/>
      <x:c r="F828" s="62"/>
      <x:c r="G828" s="62"/>
      <x:c r="H828" s="62"/>
      <x:c r="I828" s="62"/>
      <x:c r="J828" s="62"/>
      <x:c r="K828" s="62"/>
      <x:c r="L828" s="62"/>
      <x:c r="M828" s="68"/>
      <x:c r="N828" s="68"/>
      <x:c r="O828" s="68"/>
      <x:c r="P828" s="71" t="str">
        <x:f>IF(A828="","",IF(N828&gt;0,N828,M828))</x:f>
      </x:c>
      <x:c r="Q828" s="72" t="n">
        <x:f>IF(A828="",0,IF(COUNTIF($A$5:A828,A828)=1,1,0))</x:f>
        <x:v>0</x:v>
      </x:c>
      <x:c r="R828" s="64" t="str">
        <x:f>IF(A828="","",IF(F828="C828成功",IF(AND(J828&lt;&gt;"",K828&lt;&gt;"",N828&gt;0),"有证据","缺C828证据"),IF(F828="C828发货确认中",IF(AND(J828&lt;&gt;"",K828&lt;&gt;""),"有证据","缺C828证据"),IF(F828="手动完结",IF(OR(L828&lt;&gt;"",O828&lt;&gt;"",S828&lt;&gt;""),"有记录","缺手工证据"),IF(OR(F828="卖出待补仓",F828="提交结果待确认",F828="异常待处理"),"持续跟踪","检查状态")))))</x:f>
      </x:c>
      <x:c r="T828" s="64" t="str">
        <x:f>IF(A828="","",IF(COUNTIF($A$5:$A$1204,A828)&gt;1,"重复",""))</x:f>
      </x:c>
      <x:c r="U828" s="64" t="str">
        <x:f>IF(A828="","",IF(T828="重复","检查重复",IF(OR(R828="有证据",R828="有记录",R828="持续跟踪"),"可追踪","检查")))</x:f>
      </x:c>
    </x:row>
    <x:row r="829">
      <x:c r="A829" s="62"/>
      <x:c r="B829" s="62"/>
      <x:c r="C829" s="62"/>
      <x:c r="D829" s="66"/>
      <x:c r="E829" s="68"/>
      <x:c r="F829" s="62"/>
      <x:c r="G829" s="62"/>
      <x:c r="H829" s="62"/>
      <x:c r="I829" s="62"/>
      <x:c r="J829" s="62"/>
      <x:c r="K829" s="62"/>
      <x:c r="L829" s="62"/>
      <x:c r="M829" s="68"/>
      <x:c r="N829" s="68"/>
      <x:c r="O829" s="68"/>
      <x:c r="P829" s="71" t="str">
        <x:f>IF(A829="","",IF(N829&gt;0,N829,M829))</x:f>
      </x:c>
      <x:c r="Q829" s="72" t="n">
        <x:f>IF(A829="",0,IF(COUNTIF($A$5:A829,A829)=1,1,0))</x:f>
        <x:v>0</x:v>
      </x:c>
      <x:c r="R829" s="64" t="str">
        <x:f>IF(A829="","",IF(F829="C829成功",IF(AND(J829&lt;&gt;"",K829&lt;&gt;"",N829&gt;0),"有证据","缺C829证据"),IF(F829="C829发货确认中",IF(AND(J829&lt;&gt;"",K829&lt;&gt;""),"有证据","缺C829证据"),IF(F829="手动完结",IF(OR(L829&lt;&gt;"",O829&lt;&gt;"",S829&lt;&gt;""),"有记录","缺手工证据"),IF(OR(F829="卖出待补仓",F829="提交结果待确认",F829="异常待处理"),"持续跟踪","检查状态")))))</x:f>
      </x:c>
      <x:c r="T829" s="64" t="str">
        <x:f>IF(A829="","",IF(COUNTIF($A$5:$A$1204,A829)&gt;1,"重复",""))</x:f>
      </x:c>
      <x:c r="U829" s="64" t="str">
        <x:f>IF(A829="","",IF(T829="重复","检查重复",IF(OR(R829="有证据",R829="有记录",R829="持续跟踪"),"可追踪","检查")))</x:f>
      </x:c>
    </x:row>
    <x:row r="830">
      <x:c r="A830" s="62"/>
      <x:c r="B830" s="62"/>
      <x:c r="C830" s="62"/>
      <x:c r="D830" s="66"/>
      <x:c r="E830" s="68"/>
      <x:c r="F830" s="62"/>
      <x:c r="G830" s="62"/>
      <x:c r="H830" s="62"/>
      <x:c r="I830" s="62"/>
      <x:c r="J830" s="62"/>
      <x:c r="K830" s="62"/>
      <x:c r="L830" s="62"/>
      <x:c r="M830" s="68"/>
      <x:c r="N830" s="68"/>
      <x:c r="O830" s="68"/>
      <x:c r="P830" s="71" t="str">
        <x:f>IF(A830="","",IF(N830&gt;0,N830,M830))</x:f>
      </x:c>
      <x:c r="Q830" s="72" t="n">
        <x:f>IF(A830="",0,IF(COUNTIF($A$5:A830,A830)=1,1,0))</x:f>
        <x:v>0</x:v>
      </x:c>
      <x:c r="R830" s="64" t="str">
        <x:f>IF(A830="","",IF(F830="C830成功",IF(AND(J830&lt;&gt;"",K830&lt;&gt;"",N830&gt;0),"有证据","缺C830证据"),IF(F830="C830发货确认中",IF(AND(J830&lt;&gt;"",K830&lt;&gt;""),"有证据","缺C830证据"),IF(F830="手动完结",IF(OR(L830&lt;&gt;"",O830&lt;&gt;"",S830&lt;&gt;""),"有记录","缺手工证据"),IF(OR(F830="卖出待补仓",F830="提交结果待确认",F830="异常待处理"),"持续跟踪","检查状态")))))</x:f>
      </x:c>
      <x:c r="T830" s="64" t="str">
        <x:f>IF(A830="","",IF(COUNTIF($A$5:$A$1204,A830)&gt;1,"重复",""))</x:f>
      </x:c>
      <x:c r="U830" s="64" t="str">
        <x:f>IF(A830="","",IF(T830="重复","检查重复",IF(OR(R830="有证据",R830="有记录",R830="持续跟踪"),"可追踪","检查")))</x:f>
      </x:c>
    </x:row>
    <x:row r="831">
      <x:c r="A831" s="62"/>
      <x:c r="B831" s="62"/>
      <x:c r="C831" s="62"/>
      <x:c r="D831" s="66"/>
      <x:c r="E831" s="68"/>
      <x:c r="F831" s="62"/>
      <x:c r="G831" s="62"/>
      <x:c r="H831" s="62"/>
      <x:c r="I831" s="62"/>
      <x:c r="J831" s="62"/>
      <x:c r="K831" s="62"/>
      <x:c r="L831" s="62"/>
      <x:c r="M831" s="68"/>
      <x:c r="N831" s="68"/>
      <x:c r="O831" s="68"/>
      <x:c r="P831" s="71" t="str">
        <x:f>IF(A831="","",IF(N831&gt;0,N831,M831))</x:f>
      </x:c>
      <x:c r="Q831" s="72" t="n">
        <x:f>IF(A831="",0,IF(COUNTIF($A$5:A831,A831)=1,1,0))</x:f>
        <x:v>0</x:v>
      </x:c>
      <x:c r="R831" s="64" t="str">
        <x:f>IF(A831="","",IF(F831="C831成功",IF(AND(J831&lt;&gt;"",K831&lt;&gt;"",N831&gt;0),"有证据","缺C831证据"),IF(F831="C831发货确认中",IF(AND(J831&lt;&gt;"",K831&lt;&gt;""),"有证据","缺C831证据"),IF(F831="手动完结",IF(OR(L831&lt;&gt;"",O831&lt;&gt;"",S831&lt;&gt;""),"有记录","缺手工证据"),IF(OR(F831="卖出待补仓",F831="提交结果待确认",F831="异常待处理"),"持续跟踪","检查状态")))))</x:f>
      </x:c>
      <x:c r="T831" s="64" t="str">
        <x:f>IF(A831="","",IF(COUNTIF($A$5:$A$1204,A831)&gt;1,"重复",""))</x:f>
      </x:c>
      <x:c r="U831" s="64" t="str">
        <x:f>IF(A831="","",IF(T831="重复","检查重复",IF(OR(R831="有证据",R831="有记录",R831="持续跟踪"),"可追踪","检查")))</x:f>
      </x:c>
    </x:row>
    <x:row r="832">
      <x:c r="A832" s="62"/>
      <x:c r="B832" s="62"/>
      <x:c r="C832" s="62"/>
      <x:c r="D832" s="66"/>
      <x:c r="E832" s="68"/>
      <x:c r="F832" s="62"/>
      <x:c r="G832" s="62"/>
      <x:c r="H832" s="62"/>
      <x:c r="I832" s="62"/>
      <x:c r="J832" s="62"/>
      <x:c r="K832" s="62"/>
      <x:c r="L832" s="62"/>
      <x:c r="M832" s="68"/>
      <x:c r="N832" s="68"/>
      <x:c r="O832" s="68"/>
      <x:c r="P832" s="71" t="str">
        <x:f>IF(A832="","",IF(N832&gt;0,N832,M832))</x:f>
      </x:c>
      <x:c r="Q832" s="72" t="n">
        <x:f>IF(A832="",0,IF(COUNTIF($A$5:A832,A832)=1,1,0))</x:f>
        <x:v>0</x:v>
      </x:c>
      <x:c r="R832" s="64" t="str">
        <x:f>IF(A832="","",IF(F832="C832成功",IF(AND(J832&lt;&gt;"",K832&lt;&gt;"",N832&gt;0),"有证据","缺C832证据"),IF(F832="C832发货确认中",IF(AND(J832&lt;&gt;"",K832&lt;&gt;""),"有证据","缺C832证据"),IF(F832="手动完结",IF(OR(L832&lt;&gt;"",O832&lt;&gt;"",S832&lt;&gt;""),"有记录","缺手工证据"),IF(OR(F832="卖出待补仓",F832="提交结果待确认",F832="异常待处理"),"持续跟踪","检查状态")))))</x:f>
      </x:c>
      <x:c r="T832" s="64" t="str">
        <x:f>IF(A832="","",IF(COUNTIF($A$5:$A$1204,A832)&gt;1,"重复",""))</x:f>
      </x:c>
      <x:c r="U832" s="64" t="str">
        <x:f>IF(A832="","",IF(T832="重复","检查重复",IF(OR(R832="有证据",R832="有记录",R832="持续跟踪"),"可追踪","检查")))</x:f>
      </x:c>
    </x:row>
    <x:row r="833">
      <x:c r="A833" s="62"/>
      <x:c r="B833" s="62"/>
      <x:c r="C833" s="62"/>
      <x:c r="D833" s="66"/>
      <x:c r="E833" s="68"/>
      <x:c r="F833" s="62"/>
      <x:c r="G833" s="62"/>
      <x:c r="H833" s="62"/>
      <x:c r="I833" s="62"/>
      <x:c r="J833" s="62"/>
      <x:c r="K833" s="62"/>
      <x:c r="L833" s="62"/>
      <x:c r="M833" s="68"/>
      <x:c r="N833" s="68"/>
      <x:c r="O833" s="68"/>
      <x:c r="P833" s="71" t="str">
        <x:f>IF(A833="","",IF(N833&gt;0,N833,M833))</x:f>
      </x:c>
      <x:c r="Q833" s="72" t="n">
        <x:f>IF(A833="",0,IF(COUNTIF($A$5:A833,A833)=1,1,0))</x:f>
        <x:v>0</x:v>
      </x:c>
      <x:c r="R833" s="64" t="str">
        <x:f>IF(A833="","",IF(F833="C833成功",IF(AND(J833&lt;&gt;"",K833&lt;&gt;"",N833&gt;0),"有证据","缺C833证据"),IF(F833="C833发货确认中",IF(AND(J833&lt;&gt;"",K833&lt;&gt;""),"有证据","缺C833证据"),IF(F833="手动完结",IF(OR(L833&lt;&gt;"",O833&lt;&gt;"",S833&lt;&gt;""),"有记录","缺手工证据"),IF(OR(F833="卖出待补仓",F833="提交结果待确认",F833="异常待处理"),"持续跟踪","检查状态")))))</x:f>
      </x:c>
      <x:c r="T833" s="64" t="str">
        <x:f>IF(A833="","",IF(COUNTIF($A$5:$A$1204,A833)&gt;1,"重复",""))</x:f>
      </x:c>
      <x:c r="U833" s="64" t="str">
        <x:f>IF(A833="","",IF(T833="重复","检查重复",IF(OR(R833="有证据",R833="有记录",R833="持续跟踪"),"可追踪","检查")))</x:f>
      </x:c>
    </x:row>
    <x:row r="834">
      <x:c r="A834" s="62"/>
      <x:c r="B834" s="62"/>
      <x:c r="C834" s="62"/>
      <x:c r="D834" s="66"/>
      <x:c r="E834" s="68"/>
      <x:c r="F834" s="62"/>
      <x:c r="G834" s="62"/>
      <x:c r="H834" s="62"/>
      <x:c r="I834" s="62"/>
      <x:c r="J834" s="62"/>
      <x:c r="K834" s="62"/>
      <x:c r="L834" s="62"/>
      <x:c r="M834" s="68"/>
      <x:c r="N834" s="68"/>
      <x:c r="O834" s="68"/>
      <x:c r="P834" s="71" t="str">
        <x:f>IF(A834="","",IF(N834&gt;0,N834,M834))</x:f>
      </x:c>
      <x:c r="Q834" s="72" t="n">
        <x:f>IF(A834="",0,IF(COUNTIF($A$5:A834,A834)=1,1,0))</x:f>
        <x:v>0</x:v>
      </x:c>
      <x:c r="R834" s="64" t="str">
        <x:f>IF(A834="","",IF(F834="C834成功",IF(AND(J834&lt;&gt;"",K834&lt;&gt;"",N834&gt;0),"有证据","缺C834证据"),IF(F834="C834发货确认中",IF(AND(J834&lt;&gt;"",K834&lt;&gt;""),"有证据","缺C834证据"),IF(F834="手动完结",IF(OR(L834&lt;&gt;"",O834&lt;&gt;"",S834&lt;&gt;""),"有记录","缺手工证据"),IF(OR(F834="卖出待补仓",F834="提交结果待确认",F834="异常待处理"),"持续跟踪","检查状态")))))</x:f>
      </x:c>
      <x:c r="T834" s="64" t="str">
        <x:f>IF(A834="","",IF(COUNTIF($A$5:$A$1204,A834)&gt;1,"重复",""))</x:f>
      </x:c>
      <x:c r="U834" s="64" t="str">
        <x:f>IF(A834="","",IF(T834="重复","检查重复",IF(OR(R834="有证据",R834="有记录",R834="持续跟踪"),"可追踪","检查")))</x:f>
      </x:c>
    </x:row>
    <x:row r="835">
      <x:c r="A835" s="62"/>
      <x:c r="B835" s="62"/>
      <x:c r="C835" s="62"/>
      <x:c r="D835" s="66"/>
      <x:c r="E835" s="68"/>
      <x:c r="F835" s="62"/>
      <x:c r="G835" s="62"/>
      <x:c r="H835" s="62"/>
      <x:c r="I835" s="62"/>
      <x:c r="J835" s="62"/>
      <x:c r="K835" s="62"/>
      <x:c r="L835" s="62"/>
      <x:c r="M835" s="68"/>
      <x:c r="N835" s="68"/>
      <x:c r="O835" s="68"/>
      <x:c r="P835" s="71" t="str">
        <x:f>IF(A835="","",IF(N835&gt;0,N835,M835))</x:f>
      </x:c>
      <x:c r="Q835" s="72" t="n">
        <x:f>IF(A835="",0,IF(COUNTIF($A$5:A835,A835)=1,1,0))</x:f>
        <x:v>0</x:v>
      </x:c>
      <x:c r="R835" s="64" t="str">
        <x:f>IF(A835="","",IF(F835="C835成功",IF(AND(J835&lt;&gt;"",K835&lt;&gt;"",N835&gt;0),"有证据","缺C835证据"),IF(F835="C835发货确认中",IF(AND(J835&lt;&gt;"",K835&lt;&gt;""),"有证据","缺C835证据"),IF(F835="手动完结",IF(OR(L835&lt;&gt;"",O835&lt;&gt;"",S835&lt;&gt;""),"有记录","缺手工证据"),IF(OR(F835="卖出待补仓",F835="提交结果待确认",F835="异常待处理"),"持续跟踪","检查状态")))))</x:f>
      </x:c>
      <x:c r="T835" s="64" t="str">
        <x:f>IF(A835="","",IF(COUNTIF($A$5:$A$1204,A835)&gt;1,"重复",""))</x:f>
      </x:c>
      <x:c r="U835" s="64" t="str">
        <x:f>IF(A835="","",IF(T835="重复","检查重复",IF(OR(R835="有证据",R835="有记录",R835="持续跟踪"),"可追踪","检查")))</x:f>
      </x:c>
    </x:row>
    <x:row r="836">
      <x:c r="A836" s="62"/>
      <x:c r="B836" s="62"/>
      <x:c r="C836" s="62"/>
      <x:c r="D836" s="66"/>
      <x:c r="E836" s="68"/>
      <x:c r="F836" s="62"/>
      <x:c r="G836" s="62"/>
      <x:c r="H836" s="62"/>
      <x:c r="I836" s="62"/>
      <x:c r="J836" s="62"/>
      <x:c r="K836" s="62"/>
      <x:c r="L836" s="62"/>
      <x:c r="M836" s="68"/>
      <x:c r="N836" s="68"/>
      <x:c r="O836" s="68"/>
      <x:c r="P836" s="71" t="str">
        <x:f>IF(A836="","",IF(N836&gt;0,N836,M836))</x:f>
      </x:c>
      <x:c r="Q836" s="72" t="n">
        <x:f>IF(A836="",0,IF(COUNTIF($A$5:A836,A836)=1,1,0))</x:f>
        <x:v>0</x:v>
      </x:c>
      <x:c r="R836" s="64" t="str">
        <x:f>IF(A836="","",IF(F836="C836成功",IF(AND(J836&lt;&gt;"",K836&lt;&gt;"",N836&gt;0),"有证据","缺C836证据"),IF(F836="C836发货确认中",IF(AND(J836&lt;&gt;"",K836&lt;&gt;""),"有证据","缺C836证据"),IF(F836="手动完结",IF(OR(L836&lt;&gt;"",O836&lt;&gt;"",S836&lt;&gt;""),"有记录","缺手工证据"),IF(OR(F836="卖出待补仓",F836="提交结果待确认",F836="异常待处理"),"持续跟踪","检查状态")))))</x:f>
      </x:c>
      <x:c r="T836" s="64" t="str">
        <x:f>IF(A836="","",IF(COUNTIF($A$5:$A$1204,A836)&gt;1,"重复",""))</x:f>
      </x:c>
      <x:c r="U836" s="64" t="str">
        <x:f>IF(A836="","",IF(T836="重复","检查重复",IF(OR(R836="有证据",R836="有记录",R836="持续跟踪"),"可追踪","检查")))</x:f>
      </x:c>
    </x:row>
    <x:row r="837">
      <x:c r="A837" s="62"/>
      <x:c r="B837" s="62"/>
      <x:c r="C837" s="62"/>
      <x:c r="D837" s="66"/>
      <x:c r="E837" s="68"/>
      <x:c r="F837" s="62"/>
      <x:c r="G837" s="62"/>
      <x:c r="H837" s="62"/>
      <x:c r="I837" s="62"/>
      <x:c r="J837" s="62"/>
      <x:c r="K837" s="62"/>
      <x:c r="L837" s="62"/>
      <x:c r="M837" s="68"/>
      <x:c r="N837" s="68"/>
      <x:c r="O837" s="68"/>
      <x:c r="P837" s="71" t="str">
        <x:f>IF(A837="","",IF(N837&gt;0,N837,M837))</x:f>
      </x:c>
      <x:c r="Q837" s="72" t="n">
        <x:f>IF(A837="",0,IF(COUNTIF($A$5:A837,A837)=1,1,0))</x:f>
        <x:v>0</x:v>
      </x:c>
      <x:c r="R837" s="64" t="str">
        <x:f>IF(A837="","",IF(F837="C837成功",IF(AND(J837&lt;&gt;"",K837&lt;&gt;"",N837&gt;0),"有证据","缺C837证据"),IF(F837="C837发货确认中",IF(AND(J837&lt;&gt;"",K837&lt;&gt;""),"有证据","缺C837证据"),IF(F837="手动完结",IF(OR(L837&lt;&gt;"",O837&lt;&gt;"",S837&lt;&gt;""),"有记录","缺手工证据"),IF(OR(F837="卖出待补仓",F837="提交结果待确认",F837="异常待处理"),"持续跟踪","检查状态")))))</x:f>
      </x:c>
      <x:c r="T837" s="64" t="str">
        <x:f>IF(A837="","",IF(COUNTIF($A$5:$A$1204,A837)&gt;1,"重复",""))</x:f>
      </x:c>
      <x:c r="U837" s="64" t="str">
        <x:f>IF(A837="","",IF(T837="重复","检查重复",IF(OR(R837="有证据",R837="有记录",R837="持续跟踪"),"可追踪","检查")))</x:f>
      </x:c>
    </x:row>
    <x:row r="838">
      <x:c r="A838" s="62"/>
      <x:c r="B838" s="62"/>
      <x:c r="C838" s="62"/>
      <x:c r="D838" s="66"/>
      <x:c r="E838" s="68"/>
      <x:c r="F838" s="62"/>
      <x:c r="G838" s="62"/>
      <x:c r="H838" s="62"/>
      <x:c r="I838" s="62"/>
      <x:c r="J838" s="62"/>
      <x:c r="K838" s="62"/>
      <x:c r="L838" s="62"/>
      <x:c r="M838" s="68"/>
      <x:c r="N838" s="68"/>
      <x:c r="O838" s="68"/>
      <x:c r="P838" s="71" t="str">
        <x:f>IF(A838="","",IF(N838&gt;0,N838,M838))</x:f>
      </x:c>
      <x:c r="Q838" s="72" t="n">
        <x:f>IF(A838="",0,IF(COUNTIF($A$5:A838,A838)=1,1,0))</x:f>
        <x:v>0</x:v>
      </x:c>
      <x:c r="R838" s="64" t="str">
        <x:f>IF(A838="","",IF(F838="C838成功",IF(AND(J838&lt;&gt;"",K838&lt;&gt;"",N838&gt;0),"有证据","缺C838证据"),IF(F838="C838发货确认中",IF(AND(J838&lt;&gt;"",K838&lt;&gt;""),"有证据","缺C838证据"),IF(F838="手动完结",IF(OR(L838&lt;&gt;"",O838&lt;&gt;"",S838&lt;&gt;""),"有记录","缺手工证据"),IF(OR(F838="卖出待补仓",F838="提交结果待确认",F838="异常待处理"),"持续跟踪","检查状态")))))</x:f>
      </x:c>
      <x:c r="T838" s="64" t="str">
        <x:f>IF(A838="","",IF(COUNTIF($A$5:$A$1204,A838)&gt;1,"重复",""))</x:f>
      </x:c>
      <x:c r="U838" s="64" t="str">
        <x:f>IF(A838="","",IF(T838="重复","检查重复",IF(OR(R838="有证据",R838="有记录",R838="持续跟踪"),"可追踪","检查")))</x:f>
      </x:c>
    </x:row>
    <x:row r="839">
      <x:c r="A839" s="62"/>
      <x:c r="B839" s="62"/>
      <x:c r="C839" s="62"/>
      <x:c r="D839" s="66"/>
      <x:c r="E839" s="68"/>
      <x:c r="F839" s="62"/>
      <x:c r="G839" s="62"/>
      <x:c r="H839" s="62"/>
      <x:c r="I839" s="62"/>
      <x:c r="J839" s="62"/>
      <x:c r="K839" s="62"/>
      <x:c r="L839" s="62"/>
      <x:c r="M839" s="68"/>
      <x:c r="N839" s="68"/>
      <x:c r="O839" s="68"/>
      <x:c r="P839" s="71" t="str">
        <x:f>IF(A839="","",IF(N839&gt;0,N839,M839))</x:f>
      </x:c>
      <x:c r="Q839" s="72" t="n">
        <x:f>IF(A839="",0,IF(COUNTIF($A$5:A839,A839)=1,1,0))</x:f>
        <x:v>0</x:v>
      </x:c>
      <x:c r="R839" s="64" t="str">
        <x:f>IF(A839="","",IF(F839="C839成功",IF(AND(J839&lt;&gt;"",K839&lt;&gt;"",N839&gt;0),"有证据","缺C839证据"),IF(F839="C839发货确认中",IF(AND(J839&lt;&gt;"",K839&lt;&gt;""),"有证据","缺C839证据"),IF(F839="手动完结",IF(OR(L839&lt;&gt;"",O839&lt;&gt;"",S839&lt;&gt;""),"有记录","缺手工证据"),IF(OR(F839="卖出待补仓",F839="提交结果待确认",F839="异常待处理"),"持续跟踪","检查状态")))))</x:f>
      </x:c>
      <x:c r="T839" s="64" t="str">
        <x:f>IF(A839="","",IF(COUNTIF($A$5:$A$1204,A839)&gt;1,"重复",""))</x:f>
      </x:c>
      <x:c r="U839" s="64" t="str">
        <x:f>IF(A839="","",IF(T839="重复","检查重复",IF(OR(R839="有证据",R839="有记录",R839="持续跟踪"),"可追踪","检查")))</x:f>
      </x:c>
    </x:row>
    <x:row r="840">
      <x:c r="A840" s="62"/>
      <x:c r="B840" s="62"/>
      <x:c r="C840" s="62"/>
      <x:c r="D840" s="66"/>
      <x:c r="E840" s="68"/>
      <x:c r="F840" s="62"/>
      <x:c r="G840" s="62"/>
      <x:c r="H840" s="62"/>
      <x:c r="I840" s="62"/>
      <x:c r="J840" s="62"/>
      <x:c r="K840" s="62"/>
      <x:c r="L840" s="62"/>
      <x:c r="M840" s="68"/>
      <x:c r="N840" s="68"/>
      <x:c r="O840" s="68"/>
      <x:c r="P840" s="71" t="str">
        <x:f>IF(A840="","",IF(N840&gt;0,N840,M840))</x:f>
      </x:c>
      <x:c r="Q840" s="72" t="n">
        <x:f>IF(A840="",0,IF(COUNTIF($A$5:A840,A840)=1,1,0))</x:f>
        <x:v>0</x:v>
      </x:c>
      <x:c r="R840" s="64" t="str">
        <x:f>IF(A840="","",IF(F840="C840成功",IF(AND(J840&lt;&gt;"",K840&lt;&gt;"",N840&gt;0),"有证据","缺C840证据"),IF(F840="C840发货确认中",IF(AND(J840&lt;&gt;"",K840&lt;&gt;""),"有证据","缺C840证据"),IF(F840="手动完结",IF(OR(L840&lt;&gt;"",O840&lt;&gt;"",S840&lt;&gt;""),"有记录","缺手工证据"),IF(OR(F840="卖出待补仓",F840="提交结果待确认",F840="异常待处理"),"持续跟踪","检查状态")))))</x:f>
      </x:c>
      <x:c r="T840" s="64" t="str">
        <x:f>IF(A840="","",IF(COUNTIF($A$5:$A$1204,A840)&gt;1,"重复",""))</x:f>
      </x:c>
      <x:c r="U840" s="64" t="str">
        <x:f>IF(A840="","",IF(T840="重复","检查重复",IF(OR(R840="有证据",R840="有记录",R840="持续跟踪"),"可追踪","检查")))</x:f>
      </x:c>
    </x:row>
    <x:row r="841">
      <x:c r="A841" s="62"/>
      <x:c r="B841" s="62"/>
      <x:c r="C841" s="62"/>
      <x:c r="D841" s="66"/>
      <x:c r="E841" s="68"/>
      <x:c r="F841" s="62"/>
      <x:c r="G841" s="62"/>
      <x:c r="H841" s="62"/>
      <x:c r="I841" s="62"/>
      <x:c r="J841" s="62"/>
      <x:c r="K841" s="62"/>
      <x:c r="L841" s="62"/>
      <x:c r="M841" s="68"/>
      <x:c r="N841" s="68"/>
      <x:c r="O841" s="68"/>
      <x:c r="P841" s="71" t="str">
        <x:f>IF(A841="","",IF(N841&gt;0,N841,M841))</x:f>
      </x:c>
      <x:c r="Q841" s="72" t="n">
        <x:f>IF(A841="",0,IF(COUNTIF($A$5:A841,A841)=1,1,0))</x:f>
        <x:v>0</x:v>
      </x:c>
      <x:c r="R841" s="64" t="str">
        <x:f>IF(A841="","",IF(F841="C841成功",IF(AND(J841&lt;&gt;"",K841&lt;&gt;"",N841&gt;0),"有证据","缺C841证据"),IF(F841="C841发货确认中",IF(AND(J841&lt;&gt;"",K841&lt;&gt;""),"有证据","缺C841证据"),IF(F841="手动完结",IF(OR(L841&lt;&gt;"",O841&lt;&gt;"",S841&lt;&gt;""),"有记录","缺手工证据"),IF(OR(F841="卖出待补仓",F841="提交结果待确认",F841="异常待处理"),"持续跟踪","检查状态")))))</x:f>
      </x:c>
      <x:c r="T841" s="64" t="str">
        <x:f>IF(A841="","",IF(COUNTIF($A$5:$A$1204,A841)&gt;1,"重复",""))</x:f>
      </x:c>
      <x:c r="U841" s="64" t="str">
        <x:f>IF(A841="","",IF(T841="重复","检查重复",IF(OR(R841="有证据",R841="有记录",R841="持续跟踪"),"可追踪","检查")))</x:f>
      </x:c>
    </x:row>
    <x:row r="842">
      <x:c r="A842" s="62"/>
      <x:c r="B842" s="62"/>
      <x:c r="C842" s="62"/>
      <x:c r="D842" s="66"/>
      <x:c r="E842" s="68"/>
      <x:c r="F842" s="62"/>
      <x:c r="G842" s="62"/>
      <x:c r="H842" s="62"/>
      <x:c r="I842" s="62"/>
      <x:c r="J842" s="62"/>
      <x:c r="K842" s="62"/>
      <x:c r="L842" s="62"/>
      <x:c r="M842" s="68"/>
      <x:c r="N842" s="68"/>
      <x:c r="O842" s="68"/>
      <x:c r="P842" s="71" t="str">
        <x:f>IF(A842="","",IF(N842&gt;0,N842,M842))</x:f>
      </x:c>
      <x:c r="Q842" s="72" t="n">
        <x:f>IF(A842="",0,IF(COUNTIF($A$5:A842,A842)=1,1,0))</x:f>
        <x:v>0</x:v>
      </x:c>
      <x:c r="R842" s="64" t="str">
        <x:f>IF(A842="","",IF(F842="C842成功",IF(AND(J842&lt;&gt;"",K842&lt;&gt;"",N842&gt;0),"有证据","缺C842证据"),IF(F842="C842发货确认中",IF(AND(J842&lt;&gt;"",K842&lt;&gt;""),"有证据","缺C842证据"),IF(F842="手动完结",IF(OR(L842&lt;&gt;"",O842&lt;&gt;"",S842&lt;&gt;""),"有记录","缺手工证据"),IF(OR(F842="卖出待补仓",F842="提交结果待确认",F842="异常待处理"),"持续跟踪","检查状态")))))</x:f>
      </x:c>
      <x:c r="T842" s="64" t="str">
        <x:f>IF(A842="","",IF(COUNTIF($A$5:$A$1204,A842)&gt;1,"重复",""))</x:f>
      </x:c>
      <x:c r="U842" s="64" t="str">
        <x:f>IF(A842="","",IF(T842="重复","检查重复",IF(OR(R842="有证据",R842="有记录",R842="持续跟踪"),"可追踪","检查")))</x:f>
      </x:c>
    </x:row>
    <x:row r="843">
      <x:c r="A843" s="62"/>
      <x:c r="B843" s="62"/>
      <x:c r="C843" s="62"/>
      <x:c r="D843" s="66"/>
      <x:c r="E843" s="68"/>
      <x:c r="F843" s="62"/>
      <x:c r="G843" s="62"/>
      <x:c r="H843" s="62"/>
      <x:c r="I843" s="62"/>
      <x:c r="J843" s="62"/>
      <x:c r="K843" s="62"/>
      <x:c r="L843" s="62"/>
      <x:c r="M843" s="68"/>
      <x:c r="N843" s="68"/>
      <x:c r="O843" s="68"/>
      <x:c r="P843" s="71" t="str">
        <x:f>IF(A843="","",IF(N843&gt;0,N843,M843))</x:f>
      </x:c>
      <x:c r="Q843" s="72" t="n">
        <x:f>IF(A843="",0,IF(COUNTIF($A$5:A843,A843)=1,1,0))</x:f>
        <x:v>0</x:v>
      </x:c>
      <x:c r="R843" s="64" t="str">
        <x:f>IF(A843="","",IF(F843="C843成功",IF(AND(J843&lt;&gt;"",K843&lt;&gt;"",N843&gt;0),"有证据","缺C843证据"),IF(F843="C843发货确认中",IF(AND(J843&lt;&gt;"",K843&lt;&gt;""),"有证据","缺C843证据"),IF(F843="手动完结",IF(OR(L843&lt;&gt;"",O843&lt;&gt;"",S843&lt;&gt;""),"有记录","缺手工证据"),IF(OR(F843="卖出待补仓",F843="提交结果待确认",F843="异常待处理"),"持续跟踪","检查状态")))))</x:f>
      </x:c>
      <x:c r="T843" s="64" t="str">
        <x:f>IF(A843="","",IF(COUNTIF($A$5:$A$1204,A843)&gt;1,"重复",""))</x:f>
      </x:c>
      <x:c r="U843" s="64" t="str">
        <x:f>IF(A843="","",IF(T843="重复","检查重复",IF(OR(R843="有证据",R843="有记录",R843="持续跟踪"),"可追踪","检查")))</x:f>
      </x:c>
    </x:row>
    <x:row r="844">
      <x:c r="A844" s="62"/>
      <x:c r="B844" s="62"/>
      <x:c r="C844" s="62"/>
      <x:c r="D844" s="66"/>
      <x:c r="E844" s="68"/>
      <x:c r="F844" s="62"/>
      <x:c r="G844" s="62"/>
      <x:c r="H844" s="62"/>
      <x:c r="I844" s="62"/>
      <x:c r="J844" s="62"/>
      <x:c r="K844" s="62"/>
      <x:c r="L844" s="62"/>
      <x:c r="M844" s="68"/>
      <x:c r="N844" s="68"/>
      <x:c r="O844" s="68"/>
      <x:c r="P844" s="71" t="str">
        <x:f>IF(A844="","",IF(N844&gt;0,N844,M844))</x:f>
      </x:c>
      <x:c r="Q844" s="72" t="n">
        <x:f>IF(A844="",0,IF(COUNTIF($A$5:A844,A844)=1,1,0))</x:f>
        <x:v>0</x:v>
      </x:c>
      <x:c r="R844" s="64" t="str">
        <x:f>IF(A844="","",IF(F844="C844成功",IF(AND(J844&lt;&gt;"",K844&lt;&gt;"",N844&gt;0),"有证据","缺C844证据"),IF(F844="C844发货确认中",IF(AND(J844&lt;&gt;"",K844&lt;&gt;""),"有证据","缺C844证据"),IF(F844="手动完结",IF(OR(L844&lt;&gt;"",O844&lt;&gt;"",S844&lt;&gt;""),"有记录","缺手工证据"),IF(OR(F844="卖出待补仓",F844="提交结果待确认",F844="异常待处理"),"持续跟踪","检查状态")))))</x:f>
      </x:c>
      <x:c r="T844" s="64" t="str">
        <x:f>IF(A844="","",IF(COUNTIF($A$5:$A$1204,A844)&gt;1,"重复",""))</x:f>
      </x:c>
      <x:c r="U844" s="64" t="str">
        <x:f>IF(A844="","",IF(T844="重复","检查重复",IF(OR(R844="有证据",R844="有记录",R844="持续跟踪"),"可追踪","检查")))</x:f>
      </x:c>
    </x:row>
    <x:row r="845">
      <x:c r="A845" s="62"/>
      <x:c r="B845" s="62"/>
      <x:c r="C845" s="62"/>
      <x:c r="D845" s="66"/>
      <x:c r="E845" s="68"/>
      <x:c r="F845" s="62"/>
      <x:c r="G845" s="62"/>
      <x:c r="H845" s="62"/>
      <x:c r="I845" s="62"/>
      <x:c r="J845" s="62"/>
      <x:c r="K845" s="62"/>
      <x:c r="L845" s="62"/>
      <x:c r="M845" s="68"/>
      <x:c r="N845" s="68"/>
      <x:c r="O845" s="68"/>
      <x:c r="P845" s="71" t="str">
        <x:f>IF(A845="","",IF(N845&gt;0,N845,M845))</x:f>
      </x:c>
      <x:c r="Q845" s="72" t="n">
        <x:f>IF(A845="",0,IF(COUNTIF($A$5:A845,A845)=1,1,0))</x:f>
        <x:v>0</x:v>
      </x:c>
      <x:c r="R845" s="64" t="str">
        <x:f>IF(A845="","",IF(F845="C845成功",IF(AND(J845&lt;&gt;"",K845&lt;&gt;"",N845&gt;0),"有证据","缺C845证据"),IF(F845="C845发货确认中",IF(AND(J845&lt;&gt;"",K845&lt;&gt;""),"有证据","缺C845证据"),IF(F845="手动完结",IF(OR(L845&lt;&gt;"",O845&lt;&gt;"",S845&lt;&gt;""),"有记录","缺手工证据"),IF(OR(F845="卖出待补仓",F845="提交结果待确认",F845="异常待处理"),"持续跟踪","检查状态")))))</x:f>
      </x:c>
      <x:c r="T845" s="64" t="str">
        <x:f>IF(A845="","",IF(COUNTIF($A$5:$A$1204,A845)&gt;1,"重复",""))</x:f>
      </x:c>
      <x:c r="U845" s="64" t="str">
        <x:f>IF(A845="","",IF(T845="重复","检查重复",IF(OR(R845="有证据",R845="有记录",R845="持续跟踪"),"可追踪","检查")))</x:f>
      </x:c>
    </x:row>
    <x:row r="846">
      <x:c r="A846" s="62"/>
      <x:c r="B846" s="62"/>
      <x:c r="C846" s="62"/>
      <x:c r="D846" s="66"/>
      <x:c r="E846" s="68"/>
      <x:c r="F846" s="62"/>
      <x:c r="G846" s="62"/>
      <x:c r="H846" s="62"/>
      <x:c r="I846" s="62"/>
      <x:c r="J846" s="62"/>
      <x:c r="K846" s="62"/>
      <x:c r="L846" s="62"/>
      <x:c r="M846" s="68"/>
      <x:c r="N846" s="68"/>
      <x:c r="O846" s="68"/>
      <x:c r="P846" s="71" t="str">
        <x:f>IF(A846="","",IF(N846&gt;0,N846,M846))</x:f>
      </x:c>
      <x:c r="Q846" s="72" t="n">
        <x:f>IF(A846="",0,IF(COUNTIF($A$5:A846,A846)=1,1,0))</x:f>
        <x:v>0</x:v>
      </x:c>
      <x:c r="R846" s="64" t="str">
        <x:f>IF(A846="","",IF(F846="C846成功",IF(AND(J846&lt;&gt;"",K846&lt;&gt;"",N846&gt;0),"有证据","缺C846证据"),IF(F846="C846发货确认中",IF(AND(J846&lt;&gt;"",K846&lt;&gt;""),"有证据","缺C846证据"),IF(F846="手动完结",IF(OR(L846&lt;&gt;"",O846&lt;&gt;"",S846&lt;&gt;""),"有记录","缺手工证据"),IF(OR(F846="卖出待补仓",F846="提交结果待确认",F846="异常待处理"),"持续跟踪","检查状态")))))</x:f>
      </x:c>
      <x:c r="T846" s="64" t="str">
        <x:f>IF(A846="","",IF(COUNTIF($A$5:$A$1204,A846)&gt;1,"重复",""))</x:f>
      </x:c>
      <x:c r="U846" s="64" t="str">
        <x:f>IF(A846="","",IF(T846="重复","检查重复",IF(OR(R846="有证据",R846="有记录",R846="持续跟踪"),"可追踪","检查")))</x:f>
      </x:c>
    </x:row>
    <x:row r="847">
      <x:c r="A847" s="62"/>
      <x:c r="B847" s="62"/>
      <x:c r="C847" s="62"/>
      <x:c r="D847" s="66"/>
      <x:c r="E847" s="68"/>
      <x:c r="F847" s="62"/>
      <x:c r="G847" s="62"/>
      <x:c r="H847" s="62"/>
      <x:c r="I847" s="62"/>
      <x:c r="J847" s="62"/>
      <x:c r="K847" s="62"/>
      <x:c r="L847" s="62"/>
      <x:c r="M847" s="68"/>
      <x:c r="N847" s="68"/>
      <x:c r="O847" s="68"/>
      <x:c r="P847" s="71" t="str">
        <x:f>IF(A847="","",IF(N847&gt;0,N847,M847))</x:f>
      </x:c>
      <x:c r="Q847" s="72" t="n">
        <x:f>IF(A847="",0,IF(COUNTIF($A$5:A847,A847)=1,1,0))</x:f>
        <x:v>0</x:v>
      </x:c>
      <x:c r="R847" s="64" t="str">
        <x:f>IF(A847="","",IF(F847="C847成功",IF(AND(J847&lt;&gt;"",K847&lt;&gt;"",N847&gt;0),"有证据","缺C847证据"),IF(F847="C847发货确认中",IF(AND(J847&lt;&gt;"",K847&lt;&gt;""),"有证据","缺C847证据"),IF(F847="手动完结",IF(OR(L847&lt;&gt;"",O847&lt;&gt;"",S847&lt;&gt;""),"有记录","缺手工证据"),IF(OR(F847="卖出待补仓",F847="提交结果待确认",F847="异常待处理"),"持续跟踪","检查状态")))))</x:f>
      </x:c>
      <x:c r="T847" s="64" t="str">
        <x:f>IF(A847="","",IF(COUNTIF($A$5:$A$1204,A847)&gt;1,"重复",""))</x:f>
      </x:c>
      <x:c r="U847" s="64" t="str">
        <x:f>IF(A847="","",IF(T847="重复","检查重复",IF(OR(R847="有证据",R847="有记录",R847="持续跟踪"),"可追踪","检查")))</x:f>
      </x:c>
    </x:row>
    <x:row r="848">
      <x:c r="A848" s="62"/>
      <x:c r="B848" s="62"/>
      <x:c r="C848" s="62"/>
      <x:c r="D848" s="66"/>
      <x:c r="E848" s="68"/>
      <x:c r="F848" s="62"/>
      <x:c r="G848" s="62"/>
      <x:c r="H848" s="62"/>
      <x:c r="I848" s="62"/>
      <x:c r="J848" s="62"/>
      <x:c r="K848" s="62"/>
      <x:c r="L848" s="62"/>
      <x:c r="M848" s="68"/>
      <x:c r="N848" s="68"/>
      <x:c r="O848" s="68"/>
      <x:c r="P848" s="71" t="str">
        <x:f>IF(A848="","",IF(N848&gt;0,N848,M848))</x:f>
      </x:c>
      <x:c r="Q848" s="72" t="n">
        <x:f>IF(A848="",0,IF(COUNTIF($A$5:A848,A848)=1,1,0))</x:f>
        <x:v>0</x:v>
      </x:c>
      <x:c r="R848" s="64" t="str">
        <x:f>IF(A848="","",IF(F848="C848成功",IF(AND(J848&lt;&gt;"",K848&lt;&gt;"",N848&gt;0),"有证据","缺C848证据"),IF(F848="C848发货确认中",IF(AND(J848&lt;&gt;"",K848&lt;&gt;""),"有证据","缺C848证据"),IF(F848="手动完结",IF(OR(L848&lt;&gt;"",O848&lt;&gt;"",S848&lt;&gt;""),"有记录","缺手工证据"),IF(OR(F848="卖出待补仓",F848="提交结果待确认",F848="异常待处理"),"持续跟踪","检查状态")))))</x:f>
      </x:c>
      <x:c r="T848" s="64" t="str">
        <x:f>IF(A848="","",IF(COUNTIF($A$5:$A$1204,A848)&gt;1,"重复",""))</x:f>
      </x:c>
      <x:c r="U848" s="64" t="str">
        <x:f>IF(A848="","",IF(T848="重复","检查重复",IF(OR(R848="有证据",R848="有记录",R848="持续跟踪"),"可追踪","检查")))</x:f>
      </x:c>
    </x:row>
    <x:row r="849">
      <x:c r="A849" s="62"/>
      <x:c r="B849" s="62"/>
      <x:c r="C849" s="62"/>
      <x:c r="D849" s="66"/>
      <x:c r="E849" s="68"/>
      <x:c r="F849" s="62"/>
      <x:c r="G849" s="62"/>
      <x:c r="H849" s="62"/>
      <x:c r="I849" s="62"/>
      <x:c r="J849" s="62"/>
      <x:c r="K849" s="62"/>
      <x:c r="L849" s="62"/>
      <x:c r="M849" s="68"/>
      <x:c r="N849" s="68"/>
      <x:c r="O849" s="68"/>
      <x:c r="P849" s="71" t="str">
        <x:f>IF(A849="","",IF(N849&gt;0,N849,M849))</x:f>
      </x:c>
      <x:c r="Q849" s="72" t="n">
        <x:f>IF(A849="",0,IF(COUNTIF($A$5:A849,A849)=1,1,0))</x:f>
        <x:v>0</x:v>
      </x:c>
      <x:c r="R849" s="64" t="str">
        <x:f>IF(A849="","",IF(F849="C849成功",IF(AND(J849&lt;&gt;"",K849&lt;&gt;"",N849&gt;0),"有证据","缺C849证据"),IF(F849="C849发货确认中",IF(AND(J849&lt;&gt;"",K849&lt;&gt;""),"有证据","缺C849证据"),IF(F849="手动完结",IF(OR(L849&lt;&gt;"",O849&lt;&gt;"",S849&lt;&gt;""),"有记录","缺手工证据"),IF(OR(F849="卖出待补仓",F849="提交结果待确认",F849="异常待处理"),"持续跟踪","检查状态")))))</x:f>
      </x:c>
      <x:c r="T849" s="64" t="str">
        <x:f>IF(A849="","",IF(COUNTIF($A$5:$A$1204,A849)&gt;1,"重复",""))</x:f>
      </x:c>
      <x:c r="U849" s="64" t="str">
        <x:f>IF(A849="","",IF(T849="重复","检查重复",IF(OR(R849="有证据",R849="有记录",R849="持续跟踪"),"可追踪","检查")))</x:f>
      </x:c>
    </x:row>
    <x:row r="850">
      <x:c r="A850" s="62"/>
      <x:c r="B850" s="62"/>
      <x:c r="C850" s="62"/>
      <x:c r="D850" s="66"/>
      <x:c r="E850" s="68"/>
      <x:c r="F850" s="62"/>
      <x:c r="G850" s="62"/>
      <x:c r="H850" s="62"/>
      <x:c r="I850" s="62"/>
      <x:c r="J850" s="62"/>
      <x:c r="K850" s="62"/>
      <x:c r="L850" s="62"/>
      <x:c r="M850" s="68"/>
      <x:c r="N850" s="68"/>
      <x:c r="O850" s="68"/>
      <x:c r="P850" s="71" t="str">
        <x:f>IF(A850="","",IF(N850&gt;0,N850,M850))</x:f>
      </x:c>
      <x:c r="Q850" s="72" t="n">
        <x:f>IF(A850="",0,IF(COUNTIF($A$5:A850,A850)=1,1,0))</x:f>
        <x:v>0</x:v>
      </x:c>
      <x:c r="R850" s="64" t="str">
        <x:f>IF(A850="","",IF(F850="C850成功",IF(AND(J850&lt;&gt;"",K850&lt;&gt;"",N850&gt;0),"有证据","缺C850证据"),IF(F850="C850发货确认中",IF(AND(J850&lt;&gt;"",K850&lt;&gt;""),"有证据","缺C850证据"),IF(F850="手动完结",IF(OR(L850&lt;&gt;"",O850&lt;&gt;"",S850&lt;&gt;""),"有记录","缺手工证据"),IF(OR(F850="卖出待补仓",F850="提交结果待确认",F850="异常待处理"),"持续跟踪","检查状态")))))</x:f>
      </x:c>
      <x:c r="T850" s="64" t="str">
        <x:f>IF(A850="","",IF(COUNTIF($A$5:$A$1204,A850)&gt;1,"重复",""))</x:f>
      </x:c>
      <x:c r="U850" s="64" t="str">
        <x:f>IF(A850="","",IF(T850="重复","检查重复",IF(OR(R850="有证据",R850="有记录",R850="持续跟踪"),"可追踪","检查")))</x:f>
      </x:c>
    </x:row>
    <x:row r="851">
      <x:c r="A851" s="62"/>
      <x:c r="B851" s="62"/>
      <x:c r="C851" s="62"/>
      <x:c r="D851" s="66"/>
      <x:c r="E851" s="68"/>
      <x:c r="F851" s="62"/>
      <x:c r="G851" s="62"/>
      <x:c r="H851" s="62"/>
      <x:c r="I851" s="62"/>
      <x:c r="J851" s="62"/>
      <x:c r="K851" s="62"/>
      <x:c r="L851" s="62"/>
      <x:c r="M851" s="68"/>
      <x:c r="N851" s="68"/>
      <x:c r="O851" s="68"/>
      <x:c r="P851" s="71" t="str">
        <x:f>IF(A851="","",IF(N851&gt;0,N851,M851))</x:f>
      </x:c>
      <x:c r="Q851" s="72" t="n">
        <x:f>IF(A851="",0,IF(COUNTIF($A$5:A851,A851)=1,1,0))</x:f>
        <x:v>0</x:v>
      </x:c>
      <x:c r="R851" s="64" t="str">
        <x:f>IF(A851="","",IF(F851="C851成功",IF(AND(J851&lt;&gt;"",K851&lt;&gt;"",N851&gt;0),"有证据","缺C851证据"),IF(F851="C851发货确认中",IF(AND(J851&lt;&gt;"",K851&lt;&gt;""),"有证据","缺C851证据"),IF(F851="手动完结",IF(OR(L851&lt;&gt;"",O851&lt;&gt;"",S851&lt;&gt;""),"有记录","缺手工证据"),IF(OR(F851="卖出待补仓",F851="提交结果待确认",F851="异常待处理"),"持续跟踪","检查状态")))))</x:f>
      </x:c>
      <x:c r="T851" s="64" t="str">
        <x:f>IF(A851="","",IF(COUNTIF($A$5:$A$1204,A851)&gt;1,"重复",""))</x:f>
      </x:c>
      <x:c r="U851" s="64" t="str">
        <x:f>IF(A851="","",IF(T851="重复","检查重复",IF(OR(R851="有证据",R851="有记录",R851="持续跟踪"),"可追踪","检查")))</x:f>
      </x:c>
    </x:row>
    <x:row r="852">
      <x:c r="A852" s="62"/>
      <x:c r="B852" s="62"/>
      <x:c r="C852" s="62"/>
      <x:c r="D852" s="66"/>
      <x:c r="E852" s="68"/>
      <x:c r="F852" s="62"/>
      <x:c r="G852" s="62"/>
      <x:c r="H852" s="62"/>
      <x:c r="I852" s="62"/>
      <x:c r="J852" s="62"/>
      <x:c r="K852" s="62"/>
      <x:c r="L852" s="62"/>
      <x:c r="M852" s="68"/>
      <x:c r="N852" s="68"/>
      <x:c r="O852" s="68"/>
      <x:c r="P852" s="71" t="str">
        <x:f>IF(A852="","",IF(N852&gt;0,N852,M852))</x:f>
      </x:c>
      <x:c r="Q852" s="72" t="n">
        <x:f>IF(A852="",0,IF(COUNTIF($A$5:A852,A852)=1,1,0))</x:f>
        <x:v>0</x:v>
      </x:c>
      <x:c r="R852" s="64" t="str">
        <x:f>IF(A852="","",IF(F852="C852成功",IF(AND(J852&lt;&gt;"",K852&lt;&gt;"",N852&gt;0),"有证据","缺C852证据"),IF(F852="C852发货确认中",IF(AND(J852&lt;&gt;"",K852&lt;&gt;""),"有证据","缺C852证据"),IF(F852="手动完结",IF(OR(L852&lt;&gt;"",O852&lt;&gt;"",S852&lt;&gt;""),"有记录","缺手工证据"),IF(OR(F852="卖出待补仓",F852="提交结果待确认",F852="异常待处理"),"持续跟踪","检查状态")))))</x:f>
      </x:c>
      <x:c r="T852" s="64" t="str">
        <x:f>IF(A852="","",IF(COUNTIF($A$5:$A$1204,A852)&gt;1,"重复",""))</x:f>
      </x:c>
      <x:c r="U852" s="64" t="str">
        <x:f>IF(A852="","",IF(T852="重复","检查重复",IF(OR(R852="有证据",R852="有记录",R852="持续跟踪"),"可追踪","检查")))</x:f>
      </x:c>
    </x:row>
    <x:row r="853">
      <x:c r="A853" s="62"/>
      <x:c r="B853" s="62"/>
      <x:c r="C853" s="62"/>
      <x:c r="D853" s="66"/>
      <x:c r="E853" s="68"/>
      <x:c r="F853" s="62"/>
      <x:c r="G853" s="62"/>
      <x:c r="H853" s="62"/>
      <x:c r="I853" s="62"/>
      <x:c r="J853" s="62"/>
      <x:c r="K853" s="62"/>
      <x:c r="L853" s="62"/>
      <x:c r="M853" s="68"/>
      <x:c r="N853" s="68"/>
      <x:c r="O853" s="68"/>
      <x:c r="P853" s="71" t="str">
        <x:f>IF(A853="","",IF(N853&gt;0,N853,M853))</x:f>
      </x:c>
      <x:c r="Q853" s="72" t="n">
        <x:f>IF(A853="",0,IF(COUNTIF($A$5:A853,A853)=1,1,0))</x:f>
        <x:v>0</x:v>
      </x:c>
      <x:c r="R853" s="64" t="str">
        <x:f>IF(A853="","",IF(F853="C853成功",IF(AND(J853&lt;&gt;"",K853&lt;&gt;"",N853&gt;0),"有证据","缺C853证据"),IF(F853="C853发货确认中",IF(AND(J853&lt;&gt;"",K853&lt;&gt;""),"有证据","缺C853证据"),IF(F853="手动完结",IF(OR(L853&lt;&gt;"",O853&lt;&gt;"",S853&lt;&gt;""),"有记录","缺手工证据"),IF(OR(F853="卖出待补仓",F853="提交结果待确认",F853="异常待处理"),"持续跟踪","检查状态")))))</x:f>
      </x:c>
      <x:c r="T853" s="64" t="str">
        <x:f>IF(A853="","",IF(COUNTIF($A$5:$A$1204,A853)&gt;1,"重复",""))</x:f>
      </x:c>
      <x:c r="U853" s="64" t="str">
        <x:f>IF(A853="","",IF(T853="重复","检查重复",IF(OR(R853="有证据",R853="有记录",R853="持续跟踪"),"可追踪","检查")))</x:f>
      </x:c>
    </x:row>
    <x:row r="854">
      <x:c r="A854" s="62"/>
      <x:c r="B854" s="62"/>
      <x:c r="C854" s="62"/>
      <x:c r="D854" s="66"/>
      <x:c r="E854" s="68"/>
      <x:c r="F854" s="62"/>
      <x:c r="G854" s="62"/>
      <x:c r="H854" s="62"/>
      <x:c r="I854" s="62"/>
      <x:c r="J854" s="62"/>
      <x:c r="K854" s="62"/>
      <x:c r="L854" s="62"/>
      <x:c r="M854" s="68"/>
      <x:c r="N854" s="68"/>
      <x:c r="O854" s="68"/>
      <x:c r="P854" s="71" t="str">
        <x:f>IF(A854="","",IF(N854&gt;0,N854,M854))</x:f>
      </x:c>
      <x:c r="Q854" s="72" t="n">
        <x:f>IF(A854="",0,IF(COUNTIF($A$5:A854,A854)=1,1,0))</x:f>
        <x:v>0</x:v>
      </x:c>
      <x:c r="R854" s="64" t="str">
        <x:f>IF(A854="","",IF(F854="C854成功",IF(AND(J854&lt;&gt;"",K854&lt;&gt;"",N854&gt;0),"有证据","缺C854证据"),IF(F854="C854发货确认中",IF(AND(J854&lt;&gt;"",K854&lt;&gt;""),"有证据","缺C854证据"),IF(F854="手动完结",IF(OR(L854&lt;&gt;"",O854&lt;&gt;"",S854&lt;&gt;""),"有记录","缺手工证据"),IF(OR(F854="卖出待补仓",F854="提交结果待确认",F854="异常待处理"),"持续跟踪","检查状态")))))</x:f>
      </x:c>
      <x:c r="T854" s="64" t="str">
        <x:f>IF(A854="","",IF(COUNTIF($A$5:$A$1204,A854)&gt;1,"重复",""))</x:f>
      </x:c>
      <x:c r="U854" s="64" t="str">
        <x:f>IF(A854="","",IF(T854="重复","检查重复",IF(OR(R854="有证据",R854="有记录",R854="持续跟踪"),"可追踪","检查")))</x:f>
      </x:c>
    </x:row>
    <x:row r="855">
      <x:c r="A855" s="62"/>
      <x:c r="B855" s="62"/>
      <x:c r="C855" s="62"/>
      <x:c r="D855" s="66"/>
      <x:c r="E855" s="68"/>
      <x:c r="F855" s="62"/>
      <x:c r="G855" s="62"/>
      <x:c r="H855" s="62"/>
      <x:c r="I855" s="62"/>
      <x:c r="J855" s="62"/>
      <x:c r="K855" s="62"/>
      <x:c r="L855" s="62"/>
      <x:c r="M855" s="68"/>
      <x:c r="N855" s="68"/>
      <x:c r="O855" s="68"/>
      <x:c r="P855" s="71" t="str">
        <x:f>IF(A855="","",IF(N855&gt;0,N855,M855))</x:f>
      </x:c>
      <x:c r="Q855" s="72" t="n">
        <x:f>IF(A855="",0,IF(COUNTIF($A$5:A855,A855)=1,1,0))</x:f>
        <x:v>0</x:v>
      </x:c>
      <x:c r="R855" s="64" t="str">
        <x:f>IF(A855="","",IF(F855="C855成功",IF(AND(J855&lt;&gt;"",K855&lt;&gt;"",N855&gt;0),"有证据","缺C855证据"),IF(F855="C855发货确认中",IF(AND(J855&lt;&gt;"",K855&lt;&gt;""),"有证据","缺C855证据"),IF(F855="手动完结",IF(OR(L855&lt;&gt;"",O855&lt;&gt;"",S855&lt;&gt;""),"有记录","缺手工证据"),IF(OR(F855="卖出待补仓",F855="提交结果待确认",F855="异常待处理"),"持续跟踪","检查状态")))))</x:f>
      </x:c>
      <x:c r="T855" s="64" t="str">
        <x:f>IF(A855="","",IF(COUNTIF($A$5:$A$1204,A855)&gt;1,"重复",""))</x:f>
      </x:c>
      <x:c r="U855" s="64" t="str">
        <x:f>IF(A855="","",IF(T855="重复","检查重复",IF(OR(R855="有证据",R855="有记录",R855="持续跟踪"),"可追踪","检查")))</x:f>
      </x:c>
    </x:row>
    <x:row r="856">
      <x:c r="A856" s="62"/>
      <x:c r="B856" s="62"/>
      <x:c r="C856" s="62"/>
      <x:c r="D856" s="66"/>
      <x:c r="E856" s="68"/>
      <x:c r="F856" s="62"/>
      <x:c r="G856" s="62"/>
      <x:c r="H856" s="62"/>
      <x:c r="I856" s="62"/>
      <x:c r="J856" s="62"/>
      <x:c r="K856" s="62"/>
      <x:c r="L856" s="62"/>
      <x:c r="M856" s="68"/>
      <x:c r="N856" s="68"/>
      <x:c r="O856" s="68"/>
      <x:c r="P856" s="71" t="str">
        <x:f>IF(A856="","",IF(N856&gt;0,N856,M856))</x:f>
      </x:c>
      <x:c r="Q856" s="72" t="n">
        <x:f>IF(A856="",0,IF(COUNTIF($A$5:A856,A856)=1,1,0))</x:f>
        <x:v>0</x:v>
      </x:c>
      <x:c r="R856" s="64" t="str">
        <x:f>IF(A856="","",IF(F856="C856成功",IF(AND(J856&lt;&gt;"",K856&lt;&gt;"",N856&gt;0),"有证据","缺C856证据"),IF(F856="C856发货确认中",IF(AND(J856&lt;&gt;"",K856&lt;&gt;""),"有证据","缺C856证据"),IF(F856="手动完结",IF(OR(L856&lt;&gt;"",O856&lt;&gt;"",S856&lt;&gt;""),"有记录","缺手工证据"),IF(OR(F856="卖出待补仓",F856="提交结果待确认",F856="异常待处理"),"持续跟踪","检查状态")))))</x:f>
      </x:c>
      <x:c r="T856" s="64" t="str">
        <x:f>IF(A856="","",IF(COUNTIF($A$5:$A$1204,A856)&gt;1,"重复",""))</x:f>
      </x:c>
      <x:c r="U856" s="64" t="str">
        <x:f>IF(A856="","",IF(T856="重复","检查重复",IF(OR(R856="有证据",R856="有记录",R856="持续跟踪"),"可追踪","检查")))</x:f>
      </x:c>
    </x:row>
    <x:row r="857">
      <x:c r="A857" s="62"/>
      <x:c r="B857" s="62"/>
      <x:c r="C857" s="62"/>
      <x:c r="D857" s="66"/>
      <x:c r="E857" s="68"/>
      <x:c r="F857" s="62"/>
      <x:c r="G857" s="62"/>
      <x:c r="H857" s="62"/>
      <x:c r="I857" s="62"/>
      <x:c r="J857" s="62"/>
      <x:c r="K857" s="62"/>
      <x:c r="L857" s="62"/>
      <x:c r="M857" s="68"/>
      <x:c r="N857" s="68"/>
      <x:c r="O857" s="68"/>
      <x:c r="P857" s="71" t="str">
        <x:f>IF(A857="","",IF(N857&gt;0,N857,M857))</x:f>
      </x:c>
      <x:c r="Q857" s="72" t="n">
        <x:f>IF(A857="",0,IF(COUNTIF($A$5:A857,A857)=1,1,0))</x:f>
        <x:v>0</x:v>
      </x:c>
      <x:c r="R857" s="64" t="str">
        <x:f>IF(A857="","",IF(F857="C857成功",IF(AND(J857&lt;&gt;"",K857&lt;&gt;"",N857&gt;0),"有证据","缺C857证据"),IF(F857="C857发货确认中",IF(AND(J857&lt;&gt;"",K857&lt;&gt;""),"有证据","缺C857证据"),IF(F857="手动完结",IF(OR(L857&lt;&gt;"",O857&lt;&gt;"",S857&lt;&gt;""),"有记录","缺手工证据"),IF(OR(F857="卖出待补仓",F857="提交结果待确认",F857="异常待处理"),"持续跟踪","检查状态")))))</x:f>
      </x:c>
      <x:c r="T857" s="64" t="str">
        <x:f>IF(A857="","",IF(COUNTIF($A$5:$A$1204,A857)&gt;1,"重复",""))</x:f>
      </x:c>
      <x:c r="U857" s="64" t="str">
        <x:f>IF(A857="","",IF(T857="重复","检查重复",IF(OR(R857="有证据",R857="有记录",R857="持续跟踪"),"可追踪","检查")))</x:f>
      </x:c>
    </x:row>
    <x:row r="858">
      <x:c r="A858" s="62"/>
      <x:c r="B858" s="62"/>
      <x:c r="C858" s="62"/>
      <x:c r="D858" s="66"/>
      <x:c r="E858" s="68"/>
      <x:c r="F858" s="62"/>
      <x:c r="G858" s="62"/>
      <x:c r="H858" s="62"/>
      <x:c r="I858" s="62"/>
      <x:c r="J858" s="62"/>
      <x:c r="K858" s="62"/>
      <x:c r="L858" s="62"/>
      <x:c r="M858" s="68"/>
      <x:c r="N858" s="68"/>
      <x:c r="O858" s="68"/>
      <x:c r="P858" s="71" t="str">
        <x:f>IF(A858="","",IF(N858&gt;0,N858,M858))</x:f>
      </x:c>
      <x:c r="Q858" s="72" t="n">
        <x:f>IF(A858="",0,IF(COUNTIF($A$5:A858,A858)=1,1,0))</x:f>
        <x:v>0</x:v>
      </x:c>
      <x:c r="R858" s="64" t="str">
        <x:f>IF(A858="","",IF(F858="C858成功",IF(AND(J858&lt;&gt;"",K858&lt;&gt;"",N858&gt;0),"有证据","缺C858证据"),IF(F858="C858发货确认中",IF(AND(J858&lt;&gt;"",K858&lt;&gt;""),"有证据","缺C858证据"),IF(F858="手动完结",IF(OR(L858&lt;&gt;"",O858&lt;&gt;"",S858&lt;&gt;""),"有记录","缺手工证据"),IF(OR(F858="卖出待补仓",F858="提交结果待确认",F858="异常待处理"),"持续跟踪","检查状态")))))</x:f>
      </x:c>
      <x:c r="T858" s="64" t="str">
        <x:f>IF(A858="","",IF(COUNTIF($A$5:$A$1204,A858)&gt;1,"重复",""))</x:f>
      </x:c>
      <x:c r="U858" s="64" t="str">
        <x:f>IF(A858="","",IF(T858="重复","检查重复",IF(OR(R858="有证据",R858="有记录",R858="持续跟踪"),"可追踪","检查")))</x:f>
      </x:c>
    </x:row>
    <x:row r="859">
      <x:c r="A859" s="62"/>
      <x:c r="B859" s="62"/>
      <x:c r="C859" s="62"/>
      <x:c r="D859" s="66"/>
      <x:c r="E859" s="68"/>
      <x:c r="F859" s="62"/>
      <x:c r="G859" s="62"/>
      <x:c r="H859" s="62"/>
      <x:c r="I859" s="62"/>
      <x:c r="J859" s="62"/>
      <x:c r="K859" s="62"/>
      <x:c r="L859" s="62"/>
      <x:c r="M859" s="68"/>
      <x:c r="N859" s="68"/>
      <x:c r="O859" s="68"/>
      <x:c r="P859" s="71" t="str">
        <x:f>IF(A859="","",IF(N859&gt;0,N859,M859))</x:f>
      </x:c>
      <x:c r="Q859" s="72" t="n">
        <x:f>IF(A859="",0,IF(COUNTIF($A$5:A859,A859)=1,1,0))</x:f>
        <x:v>0</x:v>
      </x:c>
      <x:c r="R859" s="64" t="str">
        <x:f>IF(A859="","",IF(F859="C859成功",IF(AND(J859&lt;&gt;"",K859&lt;&gt;"",N859&gt;0),"有证据","缺C859证据"),IF(F859="C859发货确认中",IF(AND(J859&lt;&gt;"",K859&lt;&gt;""),"有证据","缺C859证据"),IF(F859="手动完结",IF(OR(L859&lt;&gt;"",O859&lt;&gt;"",S859&lt;&gt;""),"有记录","缺手工证据"),IF(OR(F859="卖出待补仓",F859="提交结果待确认",F859="异常待处理"),"持续跟踪","检查状态")))))</x:f>
      </x:c>
      <x:c r="T859" s="64" t="str">
        <x:f>IF(A859="","",IF(COUNTIF($A$5:$A$1204,A859)&gt;1,"重复",""))</x:f>
      </x:c>
      <x:c r="U859" s="64" t="str">
        <x:f>IF(A859="","",IF(T859="重复","检查重复",IF(OR(R859="有证据",R859="有记录",R859="持续跟踪"),"可追踪","检查")))</x:f>
      </x:c>
    </x:row>
    <x:row r="860">
      <x:c r="A860" s="62"/>
      <x:c r="B860" s="62"/>
      <x:c r="C860" s="62"/>
      <x:c r="D860" s="66"/>
      <x:c r="E860" s="68"/>
      <x:c r="F860" s="62"/>
      <x:c r="G860" s="62"/>
      <x:c r="H860" s="62"/>
      <x:c r="I860" s="62"/>
      <x:c r="J860" s="62"/>
      <x:c r="K860" s="62"/>
      <x:c r="L860" s="62"/>
      <x:c r="M860" s="68"/>
      <x:c r="N860" s="68"/>
      <x:c r="O860" s="68"/>
      <x:c r="P860" s="71" t="str">
        <x:f>IF(A860="","",IF(N860&gt;0,N860,M860))</x:f>
      </x:c>
      <x:c r="Q860" s="72" t="n">
        <x:f>IF(A860="",0,IF(COUNTIF($A$5:A860,A860)=1,1,0))</x:f>
        <x:v>0</x:v>
      </x:c>
      <x:c r="R860" s="64" t="str">
        <x:f>IF(A860="","",IF(F860="C860成功",IF(AND(J860&lt;&gt;"",K860&lt;&gt;"",N860&gt;0),"有证据","缺C860证据"),IF(F860="C860发货确认中",IF(AND(J860&lt;&gt;"",K860&lt;&gt;""),"有证据","缺C860证据"),IF(F860="手动完结",IF(OR(L860&lt;&gt;"",O860&lt;&gt;"",S860&lt;&gt;""),"有记录","缺手工证据"),IF(OR(F860="卖出待补仓",F860="提交结果待确认",F860="异常待处理"),"持续跟踪","检查状态")))))</x:f>
      </x:c>
      <x:c r="T860" s="64" t="str">
        <x:f>IF(A860="","",IF(COUNTIF($A$5:$A$1204,A860)&gt;1,"重复",""))</x:f>
      </x:c>
      <x:c r="U860" s="64" t="str">
        <x:f>IF(A860="","",IF(T860="重复","检查重复",IF(OR(R860="有证据",R860="有记录",R860="持续跟踪"),"可追踪","检查")))</x:f>
      </x:c>
    </x:row>
    <x:row r="861">
      <x:c r="A861" s="62"/>
      <x:c r="B861" s="62"/>
      <x:c r="C861" s="62"/>
      <x:c r="D861" s="66"/>
      <x:c r="E861" s="68"/>
      <x:c r="F861" s="62"/>
      <x:c r="G861" s="62"/>
      <x:c r="H861" s="62"/>
      <x:c r="I861" s="62"/>
      <x:c r="J861" s="62"/>
      <x:c r="K861" s="62"/>
      <x:c r="L861" s="62"/>
      <x:c r="M861" s="68"/>
      <x:c r="N861" s="68"/>
      <x:c r="O861" s="68"/>
      <x:c r="P861" s="71" t="str">
        <x:f>IF(A861="","",IF(N861&gt;0,N861,M861))</x:f>
      </x:c>
      <x:c r="Q861" s="72" t="n">
        <x:f>IF(A861="",0,IF(COUNTIF($A$5:A861,A861)=1,1,0))</x:f>
        <x:v>0</x:v>
      </x:c>
      <x:c r="R861" s="64" t="str">
        <x:f>IF(A861="","",IF(F861="C861成功",IF(AND(J861&lt;&gt;"",K861&lt;&gt;"",N861&gt;0),"有证据","缺C861证据"),IF(F861="C861发货确认中",IF(AND(J861&lt;&gt;"",K861&lt;&gt;""),"有证据","缺C861证据"),IF(F861="手动完结",IF(OR(L861&lt;&gt;"",O861&lt;&gt;"",S861&lt;&gt;""),"有记录","缺手工证据"),IF(OR(F861="卖出待补仓",F861="提交结果待确认",F861="异常待处理"),"持续跟踪","检查状态")))))</x:f>
      </x:c>
      <x:c r="T861" s="64" t="str">
        <x:f>IF(A861="","",IF(COUNTIF($A$5:$A$1204,A861)&gt;1,"重复",""))</x:f>
      </x:c>
      <x:c r="U861" s="64" t="str">
        <x:f>IF(A861="","",IF(T861="重复","检查重复",IF(OR(R861="有证据",R861="有记录",R861="持续跟踪"),"可追踪","检查")))</x:f>
      </x:c>
    </x:row>
    <x:row r="862">
      <x:c r="A862" s="62"/>
      <x:c r="B862" s="62"/>
      <x:c r="C862" s="62"/>
      <x:c r="D862" s="66"/>
      <x:c r="E862" s="68"/>
      <x:c r="F862" s="62"/>
      <x:c r="G862" s="62"/>
      <x:c r="H862" s="62"/>
      <x:c r="I862" s="62"/>
      <x:c r="J862" s="62"/>
      <x:c r="K862" s="62"/>
      <x:c r="L862" s="62"/>
      <x:c r="M862" s="68"/>
      <x:c r="N862" s="68"/>
      <x:c r="O862" s="68"/>
      <x:c r="P862" s="71" t="str">
        <x:f>IF(A862="","",IF(N862&gt;0,N862,M862))</x:f>
      </x:c>
      <x:c r="Q862" s="72" t="n">
        <x:f>IF(A862="",0,IF(COUNTIF($A$5:A862,A862)=1,1,0))</x:f>
        <x:v>0</x:v>
      </x:c>
      <x:c r="R862" s="64" t="str">
        <x:f>IF(A862="","",IF(F862="C862成功",IF(AND(J862&lt;&gt;"",K862&lt;&gt;"",N862&gt;0),"有证据","缺C862证据"),IF(F862="C862发货确认中",IF(AND(J862&lt;&gt;"",K862&lt;&gt;""),"有证据","缺C862证据"),IF(F862="手动完结",IF(OR(L862&lt;&gt;"",O862&lt;&gt;"",S862&lt;&gt;""),"有记录","缺手工证据"),IF(OR(F862="卖出待补仓",F862="提交结果待确认",F862="异常待处理"),"持续跟踪","检查状态")))))</x:f>
      </x:c>
      <x:c r="T862" s="64" t="str">
        <x:f>IF(A862="","",IF(COUNTIF($A$5:$A$1204,A862)&gt;1,"重复",""))</x:f>
      </x:c>
      <x:c r="U862" s="64" t="str">
        <x:f>IF(A862="","",IF(T862="重复","检查重复",IF(OR(R862="有证据",R862="有记录",R862="持续跟踪"),"可追踪","检查")))</x:f>
      </x:c>
    </x:row>
    <x:row r="863">
      <x:c r="A863" s="62"/>
      <x:c r="B863" s="62"/>
      <x:c r="C863" s="62"/>
      <x:c r="D863" s="66"/>
      <x:c r="E863" s="68"/>
      <x:c r="F863" s="62"/>
      <x:c r="G863" s="62"/>
      <x:c r="H863" s="62"/>
      <x:c r="I863" s="62"/>
      <x:c r="J863" s="62"/>
      <x:c r="K863" s="62"/>
      <x:c r="L863" s="62"/>
      <x:c r="M863" s="68"/>
      <x:c r="N863" s="68"/>
      <x:c r="O863" s="68"/>
      <x:c r="P863" s="71" t="str">
        <x:f>IF(A863="","",IF(N863&gt;0,N863,M863))</x:f>
      </x:c>
      <x:c r="Q863" s="72" t="n">
        <x:f>IF(A863="",0,IF(COUNTIF($A$5:A863,A863)=1,1,0))</x:f>
        <x:v>0</x:v>
      </x:c>
      <x:c r="R863" s="64" t="str">
        <x:f>IF(A863="","",IF(F863="C863成功",IF(AND(J863&lt;&gt;"",K863&lt;&gt;"",N863&gt;0),"有证据","缺C863证据"),IF(F863="C863发货确认中",IF(AND(J863&lt;&gt;"",K863&lt;&gt;""),"有证据","缺C863证据"),IF(F863="手动完结",IF(OR(L863&lt;&gt;"",O863&lt;&gt;"",S863&lt;&gt;""),"有记录","缺手工证据"),IF(OR(F863="卖出待补仓",F863="提交结果待确认",F863="异常待处理"),"持续跟踪","检查状态")))))</x:f>
      </x:c>
      <x:c r="T863" s="64" t="str">
        <x:f>IF(A863="","",IF(COUNTIF($A$5:$A$1204,A863)&gt;1,"重复",""))</x:f>
      </x:c>
      <x:c r="U863" s="64" t="str">
        <x:f>IF(A863="","",IF(T863="重复","检查重复",IF(OR(R863="有证据",R863="有记录",R863="持续跟踪"),"可追踪","检查")))</x:f>
      </x:c>
    </x:row>
    <x:row r="864">
      <x:c r="A864" s="62"/>
      <x:c r="B864" s="62"/>
      <x:c r="C864" s="62"/>
      <x:c r="D864" s="66"/>
      <x:c r="E864" s="68"/>
      <x:c r="F864" s="62"/>
      <x:c r="G864" s="62"/>
      <x:c r="H864" s="62"/>
      <x:c r="I864" s="62"/>
      <x:c r="J864" s="62"/>
      <x:c r="K864" s="62"/>
      <x:c r="L864" s="62"/>
      <x:c r="M864" s="68"/>
      <x:c r="N864" s="68"/>
      <x:c r="O864" s="68"/>
      <x:c r="P864" s="71" t="str">
        <x:f>IF(A864="","",IF(N864&gt;0,N864,M864))</x:f>
      </x:c>
      <x:c r="Q864" s="72" t="n">
        <x:f>IF(A864="",0,IF(COUNTIF($A$5:A864,A864)=1,1,0))</x:f>
        <x:v>0</x:v>
      </x:c>
      <x:c r="R864" s="64" t="str">
        <x:f>IF(A864="","",IF(F864="C864成功",IF(AND(J864&lt;&gt;"",K864&lt;&gt;"",N864&gt;0),"有证据","缺C864证据"),IF(F864="C864发货确认中",IF(AND(J864&lt;&gt;"",K864&lt;&gt;""),"有证据","缺C864证据"),IF(F864="手动完结",IF(OR(L864&lt;&gt;"",O864&lt;&gt;"",S864&lt;&gt;""),"有记录","缺手工证据"),IF(OR(F864="卖出待补仓",F864="提交结果待确认",F864="异常待处理"),"持续跟踪","检查状态")))))</x:f>
      </x:c>
      <x:c r="T864" s="64" t="str">
        <x:f>IF(A864="","",IF(COUNTIF($A$5:$A$1204,A864)&gt;1,"重复",""))</x:f>
      </x:c>
      <x:c r="U864" s="64" t="str">
        <x:f>IF(A864="","",IF(T864="重复","检查重复",IF(OR(R864="有证据",R864="有记录",R864="持续跟踪"),"可追踪","检查")))</x:f>
      </x:c>
    </x:row>
    <x:row r="865">
      <x:c r="A865" s="62"/>
      <x:c r="B865" s="62"/>
      <x:c r="C865" s="62"/>
      <x:c r="D865" s="66"/>
      <x:c r="E865" s="68"/>
      <x:c r="F865" s="62"/>
      <x:c r="G865" s="62"/>
      <x:c r="H865" s="62"/>
      <x:c r="I865" s="62"/>
      <x:c r="J865" s="62"/>
      <x:c r="K865" s="62"/>
      <x:c r="L865" s="62"/>
      <x:c r="M865" s="68"/>
      <x:c r="N865" s="68"/>
      <x:c r="O865" s="68"/>
      <x:c r="P865" s="71" t="str">
        <x:f>IF(A865="","",IF(N865&gt;0,N865,M865))</x:f>
      </x:c>
      <x:c r="Q865" s="72" t="n">
        <x:f>IF(A865="",0,IF(COUNTIF($A$5:A865,A865)=1,1,0))</x:f>
        <x:v>0</x:v>
      </x:c>
      <x:c r="R865" s="64" t="str">
        <x:f>IF(A865="","",IF(F865="C865成功",IF(AND(J865&lt;&gt;"",K865&lt;&gt;"",N865&gt;0),"有证据","缺C865证据"),IF(F865="C865发货确认中",IF(AND(J865&lt;&gt;"",K865&lt;&gt;""),"有证据","缺C865证据"),IF(F865="手动完结",IF(OR(L865&lt;&gt;"",O865&lt;&gt;"",S865&lt;&gt;""),"有记录","缺手工证据"),IF(OR(F865="卖出待补仓",F865="提交结果待确认",F865="异常待处理"),"持续跟踪","检查状态")))))</x:f>
      </x:c>
      <x:c r="T865" s="64" t="str">
        <x:f>IF(A865="","",IF(COUNTIF($A$5:$A$1204,A865)&gt;1,"重复",""))</x:f>
      </x:c>
      <x:c r="U865" s="64" t="str">
        <x:f>IF(A865="","",IF(T865="重复","检查重复",IF(OR(R865="有证据",R865="有记录",R865="持续跟踪"),"可追踪","检查")))</x:f>
      </x:c>
    </x:row>
    <x:row r="866">
      <x:c r="A866" s="62"/>
      <x:c r="B866" s="62"/>
      <x:c r="C866" s="62"/>
      <x:c r="D866" s="66"/>
      <x:c r="E866" s="68"/>
      <x:c r="F866" s="62"/>
      <x:c r="G866" s="62"/>
      <x:c r="H866" s="62"/>
      <x:c r="I866" s="62"/>
      <x:c r="J866" s="62"/>
      <x:c r="K866" s="62"/>
      <x:c r="L866" s="62"/>
      <x:c r="M866" s="68"/>
      <x:c r="N866" s="68"/>
      <x:c r="O866" s="68"/>
      <x:c r="P866" s="71" t="str">
        <x:f>IF(A866="","",IF(N866&gt;0,N866,M866))</x:f>
      </x:c>
      <x:c r="Q866" s="72" t="n">
        <x:f>IF(A866="",0,IF(COUNTIF($A$5:A866,A866)=1,1,0))</x:f>
        <x:v>0</x:v>
      </x:c>
      <x:c r="R866" s="64" t="str">
        <x:f>IF(A866="","",IF(F866="C866成功",IF(AND(J866&lt;&gt;"",K866&lt;&gt;"",N866&gt;0),"有证据","缺C866证据"),IF(F866="C866发货确认中",IF(AND(J866&lt;&gt;"",K866&lt;&gt;""),"有证据","缺C866证据"),IF(F866="手动完结",IF(OR(L866&lt;&gt;"",O866&lt;&gt;"",S866&lt;&gt;""),"有记录","缺手工证据"),IF(OR(F866="卖出待补仓",F866="提交结果待确认",F866="异常待处理"),"持续跟踪","检查状态")))))</x:f>
      </x:c>
      <x:c r="T866" s="64" t="str">
        <x:f>IF(A866="","",IF(COUNTIF($A$5:$A$1204,A866)&gt;1,"重复",""))</x:f>
      </x:c>
      <x:c r="U866" s="64" t="str">
        <x:f>IF(A866="","",IF(T866="重复","检查重复",IF(OR(R866="有证据",R866="有记录",R866="持续跟踪"),"可追踪","检查")))</x:f>
      </x:c>
    </x:row>
    <x:row r="867">
      <x:c r="A867" s="62"/>
      <x:c r="B867" s="62"/>
      <x:c r="C867" s="62"/>
      <x:c r="D867" s="66"/>
      <x:c r="E867" s="68"/>
      <x:c r="F867" s="62"/>
      <x:c r="G867" s="62"/>
      <x:c r="H867" s="62"/>
      <x:c r="I867" s="62"/>
      <x:c r="J867" s="62"/>
      <x:c r="K867" s="62"/>
      <x:c r="L867" s="62"/>
      <x:c r="M867" s="68"/>
      <x:c r="N867" s="68"/>
      <x:c r="O867" s="68"/>
      <x:c r="P867" s="71" t="str">
        <x:f>IF(A867="","",IF(N867&gt;0,N867,M867))</x:f>
      </x:c>
      <x:c r="Q867" s="72" t="n">
        <x:f>IF(A867="",0,IF(COUNTIF($A$5:A867,A867)=1,1,0))</x:f>
        <x:v>0</x:v>
      </x:c>
      <x:c r="R867" s="64" t="str">
        <x:f>IF(A867="","",IF(F867="C867成功",IF(AND(J867&lt;&gt;"",K867&lt;&gt;"",N867&gt;0),"有证据","缺C867证据"),IF(F867="C867发货确认中",IF(AND(J867&lt;&gt;"",K867&lt;&gt;""),"有证据","缺C867证据"),IF(F867="手动完结",IF(OR(L867&lt;&gt;"",O867&lt;&gt;"",S867&lt;&gt;""),"有记录","缺手工证据"),IF(OR(F867="卖出待补仓",F867="提交结果待确认",F867="异常待处理"),"持续跟踪","检查状态")))))</x:f>
      </x:c>
      <x:c r="T867" s="64" t="str">
        <x:f>IF(A867="","",IF(COUNTIF($A$5:$A$1204,A867)&gt;1,"重复",""))</x:f>
      </x:c>
      <x:c r="U867" s="64" t="str">
        <x:f>IF(A867="","",IF(T867="重复","检查重复",IF(OR(R867="有证据",R867="有记录",R867="持续跟踪"),"可追踪","检查")))</x:f>
      </x:c>
    </x:row>
    <x:row r="868">
      <x:c r="A868" s="62"/>
      <x:c r="B868" s="62"/>
      <x:c r="C868" s="62"/>
      <x:c r="D868" s="66"/>
      <x:c r="E868" s="68"/>
      <x:c r="F868" s="62"/>
      <x:c r="G868" s="62"/>
      <x:c r="H868" s="62"/>
      <x:c r="I868" s="62"/>
      <x:c r="J868" s="62"/>
      <x:c r="K868" s="62"/>
      <x:c r="L868" s="62"/>
      <x:c r="M868" s="68"/>
      <x:c r="N868" s="68"/>
      <x:c r="O868" s="68"/>
      <x:c r="P868" s="71" t="str">
        <x:f>IF(A868="","",IF(N868&gt;0,N868,M868))</x:f>
      </x:c>
      <x:c r="Q868" s="72" t="n">
        <x:f>IF(A868="",0,IF(COUNTIF($A$5:A868,A868)=1,1,0))</x:f>
        <x:v>0</x:v>
      </x:c>
      <x:c r="R868" s="64" t="str">
        <x:f>IF(A868="","",IF(F868="C868成功",IF(AND(J868&lt;&gt;"",K868&lt;&gt;"",N868&gt;0),"有证据","缺C868证据"),IF(F868="C868发货确认中",IF(AND(J868&lt;&gt;"",K868&lt;&gt;""),"有证据","缺C868证据"),IF(F868="手动完结",IF(OR(L868&lt;&gt;"",O868&lt;&gt;"",S868&lt;&gt;""),"有记录","缺手工证据"),IF(OR(F868="卖出待补仓",F868="提交结果待确认",F868="异常待处理"),"持续跟踪","检查状态")))))</x:f>
      </x:c>
      <x:c r="T868" s="64" t="str">
        <x:f>IF(A868="","",IF(COUNTIF($A$5:$A$1204,A868)&gt;1,"重复",""))</x:f>
      </x:c>
      <x:c r="U868" s="64" t="str">
        <x:f>IF(A868="","",IF(T868="重复","检查重复",IF(OR(R868="有证据",R868="有记录",R868="持续跟踪"),"可追踪","检查")))</x:f>
      </x:c>
    </x:row>
    <x:row r="869">
      <x:c r="A869" s="62"/>
      <x:c r="B869" s="62"/>
      <x:c r="C869" s="62"/>
      <x:c r="D869" s="66"/>
      <x:c r="E869" s="68"/>
      <x:c r="F869" s="62"/>
      <x:c r="G869" s="62"/>
      <x:c r="H869" s="62"/>
      <x:c r="I869" s="62"/>
      <x:c r="J869" s="62"/>
      <x:c r="K869" s="62"/>
      <x:c r="L869" s="62"/>
      <x:c r="M869" s="68"/>
      <x:c r="N869" s="68"/>
      <x:c r="O869" s="68"/>
      <x:c r="P869" s="71" t="str">
        <x:f>IF(A869="","",IF(N869&gt;0,N869,M869))</x:f>
      </x:c>
      <x:c r="Q869" s="72" t="n">
        <x:f>IF(A869="",0,IF(COUNTIF($A$5:A869,A869)=1,1,0))</x:f>
        <x:v>0</x:v>
      </x:c>
      <x:c r="R869" s="64" t="str">
        <x:f>IF(A869="","",IF(F869="C869成功",IF(AND(J869&lt;&gt;"",K869&lt;&gt;"",N869&gt;0),"有证据","缺C869证据"),IF(F869="C869发货确认中",IF(AND(J869&lt;&gt;"",K869&lt;&gt;""),"有证据","缺C869证据"),IF(F869="手动完结",IF(OR(L869&lt;&gt;"",O869&lt;&gt;"",S869&lt;&gt;""),"有记录","缺手工证据"),IF(OR(F869="卖出待补仓",F869="提交结果待确认",F869="异常待处理"),"持续跟踪","检查状态")))))</x:f>
      </x:c>
      <x:c r="T869" s="64" t="str">
        <x:f>IF(A869="","",IF(COUNTIF($A$5:$A$1204,A869)&gt;1,"重复",""))</x:f>
      </x:c>
      <x:c r="U869" s="64" t="str">
        <x:f>IF(A869="","",IF(T869="重复","检查重复",IF(OR(R869="有证据",R869="有记录",R869="持续跟踪"),"可追踪","检查")))</x:f>
      </x:c>
    </x:row>
    <x:row r="870">
      <x:c r="A870" s="62"/>
      <x:c r="B870" s="62"/>
      <x:c r="C870" s="62"/>
      <x:c r="D870" s="66"/>
      <x:c r="E870" s="68"/>
      <x:c r="F870" s="62"/>
      <x:c r="G870" s="62"/>
      <x:c r="H870" s="62"/>
      <x:c r="I870" s="62"/>
      <x:c r="J870" s="62"/>
      <x:c r="K870" s="62"/>
      <x:c r="L870" s="62"/>
      <x:c r="M870" s="68"/>
      <x:c r="N870" s="68"/>
      <x:c r="O870" s="68"/>
      <x:c r="P870" s="71" t="str">
        <x:f>IF(A870="","",IF(N870&gt;0,N870,M870))</x:f>
      </x:c>
      <x:c r="Q870" s="72" t="n">
        <x:f>IF(A870="",0,IF(COUNTIF($A$5:A870,A870)=1,1,0))</x:f>
        <x:v>0</x:v>
      </x:c>
      <x:c r="R870" s="64" t="str">
        <x:f>IF(A870="","",IF(F870="C870成功",IF(AND(J870&lt;&gt;"",K870&lt;&gt;"",N870&gt;0),"有证据","缺C870证据"),IF(F870="C870发货确认中",IF(AND(J870&lt;&gt;"",K870&lt;&gt;""),"有证据","缺C870证据"),IF(F870="手动完结",IF(OR(L870&lt;&gt;"",O870&lt;&gt;"",S870&lt;&gt;""),"有记录","缺手工证据"),IF(OR(F870="卖出待补仓",F870="提交结果待确认",F870="异常待处理"),"持续跟踪","检查状态")))))</x:f>
      </x:c>
      <x:c r="T870" s="64" t="str">
        <x:f>IF(A870="","",IF(COUNTIF($A$5:$A$1204,A870)&gt;1,"重复",""))</x:f>
      </x:c>
      <x:c r="U870" s="64" t="str">
        <x:f>IF(A870="","",IF(T870="重复","检查重复",IF(OR(R870="有证据",R870="有记录",R870="持续跟踪"),"可追踪","检查")))</x:f>
      </x:c>
    </x:row>
    <x:row r="871">
      <x:c r="A871" s="62"/>
      <x:c r="B871" s="62"/>
      <x:c r="C871" s="62"/>
      <x:c r="D871" s="66"/>
      <x:c r="E871" s="68"/>
      <x:c r="F871" s="62"/>
      <x:c r="G871" s="62"/>
      <x:c r="H871" s="62"/>
      <x:c r="I871" s="62"/>
      <x:c r="J871" s="62"/>
      <x:c r="K871" s="62"/>
      <x:c r="L871" s="62"/>
      <x:c r="M871" s="68"/>
      <x:c r="N871" s="68"/>
      <x:c r="O871" s="68"/>
      <x:c r="P871" s="71" t="str">
        <x:f>IF(A871="","",IF(N871&gt;0,N871,M871))</x:f>
      </x:c>
      <x:c r="Q871" s="72" t="n">
        <x:f>IF(A871="",0,IF(COUNTIF($A$5:A871,A871)=1,1,0))</x:f>
        <x:v>0</x:v>
      </x:c>
      <x:c r="R871" s="64" t="str">
        <x:f>IF(A871="","",IF(F871="C871成功",IF(AND(J871&lt;&gt;"",K871&lt;&gt;"",N871&gt;0),"有证据","缺C871证据"),IF(F871="C871发货确认中",IF(AND(J871&lt;&gt;"",K871&lt;&gt;""),"有证据","缺C871证据"),IF(F871="手动完结",IF(OR(L871&lt;&gt;"",O871&lt;&gt;"",S871&lt;&gt;""),"有记录","缺手工证据"),IF(OR(F871="卖出待补仓",F871="提交结果待确认",F871="异常待处理"),"持续跟踪","检查状态")))))</x:f>
      </x:c>
      <x:c r="T871" s="64" t="str">
        <x:f>IF(A871="","",IF(COUNTIF($A$5:$A$1204,A871)&gt;1,"重复",""))</x:f>
      </x:c>
      <x:c r="U871" s="64" t="str">
        <x:f>IF(A871="","",IF(T871="重复","检查重复",IF(OR(R871="有证据",R871="有记录",R871="持续跟踪"),"可追踪","检查")))</x:f>
      </x:c>
    </x:row>
    <x:row r="872">
      <x:c r="A872" s="62"/>
      <x:c r="B872" s="62"/>
      <x:c r="C872" s="62"/>
      <x:c r="D872" s="66"/>
      <x:c r="E872" s="68"/>
      <x:c r="F872" s="62"/>
      <x:c r="G872" s="62"/>
      <x:c r="H872" s="62"/>
      <x:c r="I872" s="62"/>
      <x:c r="J872" s="62"/>
      <x:c r="K872" s="62"/>
      <x:c r="L872" s="62"/>
      <x:c r="M872" s="68"/>
      <x:c r="N872" s="68"/>
      <x:c r="O872" s="68"/>
      <x:c r="P872" s="71" t="str">
        <x:f>IF(A872="","",IF(N872&gt;0,N872,M872))</x:f>
      </x:c>
      <x:c r="Q872" s="72" t="n">
        <x:f>IF(A872="",0,IF(COUNTIF($A$5:A872,A872)=1,1,0))</x:f>
        <x:v>0</x:v>
      </x:c>
      <x:c r="R872" s="64" t="str">
        <x:f>IF(A872="","",IF(F872="C872成功",IF(AND(J872&lt;&gt;"",K872&lt;&gt;"",N872&gt;0),"有证据","缺C872证据"),IF(F872="C872发货确认中",IF(AND(J872&lt;&gt;"",K872&lt;&gt;""),"有证据","缺C872证据"),IF(F872="手动完结",IF(OR(L872&lt;&gt;"",O872&lt;&gt;"",S872&lt;&gt;""),"有记录","缺手工证据"),IF(OR(F872="卖出待补仓",F872="提交结果待确认",F872="异常待处理"),"持续跟踪","检查状态")))))</x:f>
      </x:c>
      <x:c r="T872" s="64" t="str">
        <x:f>IF(A872="","",IF(COUNTIF($A$5:$A$1204,A872)&gt;1,"重复",""))</x:f>
      </x:c>
      <x:c r="U872" s="64" t="str">
        <x:f>IF(A872="","",IF(T872="重复","检查重复",IF(OR(R872="有证据",R872="有记录",R872="持续跟踪"),"可追踪","检查")))</x:f>
      </x:c>
    </x:row>
    <x:row r="873">
      <x:c r="A873" s="62"/>
      <x:c r="B873" s="62"/>
      <x:c r="C873" s="62"/>
      <x:c r="D873" s="66"/>
      <x:c r="E873" s="68"/>
      <x:c r="F873" s="62"/>
      <x:c r="G873" s="62"/>
      <x:c r="H873" s="62"/>
      <x:c r="I873" s="62"/>
      <x:c r="J873" s="62"/>
      <x:c r="K873" s="62"/>
      <x:c r="L873" s="62"/>
      <x:c r="M873" s="68"/>
      <x:c r="N873" s="68"/>
      <x:c r="O873" s="68"/>
      <x:c r="P873" s="71" t="str">
        <x:f>IF(A873="","",IF(N873&gt;0,N873,M873))</x:f>
      </x:c>
      <x:c r="Q873" s="72" t="n">
        <x:f>IF(A873="",0,IF(COUNTIF($A$5:A873,A873)=1,1,0))</x:f>
        <x:v>0</x:v>
      </x:c>
      <x:c r="R873" s="64" t="str">
        <x:f>IF(A873="","",IF(F873="C873成功",IF(AND(J873&lt;&gt;"",K873&lt;&gt;"",N873&gt;0),"有证据","缺C873证据"),IF(F873="C873发货确认中",IF(AND(J873&lt;&gt;"",K873&lt;&gt;""),"有证据","缺C873证据"),IF(F873="手动完结",IF(OR(L873&lt;&gt;"",O873&lt;&gt;"",S873&lt;&gt;""),"有记录","缺手工证据"),IF(OR(F873="卖出待补仓",F873="提交结果待确认",F873="异常待处理"),"持续跟踪","检查状态")))))</x:f>
      </x:c>
      <x:c r="T873" s="64" t="str">
        <x:f>IF(A873="","",IF(COUNTIF($A$5:$A$1204,A873)&gt;1,"重复",""))</x:f>
      </x:c>
      <x:c r="U873" s="64" t="str">
        <x:f>IF(A873="","",IF(T873="重复","检查重复",IF(OR(R873="有证据",R873="有记录",R873="持续跟踪"),"可追踪","检查")))</x:f>
      </x:c>
    </x:row>
    <x:row r="874">
      <x:c r="A874" s="62"/>
      <x:c r="B874" s="62"/>
      <x:c r="C874" s="62"/>
      <x:c r="D874" s="66"/>
      <x:c r="E874" s="68"/>
      <x:c r="F874" s="62"/>
      <x:c r="G874" s="62"/>
      <x:c r="H874" s="62"/>
      <x:c r="I874" s="62"/>
      <x:c r="J874" s="62"/>
      <x:c r="K874" s="62"/>
      <x:c r="L874" s="62"/>
      <x:c r="M874" s="68"/>
      <x:c r="N874" s="68"/>
      <x:c r="O874" s="68"/>
      <x:c r="P874" s="71" t="str">
        <x:f>IF(A874="","",IF(N874&gt;0,N874,M874))</x:f>
      </x:c>
      <x:c r="Q874" s="72" t="n">
        <x:f>IF(A874="",0,IF(COUNTIF($A$5:A874,A874)=1,1,0))</x:f>
        <x:v>0</x:v>
      </x:c>
      <x:c r="R874" s="64" t="str">
        <x:f>IF(A874="","",IF(F874="C874成功",IF(AND(J874&lt;&gt;"",K874&lt;&gt;"",N874&gt;0),"有证据","缺C874证据"),IF(F874="C874发货确认中",IF(AND(J874&lt;&gt;"",K874&lt;&gt;""),"有证据","缺C874证据"),IF(F874="手动完结",IF(OR(L874&lt;&gt;"",O874&lt;&gt;"",S874&lt;&gt;""),"有记录","缺手工证据"),IF(OR(F874="卖出待补仓",F874="提交结果待确认",F874="异常待处理"),"持续跟踪","检查状态")))))</x:f>
      </x:c>
      <x:c r="T874" s="64" t="str">
        <x:f>IF(A874="","",IF(COUNTIF($A$5:$A$1204,A874)&gt;1,"重复",""))</x:f>
      </x:c>
      <x:c r="U874" s="64" t="str">
        <x:f>IF(A874="","",IF(T874="重复","检查重复",IF(OR(R874="有证据",R874="有记录",R874="持续跟踪"),"可追踪","检查")))</x:f>
      </x:c>
    </x:row>
    <x:row r="875">
      <x:c r="A875" s="62"/>
      <x:c r="B875" s="62"/>
      <x:c r="C875" s="62"/>
      <x:c r="D875" s="66"/>
      <x:c r="E875" s="68"/>
      <x:c r="F875" s="62"/>
      <x:c r="G875" s="62"/>
      <x:c r="H875" s="62"/>
      <x:c r="I875" s="62"/>
      <x:c r="J875" s="62"/>
      <x:c r="K875" s="62"/>
      <x:c r="L875" s="62"/>
      <x:c r="M875" s="68"/>
      <x:c r="N875" s="68"/>
      <x:c r="O875" s="68"/>
      <x:c r="P875" s="71" t="str">
        <x:f>IF(A875="","",IF(N875&gt;0,N875,M875))</x:f>
      </x:c>
      <x:c r="Q875" s="72" t="n">
        <x:f>IF(A875="",0,IF(COUNTIF($A$5:A875,A875)=1,1,0))</x:f>
        <x:v>0</x:v>
      </x:c>
      <x:c r="R875" s="64" t="str">
        <x:f>IF(A875="","",IF(F875="C875成功",IF(AND(J875&lt;&gt;"",K875&lt;&gt;"",N875&gt;0),"有证据","缺C875证据"),IF(F875="C875发货确认中",IF(AND(J875&lt;&gt;"",K875&lt;&gt;""),"有证据","缺C875证据"),IF(F875="手动完结",IF(OR(L875&lt;&gt;"",O875&lt;&gt;"",S875&lt;&gt;""),"有记录","缺手工证据"),IF(OR(F875="卖出待补仓",F875="提交结果待确认",F875="异常待处理"),"持续跟踪","检查状态")))))</x:f>
      </x:c>
      <x:c r="T875" s="64" t="str">
        <x:f>IF(A875="","",IF(COUNTIF($A$5:$A$1204,A875)&gt;1,"重复",""))</x:f>
      </x:c>
      <x:c r="U875" s="64" t="str">
        <x:f>IF(A875="","",IF(T875="重复","检查重复",IF(OR(R875="有证据",R875="有记录",R875="持续跟踪"),"可追踪","检查")))</x:f>
      </x:c>
    </x:row>
    <x:row r="876">
      <x:c r="A876" s="62"/>
      <x:c r="B876" s="62"/>
      <x:c r="C876" s="62"/>
      <x:c r="D876" s="66"/>
      <x:c r="E876" s="68"/>
      <x:c r="F876" s="62"/>
      <x:c r="G876" s="62"/>
      <x:c r="H876" s="62"/>
      <x:c r="I876" s="62"/>
      <x:c r="J876" s="62"/>
      <x:c r="K876" s="62"/>
      <x:c r="L876" s="62"/>
      <x:c r="M876" s="68"/>
      <x:c r="N876" s="68"/>
      <x:c r="O876" s="68"/>
      <x:c r="P876" s="71" t="str">
        <x:f>IF(A876="","",IF(N876&gt;0,N876,M876))</x:f>
      </x:c>
      <x:c r="Q876" s="72" t="n">
        <x:f>IF(A876="",0,IF(COUNTIF($A$5:A876,A876)=1,1,0))</x:f>
        <x:v>0</x:v>
      </x:c>
      <x:c r="R876" s="64" t="str">
        <x:f>IF(A876="","",IF(F876="C876成功",IF(AND(J876&lt;&gt;"",K876&lt;&gt;"",N876&gt;0),"有证据","缺C876证据"),IF(F876="C876发货确认中",IF(AND(J876&lt;&gt;"",K876&lt;&gt;""),"有证据","缺C876证据"),IF(F876="手动完结",IF(OR(L876&lt;&gt;"",O876&lt;&gt;"",S876&lt;&gt;""),"有记录","缺手工证据"),IF(OR(F876="卖出待补仓",F876="提交结果待确认",F876="异常待处理"),"持续跟踪","检查状态")))))</x:f>
      </x:c>
      <x:c r="T876" s="64" t="str">
        <x:f>IF(A876="","",IF(COUNTIF($A$5:$A$1204,A876)&gt;1,"重复",""))</x:f>
      </x:c>
      <x:c r="U876" s="64" t="str">
        <x:f>IF(A876="","",IF(T876="重复","检查重复",IF(OR(R876="有证据",R876="有记录",R876="持续跟踪"),"可追踪","检查")))</x:f>
      </x:c>
    </x:row>
    <x:row r="877">
      <x:c r="A877" s="62"/>
      <x:c r="B877" s="62"/>
      <x:c r="C877" s="62"/>
      <x:c r="D877" s="66"/>
      <x:c r="E877" s="68"/>
      <x:c r="F877" s="62"/>
      <x:c r="G877" s="62"/>
      <x:c r="H877" s="62"/>
      <x:c r="I877" s="62"/>
      <x:c r="J877" s="62"/>
      <x:c r="K877" s="62"/>
      <x:c r="L877" s="62"/>
      <x:c r="M877" s="68"/>
      <x:c r="N877" s="68"/>
      <x:c r="O877" s="68"/>
      <x:c r="P877" s="71" t="str">
        <x:f>IF(A877="","",IF(N877&gt;0,N877,M877))</x:f>
      </x:c>
      <x:c r="Q877" s="72" t="n">
        <x:f>IF(A877="",0,IF(COUNTIF($A$5:A877,A877)=1,1,0))</x:f>
        <x:v>0</x:v>
      </x:c>
      <x:c r="R877" s="64" t="str">
        <x:f>IF(A877="","",IF(F877="C877成功",IF(AND(J877&lt;&gt;"",K877&lt;&gt;"",N877&gt;0),"有证据","缺C877证据"),IF(F877="C877发货确认中",IF(AND(J877&lt;&gt;"",K877&lt;&gt;""),"有证据","缺C877证据"),IF(F877="手动完结",IF(OR(L877&lt;&gt;"",O877&lt;&gt;"",S877&lt;&gt;""),"有记录","缺手工证据"),IF(OR(F877="卖出待补仓",F877="提交结果待确认",F877="异常待处理"),"持续跟踪","检查状态")))))</x:f>
      </x:c>
      <x:c r="T877" s="64" t="str">
        <x:f>IF(A877="","",IF(COUNTIF($A$5:$A$1204,A877)&gt;1,"重复",""))</x:f>
      </x:c>
      <x:c r="U877" s="64" t="str">
        <x:f>IF(A877="","",IF(T877="重复","检查重复",IF(OR(R877="有证据",R877="有记录",R877="持续跟踪"),"可追踪","检查")))</x:f>
      </x:c>
    </x:row>
    <x:row r="878">
      <x:c r="A878" s="62"/>
      <x:c r="B878" s="62"/>
      <x:c r="C878" s="62"/>
      <x:c r="D878" s="66"/>
      <x:c r="E878" s="68"/>
      <x:c r="F878" s="62"/>
      <x:c r="G878" s="62"/>
      <x:c r="H878" s="62"/>
      <x:c r="I878" s="62"/>
      <x:c r="J878" s="62"/>
      <x:c r="K878" s="62"/>
      <x:c r="L878" s="62"/>
      <x:c r="M878" s="68"/>
      <x:c r="N878" s="68"/>
      <x:c r="O878" s="68"/>
      <x:c r="P878" s="71" t="str">
        <x:f>IF(A878="","",IF(N878&gt;0,N878,M878))</x:f>
      </x:c>
      <x:c r="Q878" s="72" t="n">
        <x:f>IF(A878="",0,IF(COUNTIF($A$5:A878,A878)=1,1,0))</x:f>
        <x:v>0</x:v>
      </x:c>
      <x:c r="R878" s="64" t="str">
        <x:f>IF(A878="","",IF(F878="C878成功",IF(AND(J878&lt;&gt;"",K878&lt;&gt;"",N878&gt;0),"有证据","缺C878证据"),IF(F878="C878发货确认中",IF(AND(J878&lt;&gt;"",K878&lt;&gt;""),"有证据","缺C878证据"),IF(F878="手动完结",IF(OR(L878&lt;&gt;"",O878&lt;&gt;"",S878&lt;&gt;""),"有记录","缺手工证据"),IF(OR(F878="卖出待补仓",F878="提交结果待确认",F878="异常待处理"),"持续跟踪","检查状态")))))</x:f>
      </x:c>
      <x:c r="T878" s="64" t="str">
        <x:f>IF(A878="","",IF(COUNTIF($A$5:$A$1204,A878)&gt;1,"重复",""))</x:f>
      </x:c>
      <x:c r="U878" s="64" t="str">
        <x:f>IF(A878="","",IF(T878="重复","检查重复",IF(OR(R878="有证据",R878="有记录",R878="持续跟踪"),"可追踪","检查")))</x:f>
      </x:c>
    </x:row>
    <x:row r="879">
      <x:c r="A879" s="62"/>
      <x:c r="B879" s="62"/>
      <x:c r="C879" s="62"/>
      <x:c r="D879" s="66"/>
      <x:c r="E879" s="68"/>
      <x:c r="F879" s="62"/>
      <x:c r="G879" s="62"/>
      <x:c r="H879" s="62"/>
      <x:c r="I879" s="62"/>
      <x:c r="J879" s="62"/>
      <x:c r="K879" s="62"/>
      <x:c r="L879" s="62"/>
      <x:c r="M879" s="68"/>
      <x:c r="N879" s="68"/>
      <x:c r="O879" s="68"/>
      <x:c r="P879" s="71" t="str">
        <x:f>IF(A879="","",IF(N879&gt;0,N879,M879))</x:f>
      </x:c>
      <x:c r="Q879" s="72" t="n">
        <x:f>IF(A879="",0,IF(COUNTIF($A$5:A879,A879)=1,1,0))</x:f>
        <x:v>0</x:v>
      </x:c>
      <x:c r="R879" s="64" t="str">
        <x:f>IF(A879="","",IF(F879="C879成功",IF(AND(J879&lt;&gt;"",K879&lt;&gt;"",N879&gt;0),"有证据","缺C879证据"),IF(F879="C879发货确认中",IF(AND(J879&lt;&gt;"",K879&lt;&gt;""),"有证据","缺C879证据"),IF(F879="手动完结",IF(OR(L879&lt;&gt;"",O879&lt;&gt;"",S879&lt;&gt;""),"有记录","缺手工证据"),IF(OR(F879="卖出待补仓",F879="提交结果待确认",F879="异常待处理"),"持续跟踪","检查状态")))))</x:f>
      </x:c>
      <x:c r="T879" s="64" t="str">
        <x:f>IF(A879="","",IF(COUNTIF($A$5:$A$1204,A879)&gt;1,"重复",""))</x:f>
      </x:c>
      <x:c r="U879" s="64" t="str">
        <x:f>IF(A879="","",IF(T879="重复","检查重复",IF(OR(R879="有证据",R879="有记录",R879="持续跟踪"),"可追踪","检查")))</x:f>
      </x:c>
    </x:row>
    <x:row r="880">
      <x:c r="A880" s="62"/>
      <x:c r="B880" s="62"/>
      <x:c r="C880" s="62"/>
      <x:c r="D880" s="66"/>
      <x:c r="E880" s="68"/>
      <x:c r="F880" s="62"/>
      <x:c r="G880" s="62"/>
      <x:c r="H880" s="62"/>
      <x:c r="I880" s="62"/>
      <x:c r="J880" s="62"/>
      <x:c r="K880" s="62"/>
      <x:c r="L880" s="62"/>
      <x:c r="M880" s="68"/>
      <x:c r="N880" s="68"/>
      <x:c r="O880" s="68"/>
      <x:c r="P880" s="71" t="str">
        <x:f>IF(A880="","",IF(N880&gt;0,N880,M880))</x:f>
      </x:c>
      <x:c r="Q880" s="72" t="n">
        <x:f>IF(A880="",0,IF(COUNTIF($A$5:A880,A880)=1,1,0))</x:f>
        <x:v>0</x:v>
      </x:c>
      <x:c r="R880" s="64" t="str">
        <x:f>IF(A880="","",IF(F880="C880成功",IF(AND(J880&lt;&gt;"",K880&lt;&gt;"",N880&gt;0),"有证据","缺C880证据"),IF(F880="C880发货确认中",IF(AND(J880&lt;&gt;"",K880&lt;&gt;""),"有证据","缺C880证据"),IF(F880="手动完结",IF(OR(L880&lt;&gt;"",O880&lt;&gt;"",S880&lt;&gt;""),"有记录","缺手工证据"),IF(OR(F880="卖出待补仓",F880="提交结果待确认",F880="异常待处理"),"持续跟踪","检查状态")))))</x:f>
      </x:c>
      <x:c r="T880" s="64" t="str">
        <x:f>IF(A880="","",IF(COUNTIF($A$5:$A$1204,A880)&gt;1,"重复",""))</x:f>
      </x:c>
      <x:c r="U880" s="64" t="str">
        <x:f>IF(A880="","",IF(T880="重复","检查重复",IF(OR(R880="有证据",R880="有记录",R880="持续跟踪"),"可追踪","检查")))</x:f>
      </x:c>
    </x:row>
    <x:row r="881">
      <x:c r="A881" s="62"/>
      <x:c r="B881" s="62"/>
      <x:c r="C881" s="62"/>
      <x:c r="D881" s="66"/>
      <x:c r="E881" s="68"/>
      <x:c r="F881" s="62"/>
      <x:c r="G881" s="62"/>
      <x:c r="H881" s="62"/>
      <x:c r="I881" s="62"/>
      <x:c r="J881" s="62"/>
      <x:c r="K881" s="62"/>
      <x:c r="L881" s="62"/>
      <x:c r="M881" s="68"/>
      <x:c r="N881" s="68"/>
      <x:c r="O881" s="68"/>
      <x:c r="P881" s="71" t="str">
        <x:f>IF(A881="","",IF(N881&gt;0,N881,M881))</x:f>
      </x:c>
      <x:c r="Q881" s="72" t="n">
        <x:f>IF(A881="",0,IF(COUNTIF($A$5:A881,A881)=1,1,0))</x:f>
        <x:v>0</x:v>
      </x:c>
      <x:c r="R881" s="64" t="str">
        <x:f>IF(A881="","",IF(F881="C881成功",IF(AND(J881&lt;&gt;"",K881&lt;&gt;"",N881&gt;0),"有证据","缺C881证据"),IF(F881="C881发货确认中",IF(AND(J881&lt;&gt;"",K881&lt;&gt;""),"有证据","缺C881证据"),IF(F881="手动完结",IF(OR(L881&lt;&gt;"",O881&lt;&gt;"",S881&lt;&gt;""),"有记录","缺手工证据"),IF(OR(F881="卖出待补仓",F881="提交结果待确认",F881="异常待处理"),"持续跟踪","检查状态")))))</x:f>
      </x:c>
      <x:c r="T881" s="64" t="str">
        <x:f>IF(A881="","",IF(COUNTIF($A$5:$A$1204,A881)&gt;1,"重复",""))</x:f>
      </x:c>
      <x:c r="U881" s="64" t="str">
        <x:f>IF(A881="","",IF(T881="重复","检查重复",IF(OR(R881="有证据",R881="有记录",R881="持续跟踪"),"可追踪","检查")))</x:f>
      </x:c>
    </x:row>
    <x:row r="882">
      <x:c r="A882" s="62"/>
      <x:c r="B882" s="62"/>
      <x:c r="C882" s="62"/>
      <x:c r="D882" s="66"/>
      <x:c r="E882" s="68"/>
      <x:c r="F882" s="62"/>
      <x:c r="G882" s="62"/>
      <x:c r="H882" s="62"/>
      <x:c r="I882" s="62"/>
      <x:c r="J882" s="62"/>
      <x:c r="K882" s="62"/>
      <x:c r="L882" s="62"/>
      <x:c r="M882" s="68"/>
      <x:c r="N882" s="68"/>
      <x:c r="O882" s="68"/>
      <x:c r="P882" s="71" t="str">
        <x:f>IF(A882="","",IF(N882&gt;0,N882,M882))</x:f>
      </x:c>
      <x:c r="Q882" s="72" t="n">
        <x:f>IF(A882="",0,IF(COUNTIF($A$5:A882,A882)=1,1,0))</x:f>
        <x:v>0</x:v>
      </x:c>
      <x:c r="R882" s="64" t="str">
        <x:f>IF(A882="","",IF(F882="C882成功",IF(AND(J882&lt;&gt;"",K882&lt;&gt;"",N882&gt;0),"有证据","缺C882证据"),IF(F882="C882发货确认中",IF(AND(J882&lt;&gt;"",K882&lt;&gt;""),"有证据","缺C882证据"),IF(F882="手动完结",IF(OR(L882&lt;&gt;"",O882&lt;&gt;"",S882&lt;&gt;""),"有记录","缺手工证据"),IF(OR(F882="卖出待补仓",F882="提交结果待确认",F882="异常待处理"),"持续跟踪","检查状态")))))</x:f>
      </x:c>
      <x:c r="T882" s="64" t="str">
        <x:f>IF(A882="","",IF(COUNTIF($A$5:$A$1204,A882)&gt;1,"重复",""))</x:f>
      </x:c>
      <x:c r="U882" s="64" t="str">
        <x:f>IF(A882="","",IF(T882="重复","检查重复",IF(OR(R882="有证据",R882="有记录",R882="持续跟踪"),"可追踪","检查")))</x:f>
      </x:c>
    </x:row>
    <x:row r="883">
      <x:c r="A883" s="62"/>
      <x:c r="B883" s="62"/>
      <x:c r="C883" s="62"/>
      <x:c r="D883" s="66"/>
      <x:c r="E883" s="68"/>
      <x:c r="F883" s="62"/>
      <x:c r="G883" s="62"/>
      <x:c r="H883" s="62"/>
      <x:c r="I883" s="62"/>
      <x:c r="J883" s="62"/>
      <x:c r="K883" s="62"/>
      <x:c r="L883" s="62"/>
      <x:c r="M883" s="68"/>
      <x:c r="N883" s="68"/>
      <x:c r="O883" s="68"/>
      <x:c r="P883" s="71" t="str">
        <x:f>IF(A883="","",IF(N883&gt;0,N883,M883))</x:f>
      </x:c>
      <x:c r="Q883" s="72" t="n">
        <x:f>IF(A883="",0,IF(COUNTIF($A$5:A883,A883)=1,1,0))</x:f>
        <x:v>0</x:v>
      </x:c>
      <x:c r="R883" s="64" t="str">
        <x:f>IF(A883="","",IF(F883="C883成功",IF(AND(J883&lt;&gt;"",K883&lt;&gt;"",N883&gt;0),"有证据","缺C883证据"),IF(F883="C883发货确认中",IF(AND(J883&lt;&gt;"",K883&lt;&gt;""),"有证据","缺C883证据"),IF(F883="手动完结",IF(OR(L883&lt;&gt;"",O883&lt;&gt;"",S883&lt;&gt;""),"有记录","缺手工证据"),IF(OR(F883="卖出待补仓",F883="提交结果待确认",F883="异常待处理"),"持续跟踪","检查状态")))))</x:f>
      </x:c>
      <x:c r="T883" s="64" t="str">
        <x:f>IF(A883="","",IF(COUNTIF($A$5:$A$1204,A883)&gt;1,"重复",""))</x:f>
      </x:c>
      <x:c r="U883" s="64" t="str">
        <x:f>IF(A883="","",IF(T883="重复","检查重复",IF(OR(R883="有证据",R883="有记录",R883="持续跟踪"),"可追踪","检查")))</x:f>
      </x:c>
    </x:row>
    <x:row r="884">
      <x:c r="A884" s="62"/>
      <x:c r="B884" s="62"/>
      <x:c r="C884" s="62"/>
      <x:c r="D884" s="66"/>
      <x:c r="E884" s="68"/>
      <x:c r="F884" s="62"/>
      <x:c r="G884" s="62"/>
      <x:c r="H884" s="62"/>
      <x:c r="I884" s="62"/>
      <x:c r="J884" s="62"/>
      <x:c r="K884" s="62"/>
      <x:c r="L884" s="62"/>
      <x:c r="M884" s="68"/>
      <x:c r="N884" s="68"/>
      <x:c r="O884" s="68"/>
      <x:c r="P884" s="71" t="str">
        <x:f>IF(A884="","",IF(N884&gt;0,N884,M884))</x:f>
      </x:c>
      <x:c r="Q884" s="72" t="n">
        <x:f>IF(A884="",0,IF(COUNTIF($A$5:A884,A884)=1,1,0))</x:f>
        <x:v>0</x:v>
      </x:c>
      <x:c r="R884" s="64" t="str">
        <x:f>IF(A884="","",IF(F884="C884成功",IF(AND(J884&lt;&gt;"",K884&lt;&gt;"",N884&gt;0),"有证据","缺C884证据"),IF(F884="C884发货确认中",IF(AND(J884&lt;&gt;"",K884&lt;&gt;""),"有证据","缺C884证据"),IF(F884="手动完结",IF(OR(L884&lt;&gt;"",O884&lt;&gt;"",S884&lt;&gt;""),"有记录","缺手工证据"),IF(OR(F884="卖出待补仓",F884="提交结果待确认",F884="异常待处理"),"持续跟踪","检查状态")))))</x:f>
      </x:c>
      <x:c r="T884" s="64" t="str">
        <x:f>IF(A884="","",IF(COUNTIF($A$5:$A$1204,A884)&gt;1,"重复",""))</x:f>
      </x:c>
      <x:c r="U884" s="64" t="str">
        <x:f>IF(A884="","",IF(T884="重复","检查重复",IF(OR(R884="有证据",R884="有记录",R884="持续跟踪"),"可追踪","检查")))</x:f>
      </x:c>
    </x:row>
    <x:row r="885">
      <x:c r="A885" s="62"/>
      <x:c r="B885" s="62"/>
      <x:c r="C885" s="62"/>
      <x:c r="D885" s="66"/>
      <x:c r="E885" s="68"/>
      <x:c r="F885" s="62"/>
      <x:c r="G885" s="62"/>
      <x:c r="H885" s="62"/>
      <x:c r="I885" s="62"/>
      <x:c r="J885" s="62"/>
      <x:c r="K885" s="62"/>
      <x:c r="L885" s="62"/>
      <x:c r="M885" s="68"/>
      <x:c r="N885" s="68"/>
      <x:c r="O885" s="68"/>
      <x:c r="P885" s="71" t="str">
        <x:f>IF(A885="","",IF(N885&gt;0,N885,M885))</x:f>
      </x:c>
      <x:c r="Q885" s="72" t="n">
        <x:f>IF(A885="",0,IF(COUNTIF($A$5:A885,A885)=1,1,0))</x:f>
        <x:v>0</x:v>
      </x:c>
      <x:c r="R885" s="64" t="str">
        <x:f>IF(A885="","",IF(F885="C885成功",IF(AND(J885&lt;&gt;"",K885&lt;&gt;"",N885&gt;0),"有证据","缺C885证据"),IF(F885="C885发货确认中",IF(AND(J885&lt;&gt;"",K885&lt;&gt;""),"有证据","缺C885证据"),IF(F885="手动完结",IF(OR(L885&lt;&gt;"",O885&lt;&gt;"",S885&lt;&gt;""),"有记录","缺手工证据"),IF(OR(F885="卖出待补仓",F885="提交结果待确认",F885="异常待处理"),"持续跟踪","检查状态")))))</x:f>
      </x:c>
      <x:c r="T885" s="64" t="str">
        <x:f>IF(A885="","",IF(COUNTIF($A$5:$A$1204,A885)&gt;1,"重复",""))</x:f>
      </x:c>
      <x:c r="U885" s="64" t="str">
        <x:f>IF(A885="","",IF(T885="重复","检查重复",IF(OR(R885="有证据",R885="有记录",R885="持续跟踪"),"可追踪","检查")))</x:f>
      </x:c>
    </x:row>
    <x:row r="886">
      <x:c r="A886" s="62"/>
      <x:c r="B886" s="62"/>
      <x:c r="C886" s="62"/>
      <x:c r="D886" s="66"/>
      <x:c r="E886" s="68"/>
      <x:c r="F886" s="62"/>
      <x:c r="G886" s="62"/>
      <x:c r="H886" s="62"/>
      <x:c r="I886" s="62"/>
      <x:c r="J886" s="62"/>
      <x:c r="K886" s="62"/>
      <x:c r="L886" s="62"/>
      <x:c r="M886" s="68"/>
      <x:c r="N886" s="68"/>
      <x:c r="O886" s="68"/>
      <x:c r="P886" s="71" t="str">
        <x:f>IF(A886="","",IF(N886&gt;0,N886,M886))</x:f>
      </x:c>
      <x:c r="Q886" s="72" t="n">
        <x:f>IF(A886="",0,IF(COUNTIF($A$5:A886,A886)=1,1,0))</x:f>
        <x:v>0</x:v>
      </x:c>
      <x:c r="R886" s="64" t="str">
        <x:f>IF(A886="","",IF(F886="C886成功",IF(AND(J886&lt;&gt;"",K886&lt;&gt;"",N886&gt;0),"有证据","缺C886证据"),IF(F886="C886发货确认中",IF(AND(J886&lt;&gt;"",K886&lt;&gt;""),"有证据","缺C886证据"),IF(F886="手动完结",IF(OR(L886&lt;&gt;"",O886&lt;&gt;"",S886&lt;&gt;""),"有记录","缺手工证据"),IF(OR(F886="卖出待补仓",F886="提交结果待确认",F886="异常待处理"),"持续跟踪","检查状态")))))</x:f>
      </x:c>
      <x:c r="T886" s="64" t="str">
        <x:f>IF(A886="","",IF(COUNTIF($A$5:$A$1204,A886)&gt;1,"重复",""))</x:f>
      </x:c>
      <x:c r="U886" s="64" t="str">
        <x:f>IF(A886="","",IF(T886="重复","检查重复",IF(OR(R886="有证据",R886="有记录",R886="持续跟踪"),"可追踪","检查")))</x:f>
      </x:c>
    </x:row>
    <x:row r="887">
      <x:c r="A887" s="62"/>
      <x:c r="B887" s="62"/>
      <x:c r="C887" s="62"/>
      <x:c r="D887" s="66"/>
      <x:c r="E887" s="68"/>
      <x:c r="F887" s="62"/>
      <x:c r="G887" s="62"/>
      <x:c r="H887" s="62"/>
      <x:c r="I887" s="62"/>
      <x:c r="J887" s="62"/>
      <x:c r="K887" s="62"/>
      <x:c r="L887" s="62"/>
      <x:c r="M887" s="68"/>
      <x:c r="N887" s="68"/>
      <x:c r="O887" s="68"/>
      <x:c r="P887" s="71" t="str">
        <x:f>IF(A887="","",IF(N887&gt;0,N887,M887))</x:f>
      </x:c>
      <x:c r="Q887" s="72" t="n">
        <x:f>IF(A887="",0,IF(COUNTIF($A$5:A887,A887)=1,1,0))</x:f>
        <x:v>0</x:v>
      </x:c>
      <x:c r="R887" s="64" t="str">
        <x:f>IF(A887="","",IF(F887="C887成功",IF(AND(J887&lt;&gt;"",K887&lt;&gt;"",N887&gt;0),"有证据","缺C887证据"),IF(F887="C887发货确认中",IF(AND(J887&lt;&gt;"",K887&lt;&gt;""),"有证据","缺C887证据"),IF(F887="手动完结",IF(OR(L887&lt;&gt;"",O887&lt;&gt;"",S887&lt;&gt;""),"有记录","缺手工证据"),IF(OR(F887="卖出待补仓",F887="提交结果待确认",F887="异常待处理"),"持续跟踪","检查状态")))))</x:f>
      </x:c>
      <x:c r="T887" s="64" t="str">
        <x:f>IF(A887="","",IF(COUNTIF($A$5:$A$1204,A887)&gt;1,"重复",""))</x:f>
      </x:c>
      <x:c r="U887" s="64" t="str">
        <x:f>IF(A887="","",IF(T887="重复","检查重复",IF(OR(R887="有证据",R887="有记录",R887="持续跟踪"),"可追踪","检查")))</x:f>
      </x:c>
    </x:row>
    <x:row r="888">
      <x:c r="A888" s="62"/>
      <x:c r="B888" s="62"/>
      <x:c r="C888" s="62"/>
      <x:c r="D888" s="66"/>
      <x:c r="E888" s="68"/>
      <x:c r="F888" s="62"/>
      <x:c r="G888" s="62"/>
      <x:c r="H888" s="62"/>
      <x:c r="I888" s="62"/>
      <x:c r="J888" s="62"/>
      <x:c r="K888" s="62"/>
      <x:c r="L888" s="62"/>
      <x:c r="M888" s="68"/>
      <x:c r="N888" s="68"/>
      <x:c r="O888" s="68"/>
      <x:c r="P888" s="71" t="str">
        <x:f>IF(A888="","",IF(N888&gt;0,N888,M888))</x:f>
      </x:c>
      <x:c r="Q888" s="72" t="n">
        <x:f>IF(A888="",0,IF(COUNTIF($A$5:A888,A888)=1,1,0))</x:f>
        <x:v>0</x:v>
      </x:c>
      <x:c r="R888" s="64" t="str">
        <x:f>IF(A888="","",IF(F888="C888成功",IF(AND(J888&lt;&gt;"",K888&lt;&gt;"",N888&gt;0),"有证据","缺C888证据"),IF(F888="C888发货确认中",IF(AND(J888&lt;&gt;"",K888&lt;&gt;""),"有证据","缺C888证据"),IF(F888="手动完结",IF(OR(L888&lt;&gt;"",O888&lt;&gt;"",S888&lt;&gt;""),"有记录","缺手工证据"),IF(OR(F888="卖出待补仓",F888="提交结果待确认",F888="异常待处理"),"持续跟踪","检查状态")))))</x:f>
      </x:c>
      <x:c r="T888" s="64" t="str">
        <x:f>IF(A888="","",IF(COUNTIF($A$5:$A$1204,A888)&gt;1,"重复",""))</x:f>
      </x:c>
      <x:c r="U888" s="64" t="str">
        <x:f>IF(A888="","",IF(T888="重复","检查重复",IF(OR(R888="有证据",R888="有记录",R888="持续跟踪"),"可追踪","检查")))</x:f>
      </x:c>
    </x:row>
    <x:row r="889">
      <x:c r="A889" s="62"/>
      <x:c r="B889" s="62"/>
      <x:c r="C889" s="62"/>
      <x:c r="D889" s="66"/>
      <x:c r="E889" s="68"/>
      <x:c r="F889" s="62"/>
      <x:c r="G889" s="62"/>
      <x:c r="H889" s="62"/>
      <x:c r="I889" s="62"/>
      <x:c r="J889" s="62"/>
      <x:c r="K889" s="62"/>
      <x:c r="L889" s="62"/>
      <x:c r="M889" s="68"/>
      <x:c r="N889" s="68"/>
      <x:c r="O889" s="68"/>
      <x:c r="P889" s="71" t="str">
        <x:f>IF(A889="","",IF(N889&gt;0,N889,M889))</x:f>
      </x:c>
      <x:c r="Q889" s="72" t="n">
        <x:f>IF(A889="",0,IF(COUNTIF($A$5:A889,A889)=1,1,0))</x:f>
        <x:v>0</x:v>
      </x:c>
      <x:c r="R889" s="64" t="str">
        <x:f>IF(A889="","",IF(F889="C889成功",IF(AND(J889&lt;&gt;"",K889&lt;&gt;"",N889&gt;0),"有证据","缺C889证据"),IF(F889="C889发货确认中",IF(AND(J889&lt;&gt;"",K889&lt;&gt;""),"有证据","缺C889证据"),IF(F889="手动完结",IF(OR(L889&lt;&gt;"",O889&lt;&gt;"",S889&lt;&gt;""),"有记录","缺手工证据"),IF(OR(F889="卖出待补仓",F889="提交结果待确认",F889="异常待处理"),"持续跟踪","检查状态")))))</x:f>
      </x:c>
      <x:c r="T889" s="64" t="str">
        <x:f>IF(A889="","",IF(COUNTIF($A$5:$A$1204,A889)&gt;1,"重复",""))</x:f>
      </x:c>
      <x:c r="U889" s="64" t="str">
        <x:f>IF(A889="","",IF(T889="重复","检查重复",IF(OR(R889="有证据",R889="有记录",R889="持续跟踪"),"可追踪","检查")))</x:f>
      </x:c>
    </x:row>
    <x:row r="890">
      <x:c r="A890" s="62"/>
      <x:c r="B890" s="62"/>
      <x:c r="C890" s="62"/>
      <x:c r="D890" s="66"/>
      <x:c r="E890" s="68"/>
      <x:c r="F890" s="62"/>
      <x:c r="G890" s="62"/>
      <x:c r="H890" s="62"/>
      <x:c r="I890" s="62"/>
      <x:c r="J890" s="62"/>
      <x:c r="K890" s="62"/>
      <x:c r="L890" s="62"/>
      <x:c r="M890" s="68"/>
      <x:c r="N890" s="68"/>
      <x:c r="O890" s="68"/>
      <x:c r="P890" s="71" t="str">
        <x:f>IF(A890="","",IF(N890&gt;0,N890,M890))</x:f>
      </x:c>
      <x:c r="Q890" s="72" t="n">
        <x:f>IF(A890="",0,IF(COUNTIF($A$5:A890,A890)=1,1,0))</x:f>
        <x:v>0</x:v>
      </x:c>
      <x:c r="R890" s="64" t="str">
        <x:f>IF(A890="","",IF(F890="C890成功",IF(AND(J890&lt;&gt;"",K890&lt;&gt;"",N890&gt;0),"有证据","缺C890证据"),IF(F890="C890发货确认中",IF(AND(J890&lt;&gt;"",K890&lt;&gt;""),"有证据","缺C890证据"),IF(F890="手动完结",IF(OR(L890&lt;&gt;"",O890&lt;&gt;"",S890&lt;&gt;""),"有记录","缺手工证据"),IF(OR(F890="卖出待补仓",F890="提交结果待确认",F890="异常待处理"),"持续跟踪","检查状态")))))</x:f>
      </x:c>
      <x:c r="T890" s="64" t="str">
        <x:f>IF(A890="","",IF(COUNTIF($A$5:$A$1204,A890)&gt;1,"重复",""))</x:f>
      </x:c>
      <x:c r="U890" s="64" t="str">
        <x:f>IF(A890="","",IF(T890="重复","检查重复",IF(OR(R890="有证据",R890="有记录",R890="持续跟踪"),"可追踪","检查")))</x:f>
      </x:c>
    </x:row>
    <x:row r="891">
      <x:c r="A891" s="62"/>
      <x:c r="B891" s="62"/>
      <x:c r="C891" s="62"/>
      <x:c r="D891" s="66"/>
      <x:c r="E891" s="68"/>
      <x:c r="F891" s="62"/>
      <x:c r="G891" s="62"/>
      <x:c r="H891" s="62"/>
      <x:c r="I891" s="62"/>
      <x:c r="J891" s="62"/>
      <x:c r="K891" s="62"/>
      <x:c r="L891" s="62"/>
      <x:c r="M891" s="68"/>
      <x:c r="N891" s="68"/>
      <x:c r="O891" s="68"/>
      <x:c r="P891" s="71" t="str">
        <x:f>IF(A891="","",IF(N891&gt;0,N891,M891))</x:f>
      </x:c>
      <x:c r="Q891" s="72" t="n">
        <x:f>IF(A891="",0,IF(COUNTIF($A$5:A891,A891)=1,1,0))</x:f>
        <x:v>0</x:v>
      </x:c>
      <x:c r="R891" s="64" t="str">
        <x:f>IF(A891="","",IF(F891="C891成功",IF(AND(J891&lt;&gt;"",K891&lt;&gt;"",N891&gt;0),"有证据","缺C891证据"),IF(F891="C891发货确认中",IF(AND(J891&lt;&gt;"",K891&lt;&gt;""),"有证据","缺C891证据"),IF(F891="手动完结",IF(OR(L891&lt;&gt;"",O891&lt;&gt;"",S891&lt;&gt;""),"有记录","缺手工证据"),IF(OR(F891="卖出待补仓",F891="提交结果待确认",F891="异常待处理"),"持续跟踪","检查状态")))))</x:f>
      </x:c>
      <x:c r="T891" s="64" t="str">
        <x:f>IF(A891="","",IF(COUNTIF($A$5:$A$1204,A891)&gt;1,"重复",""))</x:f>
      </x:c>
      <x:c r="U891" s="64" t="str">
        <x:f>IF(A891="","",IF(T891="重复","检查重复",IF(OR(R891="有证据",R891="有记录",R891="持续跟踪"),"可追踪","检查")))</x:f>
      </x:c>
    </x:row>
    <x:row r="892">
      <x:c r="A892" s="62"/>
      <x:c r="B892" s="62"/>
      <x:c r="C892" s="62"/>
      <x:c r="D892" s="66"/>
      <x:c r="E892" s="68"/>
      <x:c r="F892" s="62"/>
      <x:c r="G892" s="62"/>
      <x:c r="H892" s="62"/>
      <x:c r="I892" s="62"/>
      <x:c r="J892" s="62"/>
      <x:c r="K892" s="62"/>
      <x:c r="L892" s="62"/>
      <x:c r="M892" s="68"/>
      <x:c r="N892" s="68"/>
      <x:c r="O892" s="68"/>
      <x:c r="P892" s="71" t="str">
        <x:f>IF(A892="","",IF(N892&gt;0,N892,M892))</x:f>
      </x:c>
      <x:c r="Q892" s="72" t="n">
        <x:f>IF(A892="",0,IF(COUNTIF($A$5:A892,A892)=1,1,0))</x:f>
        <x:v>0</x:v>
      </x:c>
      <x:c r="R892" s="64" t="str">
        <x:f>IF(A892="","",IF(F892="C892成功",IF(AND(J892&lt;&gt;"",K892&lt;&gt;"",N892&gt;0),"有证据","缺C892证据"),IF(F892="C892发货确认中",IF(AND(J892&lt;&gt;"",K892&lt;&gt;""),"有证据","缺C892证据"),IF(F892="手动完结",IF(OR(L892&lt;&gt;"",O892&lt;&gt;"",S892&lt;&gt;""),"有记录","缺手工证据"),IF(OR(F892="卖出待补仓",F892="提交结果待确认",F892="异常待处理"),"持续跟踪","检查状态")))))</x:f>
      </x:c>
      <x:c r="T892" s="64" t="str">
        <x:f>IF(A892="","",IF(COUNTIF($A$5:$A$1204,A892)&gt;1,"重复",""))</x:f>
      </x:c>
      <x:c r="U892" s="64" t="str">
        <x:f>IF(A892="","",IF(T892="重复","检查重复",IF(OR(R892="有证据",R892="有记录",R892="持续跟踪"),"可追踪","检查")))</x:f>
      </x:c>
    </x:row>
    <x:row r="893">
      <x:c r="A893" s="62"/>
      <x:c r="B893" s="62"/>
      <x:c r="C893" s="62"/>
      <x:c r="D893" s="66"/>
      <x:c r="E893" s="68"/>
      <x:c r="F893" s="62"/>
      <x:c r="G893" s="62"/>
      <x:c r="H893" s="62"/>
      <x:c r="I893" s="62"/>
      <x:c r="J893" s="62"/>
      <x:c r="K893" s="62"/>
      <x:c r="L893" s="62"/>
      <x:c r="M893" s="68"/>
      <x:c r="N893" s="68"/>
      <x:c r="O893" s="68"/>
      <x:c r="P893" s="71" t="str">
        <x:f>IF(A893="","",IF(N893&gt;0,N893,M893))</x:f>
      </x:c>
      <x:c r="Q893" s="72" t="n">
        <x:f>IF(A893="",0,IF(COUNTIF($A$5:A893,A893)=1,1,0))</x:f>
        <x:v>0</x:v>
      </x:c>
      <x:c r="R893" s="64" t="str">
        <x:f>IF(A893="","",IF(F893="C893成功",IF(AND(J893&lt;&gt;"",K893&lt;&gt;"",N893&gt;0),"有证据","缺C893证据"),IF(F893="C893发货确认中",IF(AND(J893&lt;&gt;"",K893&lt;&gt;""),"有证据","缺C893证据"),IF(F893="手动完结",IF(OR(L893&lt;&gt;"",O893&lt;&gt;"",S893&lt;&gt;""),"有记录","缺手工证据"),IF(OR(F893="卖出待补仓",F893="提交结果待确认",F893="异常待处理"),"持续跟踪","检查状态")))))</x:f>
      </x:c>
      <x:c r="T893" s="64" t="str">
        <x:f>IF(A893="","",IF(COUNTIF($A$5:$A$1204,A893)&gt;1,"重复",""))</x:f>
      </x:c>
      <x:c r="U893" s="64" t="str">
        <x:f>IF(A893="","",IF(T893="重复","检查重复",IF(OR(R893="有证据",R893="有记录",R893="持续跟踪"),"可追踪","检查")))</x:f>
      </x:c>
    </x:row>
    <x:row r="894">
      <x:c r="A894" s="62"/>
      <x:c r="B894" s="62"/>
      <x:c r="C894" s="62"/>
      <x:c r="D894" s="66"/>
      <x:c r="E894" s="68"/>
      <x:c r="F894" s="62"/>
      <x:c r="G894" s="62"/>
      <x:c r="H894" s="62"/>
      <x:c r="I894" s="62"/>
      <x:c r="J894" s="62"/>
      <x:c r="K894" s="62"/>
      <x:c r="L894" s="62"/>
      <x:c r="M894" s="68"/>
      <x:c r="N894" s="68"/>
      <x:c r="O894" s="68"/>
      <x:c r="P894" s="71" t="str">
        <x:f>IF(A894="","",IF(N894&gt;0,N894,M894))</x:f>
      </x:c>
      <x:c r="Q894" s="72" t="n">
        <x:f>IF(A894="",0,IF(COUNTIF($A$5:A894,A894)=1,1,0))</x:f>
        <x:v>0</x:v>
      </x:c>
      <x:c r="R894" s="64" t="str">
        <x:f>IF(A894="","",IF(F894="C894成功",IF(AND(J894&lt;&gt;"",K894&lt;&gt;"",N894&gt;0),"有证据","缺C894证据"),IF(F894="C894发货确认中",IF(AND(J894&lt;&gt;"",K894&lt;&gt;""),"有证据","缺C894证据"),IF(F894="手动完结",IF(OR(L894&lt;&gt;"",O894&lt;&gt;"",S894&lt;&gt;""),"有记录","缺手工证据"),IF(OR(F894="卖出待补仓",F894="提交结果待确认",F894="异常待处理"),"持续跟踪","检查状态")))))</x:f>
      </x:c>
      <x:c r="T894" s="64" t="str">
        <x:f>IF(A894="","",IF(COUNTIF($A$5:$A$1204,A894)&gt;1,"重复",""))</x:f>
      </x:c>
      <x:c r="U894" s="64" t="str">
        <x:f>IF(A894="","",IF(T894="重复","检查重复",IF(OR(R894="有证据",R894="有记录",R894="持续跟踪"),"可追踪","检查")))</x:f>
      </x:c>
    </x:row>
    <x:row r="895">
      <x:c r="A895" s="62"/>
      <x:c r="B895" s="62"/>
      <x:c r="C895" s="62"/>
      <x:c r="D895" s="66"/>
      <x:c r="E895" s="68"/>
      <x:c r="F895" s="62"/>
      <x:c r="G895" s="62"/>
      <x:c r="H895" s="62"/>
      <x:c r="I895" s="62"/>
      <x:c r="J895" s="62"/>
      <x:c r="K895" s="62"/>
      <x:c r="L895" s="62"/>
      <x:c r="M895" s="68"/>
      <x:c r="N895" s="68"/>
      <x:c r="O895" s="68"/>
      <x:c r="P895" s="71" t="str">
        <x:f>IF(A895="","",IF(N895&gt;0,N895,M895))</x:f>
      </x:c>
      <x:c r="Q895" s="72" t="n">
        <x:f>IF(A895="",0,IF(COUNTIF($A$5:A895,A895)=1,1,0))</x:f>
        <x:v>0</x:v>
      </x:c>
      <x:c r="R895" s="64" t="str">
        <x:f>IF(A895="","",IF(F895="C895成功",IF(AND(J895&lt;&gt;"",K895&lt;&gt;"",N895&gt;0),"有证据","缺C895证据"),IF(F895="C895发货确认中",IF(AND(J895&lt;&gt;"",K895&lt;&gt;""),"有证据","缺C895证据"),IF(F895="手动完结",IF(OR(L895&lt;&gt;"",O895&lt;&gt;"",S895&lt;&gt;""),"有记录","缺手工证据"),IF(OR(F895="卖出待补仓",F895="提交结果待确认",F895="异常待处理"),"持续跟踪","检查状态")))))</x:f>
      </x:c>
      <x:c r="T895" s="64" t="str">
        <x:f>IF(A895="","",IF(COUNTIF($A$5:$A$1204,A895)&gt;1,"重复",""))</x:f>
      </x:c>
      <x:c r="U895" s="64" t="str">
        <x:f>IF(A895="","",IF(T895="重复","检查重复",IF(OR(R895="有证据",R895="有记录",R895="持续跟踪"),"可追踪","检查")))</x:f>
      </x:c>
    </x:row>
    <x:row r="896">
      <x:c r="A896" s="62"/>
      <x:c r="B896" s="62"/>
      <x:c r="C896" s="62"/>
      <x:c r="D896" s="66"/>
      <x:c r="E896" s="68"/>
      <x:c r="F896" s="62"/>
      <x:c r="G896" s="62"/>
      <x:c r="H896" s="62"/>
      <x:c r="I896" s="62"/>
      <x:c r="J896" s="62"/>
      <x:c r="K896" s="62"/>
      <x:c r="L896" s="62"/>
      <x:c r="M896" s="68"/>
      <x:c r="N896" s="68"/>
      <x:c r="O896" s="68"/>
      <x:c r="P896" s="71" t="str">
        <x:f>IF(A896="","",IF(N896&gt;0,N896,M896))</x:f>
      </x:c>
      <x:c r="Q896" s="72" t="n">
        <x:f>IF(A896="",0,IF(COUNTIF($A$5:A896,A896)=1,1,0))</x:f>
        <x:v>0</x:v>
      </x:c>
      <x:c r="R896" s="64" t="str">
        <x:f>IF(A896="","",IF(F896="C896成功",IF(AND(J896&lt;&gt;"",K896&lt;&gt;"",N896&gt;0),"有证据","缺C896证据"),IF(F896="C896发货确认中",IF(AND(J896&lt;&gt;"",K896&lt;&gt;""),"有证据","缺C896证据"),IF(F896="手动完结",IF(OR(L896&lt;&gt;"",O896&lt;&gt;"",S896&lt;&gt;""),"有记录","缺手工证据"),IF(OR(F896="卖出待补仓",F896="提交结果待确认",F896="异常待处理"),"持续跟踪","检查状态")))))</x:f>
      </x:c>
      <x:c r="T896" s="64" t="str">
        <x:f>IF(A896="","",IF(COUNTIF($A$5:$A$1204,A896)&gt;1,"重复",""))</x:f>
      </x:c>
      <x:c r="U896" s="64" t="str">
        <x:f>IF(A896="","",IF(T896="重复","检查重复",IF(OR(R896="有证据",R896="有记录",R896="持续跟踪"),"可追踪","检查")))</x:f>
      </x:c>
    </x:row>
    <x:row r="897">
      <x:c r="A897" s="62"/>
      <x:c r="B897" s="62"/>
      <x:c r="C897" s="62"/>
      <x:c r="D897" s="66"/>
      <x:c r="E897" s="68"/>
      <x:c r="F897" s="62"/>
      <x:c r="G897" s="62"/>
      <x:c r="H897" s="62"/>
      <x:c r="I897" s="62"/>
      <x:c r="J897" s="62"/>
      <x:c r="K897" s="62"/>
      <x:c r="L897" s="62"/>
      <x:c r="M897" s="68"/>
      <x:c r="N897" s="68"/>
      <x:c r="O897" s="68"/>
      <x:c r="P897" s="71" t="str">
        <x:f>IF(A897="","",IF(N897&gt;0,N897,M897))</x:f>
      </x:c>
      <x:c r="Q897" s="72" t="n">
        <x:f>IF(A897="",0,IF(COUNTIF($A$5:A897,A897)=1,1,0))</x:f>
        <x:v>0</x:v>
      </x:c>
      <x:c r="R897" s="64" t="str">
        <x:f>IF(A897="","",IF(F897="C897成功",IF(AND(J897&lt;&gt;"",K897&lt;&gt;"",N897&gt;0),"有证据","缺C897证据"),IF(F897="C897发货确认中",IF(AND(J897&lt;&gt;"",K897&lt;&gt;""),"有证据","缺C897证据"),IF(F897="手动完结",IF(OR(L897&lt;&gt;"",O897&lt;&gt;"",S897&lt;&gt;""),"有记录","缺手工证据"),IF(OR(F897="卖出待补仓",F897="提交结果待确认",F897="异常待处理"),"持续跟踪","检查状态")))))</x:f>
      </x:c>
      <x:c r="T897" s="64" t="str">
        <x:f>IF(A897="","",IF(COUNTIF($A$5:$A$1204,A897)&gt;1,"重复",""))</x:f>
      </x:c>
      <x:c r="U897" s="64" t="str">
        <x:f>IF(A897="","",IF(T897="重复","检查重复",IF(OR(R897="有证据",R897="有记录",R897="持续跟踪"),"可追踪","检查")))</x:f>
      </x:c>
    </x:row>
    <x:row r="898">
      <x:c r="A898" s="62"/>
      <x:c r="B898" s="62"/>
      <x:c r="C898" s="62"/>
      <x:c r="D898" s="66"/>
      <x:c r="E898" s="68"/>
      <x:c r="F898" s="62"/>
      <x:c r="G898" s="62"/>
      <x:c r="H898" s="62"/>
      <x:c r="I898" s="62"/>
      <x:c r="J898" s="62"/>
      <x:c r="K898" s="62"/>
      <x:c r="L898" s="62"/>
      <x:c r="M898" s="68"/>
      <x:c r="N898" s="68"/>
      <x:c r="O898" s="68"/>
      <x:c r="P898" s="71" t="str">
        <x:f>IF(A898="","",IF(N898&gt;0,N898,M898))</x:f>
      </x:c>
      <x:c r="Q898" s="72" t="n">
        <x:f>IF(A898="",0,IF(COUNTIF($A$5:A898,A898)=1,1,0))</x:f>
        <x:v>0</x:v>
      </x:c>
      <x:c r="R898" s="64" t="str">
        <x:f>IF(A898="","",IF(F898="C898成功",IF(AND(J898&lt;&gt;"",K898&lt;&gt;"",N898&gt;0),"有证据","缺C898证据"),IF(F898="C898发货确认中",IF(AND(J898&lt;&gt;"",K898&lt;&gt;""),"有证据","缺C898证据"),IF(F898="手动完结",IF(OR(L898&lt;&gt;"",O898&lt;&gt;"",S898&lt;&gt;""),"有记录","缺手工证据"),IF(OR(F898="卖出待补仓",F898="提交结果待确认",F898="异常待处理"),"持续跟踪","检查状态")))))</x:f>
      </x:c>
      <x:c r="T898" s="64" t="str">
        <x:f>IF(A898="","",IF(COUNTIF($A$5:$A$1204,A898)&gt;1,"重复",""))</x:f>
      </x:c>
      <x:c r="U898" s="64" t="str">
        <x:f>IF(A898="","",IF(T898="重复","检查重复",IF(OR(R898="有证据",R898="有记录",R898="持续跟踪"),"可追踪","检查")))</x:f>
      </x:c>
    </x:row>
    <x:row r="899">
      <x:c r="A899" s="62"/>
      <x:c r="B899" s="62"/>
      <x:c r="C899" s="62"/>
      <x:c r="D899" s="66"/>
      <x:c r="E899" s="68"/>
      <x:c r="F899" s="62"/>
      <x:c r="G899" s="62"/>
      <x:c r="H899" s="62"/>
      <x:c r="I899" s="62"/>
      <x:c r="J899" s="62"/>
      <x:c r="K899" s="62"/>
      <x:c r="L899" s="62"/>
      <x:c r="M899" s="68"/>
      <x:c r="N899" s="68"/>
      <x:c r="O899" s="68"/>
      <x:c r="P899" s="71" t="str">
        <x:f>IF(A899="","",IF(N899&gt;0,N899,M899))</x:f>
      </x:c>
      <x:c r="Q899" s="72" t="n">
        <x:f>IF(A899="",0,IF(COUNTIF($A$5:A899,A899)=1,1,0))</x:f>
        <x:v>0</x:v>
      </x:c>
      <x:c r="R899" s="64" t="str">
        <x:f>IF(A899="","",IF(F899="C899成功",IF(AND(J899&lt;&gt;"",K899&lt;&gt;"",N899&gt;0),"有证据","缺C899证据"),IF(F899="C899发货确认中",IF(AND(J899&lt;&gt;"",K899&lt;&gt;""),"有证据","缺C899证据"),IF(F899="手动完结",IF(OR(L899&lt;&gt;"",O899&lt;&gt;"",S899&lt;&gt;""),"有记录","缺手工证据"),IF(OR(F899="卖出待补仓",F899="提交结果待确认",F899="异常待处理"),"持续跟踪","检查状态")))))</x:f>
      </x:c>
      <x:c r="T899" s="64" t="str">
        <x:f>IF(A899="","",IF(COUNTIF($A$5:$A$1204,A899)&gt;1,"重复",""))</x:f>
      </x:c>
      <x:c r="U899" s="64" t="str">
        <x:f>IF(A899="","",IF(T899="重复","检查重复",IF(OR(R899="有证据",R899="有记录",R899="持续跟踪"),"可追踪","检查")))</x:f>
      </x:c>
    </x:row>
    <x:row r="900">
      <x:c r="A900" s="62"/>
      <x:c r="B900" s="62"/>
      <x:c r="C900" s="62"/>
      <x:c r="D900" s="66"/>
      <x:c r="E900" s="68"/>
      <x:c r="F900" s="62"/>
      <x:c r="G900" s="62"/>
      <x:c r="H900" s="62"/>
      <x:c r="I900" s="62"/>
      <x:c r="J900" s="62"/>
      <x:c r="K900" s="62"/>
      <x:c r="L900" s="62"/>
      <x:c r="M900" s="68"/>
      <x:c r="N900" s="68"/>
      <x:c r="O900" s="68"/>
      <x:c r="P900" s="71" t="str">
        <x:f>IF(A900="","",IF(N900&gt;0,N900,M900))</x:f>
      </x:c>
      <x:c r="Q900" s="72" t="n">
        <x:f>IF(A900="",0,IF(COUNTIF($A$5:A900,A900)=1,1,0))</x:f>
        <x:v>0</x:v>
      </x:c>
      <x:c r="R900" s="64" t="str">
        <x:f>IF(A900="","",IF(F900="C900成功",IF(AND(J900&lt;&gt;"",K900&lt;&gt;"",N900&gt;0),"有证据","缺C900证据"),IF(F900="C900发货确认中",IF(AND(J900&lt;&gt;"",K900&lt;&gt;""),"有证据","缺C900证据"),IF(F900="手动完结",IF(OR(L900&lt;&gt;"",O900&lt;&gt;"",S900&lt;&gt;""),"有记录","缺手工证据"),IF(OR(F900="卖出待补仓",F900="提交结果待确认",F900="异常待处理"),"持续跟踪","检查状态")))))</x:f>
      </x:c>
      <x:c r="T900" s="64" t="str">
        <x:f>IF(A900="","",IF(COUNTIF($A$5:$A$1204,A900)&gt;1,"重复",""))</x:f>
      </x:c>
      <x:c r="U900" s="64" t="str">
        <x:f>IF(A900="","",IF(T900="重复","检查重复",IF(OR(R900="有证据",R900="有记录",R900="持续跟踪"),"可追踪","检查")))</x:f>
      </x:c>
    </x:row>
    <x:row r="901">
      <x:c r="A901" s="62"/>
      <x:c r="B901" s="62"/>
      <x:c r="C901" s="62"/>
      <x:c r="D901" s="66"/>
      <x:c r="E901" s="68"/>
      <x:c r="F901" s="62"/>
      <x:c r="G901" s="62"/>
      <x:c r="H901" s="62"/>
      <x:c r="I901" s="62"/>
      <x:c r="J901" s="62"/>
      <x:c r="K901" s="62"/>
      <x:c r="L901" s="62"/>
      <x:c r="M901" s="68"/>
      <x:c r="N901" s="68"/>
      <x:c r="O901" s="68"/>
      <x:c r="P901" s="71" t="str">
        <x:f>IF(A901="","",IF(N901&gt;0,N901,M901))</x:f>
      </x:c>
      <x:c r="Q901" s="72" t="n">
        <x:f>IF(A901="",0,IF(COUNTIF($A$5:A901,A901)=1,1,0))</x:f>
        <x:v>0</x:v>
      </x:c>
      <x:c r="R901" s="64" t="str">
        <x:f>IF(A901="","",IF(F901="C901成功",IF(AND(J901&lt;&gt;"",K901&lt;&gt;"",N901&gt;0),"有证据","缺C901证据"),IF(F901="C901发货确认中",IF(AND(J901&lt;&gt;"",K901&lt;&gt;""),"有证据","缺C901证据"),IF(F901="手动完结",IF(OR(L901&lt;&gt;"",O901&lt;&gt;"",S901&lt;&gt;""),"有记录","缺手工证据"),IF(OR(F901="卖出待补仓",F901="提交结果待确认",F901="异常待处理"),"持续跟踪","检查状态")))))</x:f>
      </x:c>
      <x:c r="T901" s="64" t="str">
        <x:f>IF(A901="","",IF(COUNTIF($A$5:$A$1204,A901)&gt;1,"重复",""))</x:f>
      </x:c>
      <x:c r="U901" s="64" t="str">
        <x:f>IF(A901="","",IF(T901="重复","检查重复",IF(OR(R901="有证据",R901="有记录",R901="持续跟踪"),"可追踪","检查")))</x:f>
      </x:c>
    </x:row>
    <x:row r="902">
      <x:c r="A902" s="62"/>
      <x:c r="B902" s="62"/>
      <x:c r="C902" s="62"/>
      <x:c r="D902" s="66"/>
      <x:c r="E902" s="68"/>
      <x:c r="F902" s="62"/>
      <x:c r="G902" s="62"/>
      <x:c r="H902" s="62"/>
      <x:c r="I902" s="62"/>
      <x:c r="J902" s="62"/>
      <x:c r="K902" s="62"/>
      <x:c r="L902" s="62"/>
      <x:c r="M902" s="68"/>
      <x:c r="N902" s="68"/>
      <x:c r="O902" s="68"/>
      <x:c r="P902" s="71" t="str">
        <x:f>IF(A902="","",IF(N902&gt;0,N902,M902))</x:f>
      </x:c>
      <x:c r="Q902" s="72" t="n">
        <x:f>IF(A902="",0,IF(COUNTIF($A$5:A902,A902)=1,1,0))</x:f>
        <x:v>0</x:v>
      </x:c>
      <x:c r="R902" s="64" t="str">
        <x:f>IF(A902="","",IF(F902="C902成功",IF(AND(J902&lt;&gt;"",K902&lt;&gt;"",N902&gt;0),"有证据","缺C902证据"),IF(F902="C902发货确认中",IF(AND(J902&lt;&gt;"",K902&lt;&gt;""),"有证据","缺C902证据"),IF(F902="手动完结",IF(OR(L902&lt;&gt;"",O902&lt;&gt;"",S902&lt;&gt;""),"有记录","缺手工证据"),IF(OR(F902="卖出待补仓",F902="提交结果待确认",F902="异常待处理"),"持续跟踪","检查状态")))))</x:f>
      </x:c>
      <x:c r="T902" s="64" t="str">
        <x:f>IF(A902="","",IF(COUNTIF($A$5:$A$1204,A902)&gt;1,"重复",""))</x:f>
      </x:c>
      <x:c r="U902" s="64" t="str">
        <x:f>IF(A902="","",IF(T902="重复","检查重复",IF(OR(R902="有证据",R902="有记录",R902="持续跟踪"),"可追踪","检查")))</x:f>
      </x:c>
    </x:row>
    <x:row r="903">
      <x:c r="A903" s="62"/>
      <x:c r="B903" s="62"/>
      <x:c r="C903" s="62"/>
      <x:c r="D903" s="66"/>
      <x:c r="E903" s="68"/>
      <x:c r="F903" s="62"/>
      <x:c r="G903" s="62"/>
      <x:c r="H903" s="62"/>
      <x:c r="I903" s="62"/>
      <x:c r="J903" s="62"/>
      <x:c r="K903" s="62"/>
      <x:c r="L903" s="62"/>
      <x:c r="M903" s="68"/>
      <x:c r="N903" s="68"/>
      <x:c r="O903" s="68"/>
      <x:c r="P903" s="71" t="str">
        <x:f>IF(A903="","",IF(N903&gt;0,N903,M903))</x:f>
      </x:c>
      <x:c r="Q903" s="72" t="n">
        <x:f>IF(A903="",0,IF(COUNTIF($A$5:A903,A903)=1,1,0))</x:f>
        <x:v>0</x:v>
      </x:c>
      <x:c r="R903" s="64" t="str">
        <x:f>IF(A903="","",IF(F903="C903成功",IF(AND(J903&lt;&gt;"",K903&lt;&gt;"",N903&gt;0),"有证据","缺C903证据"),IF(F903="C903发货确认中",IF(AND(J903&lt;&gt;"",K903&lt;&gt;""),"有证据","缺C903证据"),IF(F903="手动完结",IF(OR(L903&lt;&gt;"",O903&lt;&gt;"",S903&lt;&gt;""),"有记录","缺手工证据"),IF(OR(F903="卖出待补仓",F903="提交结果待确认",F903="异常待处理"),"持续跟踪","检查状态")))))</x:f>
      </x:c>
      <x:c r="T903" s="64" t="str">
        <x:f>IF(A903="","",IF(COUNTIF($A$5:$A$1204,A903)&gt;1,"重复",""))</x:f>
      </x:c>
      <x:c r="U903" s="64" t="str">
        <x:f>IF(A903="","",IF(T903="重复","检查重复",IF(OR(R903="有证据",R903="有记录",R903="持续跟踪"),"可追踪","检查")))</x:f>
      </x:c>
    </x:row>
    <x:row r="904">
      <x:c r="A904" s="62"/>
      <x:c r="B904" s="62"/>
      <x:c r="C904" s="62"/>
      <x:c r="D904" s="66"/>
      <x:c r="E904" s="68"/>
      <x:c r="F904" s="62"/>
      <x:c r="G904" s="62"/>
      <x:c r="H904" s="62"/>
      <x:c r="I904" s="62"/>
      <x:c r="J904" s="62"/>
      <x:c r="K904" s="62"/>
      <x:c r="L904" s="62"/>
      <x:c r="M904" s="68"/>
      <x:c r="N904" s="68"/>
      <x:c r="O904" s="68"/>
      <x:c r="P904" s="71" t="str">
        <x:f>IF(A904="","",IF(N904&gt;0,N904,M904))</x:f>
      </x:c>
      <x:c r="Q904" s="72" t="n">
        <x:f>IF(A904="",0,IF(COUNTIF($A$5:A904,A904)=1,1,0))</x:f>
        <x:v>0</x:v>
      </x:c>
      <x:c r="R904" s="64" t="str">
        <x:f>IF(A904="","",IF(F904="C904成功",IF(AND(J904&lt;&gt;"",K904&lt;&gt;"",N904&gt;0),"有证据","缺C904证据"),IF(F904="C904发货确认中",IF(AND(J904&lt;&gt;"",K904&lt;&gt;""),"有证据","缺C904证据"),IF(F904="手动完结",IF(OR(L904&lt;&gt;"",O904&lt;&gt;"",S904&lt;&gt;""),"有记录","缺手工证据"),IF(OR(F904="卖出待补仓",F904="提交结果待确认",F904="异常待处理"),"持续跟踪","检查状态")))))</x:f>
      </x:c>
      <x:c r="T904" s="64" t="str">
        <x:f>IF(A904="","",IF(COUNTIF($A$5:$A$1204,A904)&gt;1,"重复",""))</x:f>
      </x:c>
      <x:c r="U904" s="64" t="str">
        <x:f>IF(A904="","",IF(T904="重复","检查重复",IF(OR(R904="有证据",R904="有记录",R904="持续跟踪"),"可追踪","检查")))</x:f>
      </x:c>
    </x:row>
    <x:row r="905">
      <x:c r="A905" s="62"/>
      <x:c r="B905" s="62"/>
      <x:c r="C905" s="62"/>
      <x:c r="D905" s="66"/>
      <x:c r="E905" s="68"/>
      <x:c r="F905" s="62"/>
      <x:c r="G905" s="62"/>
      <x:c r="H905" s="62"/>
      <x:c r="I905" s="62"/>
      <x:c r="J905" s="62"/>
      <x:c r="K905" s="62"/>
      <x:c r="L905" s="62"/>
      <x:c r="M905" s="68"/>
      <x:c r="N905" s="68"/>
      <x:c r="O905" s="68"/>
      <x:c r="P905" s="71" t="str">
        <x:f>IF(A905="","",IF(N905&gt;0,N905,M905))</x:f>
      </x:c>
      <x:c r="Q905" s="72" t="n">
        <x:f>IF(A905="",0,IF(COUNTIF($A$5:A905,A905)=1,1,0))</x:f>
        <x:v>0</x:v>
      </x:c>
      <x:c r="R905" s="64" t="str">
        <x:f>IF(A905="","",IF(F905="C905成功",IF(AND(J905&lt;&gt;"",K905&lt;&gt;"",N905&gt;0),"有证据","缺C905证据"),IF(F905="C905发货确认中",IF(AND(J905&lt;&gt;"",K905&lt;&gt;""),"有证据","缺C905证据"),IF(F905="手动完结",IF(OR(L905&lt;&gt;"",O905&lt;&gt;"",S905&lt;&gt;""),"有记录","缺手工证据"),IF(OR(F905="卖出待补仓",F905="提交结果待确认",F905="异常待处理"),"持续跟踪","检查状态")))))</x:f>
      </x:c>
      <x:c r="T905" s="64" t="str">
        <x:f>IF(A905="","",IF(COUNTIF($A$5:$A$1204,A905)&gt;1,"重复",""))</x:f>
      </x:c>
      <x:c r="U905" s="64" t="str">
        <x:f>IF(A905="","",IF(T905="重复","检查重复",IF(OR(R905="有证据",R905="有记录",R905="持续跟踪"),"可追踪","检查")))</x:f>
      </x:c>
    </x:row>
    <x:row r="906">
      <x:c r="A906" s="62"/>
      <x:c r="B906" s="62"/>
      <x:c r="C906" s="62"/>
      <x:c r="D906" s="66"/>
      <x:c r="E906" s="68"/>
      <x:c r="F906" s="62"/>
      <x:c r="G906" s="62"/>
      <x:c r="H906" s="62"/>
      <x:c r="I906" s="62"/>
      <x:c r="J906" s="62"/>
      <x:c r="K906" s="62"/>
      <x:c r="L906" s="62"/>
      <x:c r="M906" s="68"/>
      <x:c r="N906" s="68"/>
      <x:c r="O906" s="68"/>
      <x:c r="P906" s="71" t="str">
        <x:f>IF(A906="","",IF(N906&gt;0,N906,M906))</x:f>
      </x:c>
      <x:c r="Q906" s="72" t="n">
        <x:f>IF(A906="",0,IF(COUNTIF($A$5:A906,A906)=1,1,0))</x:f>
        <x:v>0</x:v>
      </x:c>
      <x:c r="R906" s="64" t="str">
        <x:f>IF(A906="","",IF(F906="C906成功",IF(AND(J906&lt;&gt;"",K906&lt;&gt;"",N906&gt;0),"有证据","缺C906证据"),IF(F906="C906发货确认中",IF(AND(J906&lt;&gt;"",K906&lt;&gt;""),"有证据","缺C906证据"),IF(F906="手动完结",IF(OR(L906&lt;&gt;"",O906&lt;&gt;"",S906&lt;&gt;""),"有记录","缺手工证据"),IF(OR(F906="卖出待补仓",F906="提交结果待确认",F906="异常待处理"),"持续跟踪","检查状态")))))</x:f>
      </x:c>
      <x:c r="T906" s="64" t="str">
        <x:f>IF(A906="","",IF(COUNTIF($A$5:$A$1204,A906)&gt;1,"重复",""))</x:f>
      </x:c>
      <x:c r="U906" s="64" t="str">
        <x:f>IF(A906="","",IF(T906="重复","检查重复",IF(OR(R906="有证据",R906="有记录",R906="持续跟踪"),"可追踪","检查")))</x:f>
      </x:c>
    </x:row>
    <x:row r="907">
      <x:c r="A907" s="62"/>
      <x:c r="B907" s="62"/>
      <x:c r="C907" s="62"/>
      <x:c r="D907" s="66"/>
      <x:c r="E907" s="68"/>
      <x:c r="F907" s="62"/>
      <x:c r="G907" s="62"/>
      <x:c r="H907" s="62"/>
      <x:c r="I907" s="62"/>
      <x:c r="J907" s="62"/>
      <x:c r="K907" s="62"/>
      <x:c r="L907" s="62"/>
      <x:c r="M907" s="68"/>
      <x:c r="N907" s="68"/>
      <x:c r="O907" s="68"/>
      <x:c r="P907" s="71" t="str">
        <x:f>IF(A907="","",IF(N907&gt;0,N907,M907))</x:f>
      </x:c>
      <x:c r="Q907" s="72" t="n">
        <x:f>IF(A907="",0,IF(COUNTIF($A$5:A907,A907)=1,1,0))</x:f>
        <x:v>0</x:v>
      </x:c>
      <x:c r="R907" s="64" t="str">
        <x:f>IF(A907="","",IF(F907="C907成功",IF(AND(J907&lt;&gt;"",K907&lt;&gt;"",N907&gt;0),"有证据","缺C907证据"),IF(F907="C907发货确认中",IF(AND(J907&lt;&gt;"",K907&lt;&gt;""),"有证据","缺C907证据"),IF(F907="手动完结",IF(OR(L907&lt;&gt;"",O907&lt;&gt;"",S907&lt;&gt;""),"有记录","缺手工证据"),IF(OR(F907="卖出待补仓",F907="提交结果待确认",F907="异常待处理"),"持续跟踪","检查状态")))))</x:f>
      </x:c>
      <x:c r="T907" s="64" t="str">
        <x:f>IF(A907="","",IF(COUNTIF($A$5:$A$1204,A907)&gt;1,"重复",""))</x:f>
      </x:c>
      <x:c r="U907" s="64" t="str">
        <x:f>IF(A907="","",IF(T907="重复","检查重复",IF(OR(R907="有证据",R907="有记录",R907="持续跟踪"),"可追踪","检查")))</x:f>
      </x:c>
    </x:row>
    <x:row r="908">
      <x:c r="A908" s="62"/>
      <x:c r="B908" s="62"/>
      <x:c r="C908" s="62"/>
      <x:c r="D908" s="66"/>
      <x:c r="E908" s="68"/>
      <x:c r="F908" s="62"/>
      <x:c r="G908" s="62"/>
      <x:c r="H908" s="62"/>
      <x:c r="I908" s="62"/>
      <x:c r="J908" s="62"/>
      <x:c r="K908" s="62"/>
      <x:c r="L908" s="62"/>
      <x:c r="M908" s="68"/>
      <x:c r="N908" s="68"/>
      <x:c r="O908" s="68"/>
      <x:c r="P908" s="71" t="str">
        <x:f>IF(A908="","",IF(N908&gt;0,N908,M908))</x:f>
      </x:c>
      <x:c r="Q908" s="72" t="n">
        <x:f>IF(A908="",0,IF(COUNTIF($A$5:A908,A908)=1,1,0))</x:f>
        <x:v>0</x:v>
      </x:c>
      <x:c r="R908" s="64" t="str">
        <x:f>IF(A908="","",IF(F908="C908成功",IF(AND(J908&lt;&gt;"",K908&lt;&gt;"",N908&gt;0),"有证据","缺C908证据"),IF(F908="C908发货确认中",IF(AND(J908&lt;&gt;"",K908&lt;&gt;""),"有证据","缺C908证据"),IF(F908="手动完结",IF(OR(L908&lt;&gt;"",O908&lt;&gt;"",S908&lt;&gt;""),"有记录","缺手工证据"),IF(OR(F908="卖出待补仓",F908="提交结果待确认",F908="异常待处理"),"持续跟踪","检查状态")))))</x:f>
      </x:c>
      <x:c r="T908" s="64" t="str">
        <x:f>IF(A908="","",IF(COUNTIF($A$5:$A$1204,A908)&gt;1,"重复",""))</x:f>
      </x:c>
      <x:c r="U908" s="64" t="str">
        <x:f>IF(A908="","",IF(T908="重复","检查重复",IF(OR(R908="有证据",R908="有记录",R908="持续跟踪"),"可追踪","检查")))</x:f>
      </x:c>
    </x:row>
    <x:row r="909">
      <x:c r="A909" s="62"/>
      <x:c r="B909" s="62"/>
      <x:c r="C909" s="62"/>
      <x:c r="D909" s="66"/>
      <x:c r="E909" s="68"/>
      <x:c r="F909" s="62"/>
      <x:c r="G909" s="62"/>
      <x:c r="H909" s="62"/>
      <x:c r="I909" s="62"/>
      <x:c r="J909" s="62"/>
      <x:c r="K909" s="62"/>
      <x:c r="L909" s="62"/>
      <x:c r="M909" s="68"/>
      <x:c r="N909" s="68"/>
      <x:c r="O909" s="68"/>
      <x:c r="P909" s="71" t="str">
        <x:f>IF(A909="","",IF(N909&gt;0,N909,M909))</x:f>
      </x:c>
      <x:c r="Q909" s="72" t="n">
        <x:f>IF(A909="",0,IF(COUNTIF($A$5:A909,A909)=1,1,0))</x:f>
        <x:v>0</x:v>
      </x:c>
      <x:c r="R909" s="64" t="str">
        <x:f>IF(A909="","",IF(F909="C909成功",IF(AND(J909&lt;&gt;"",K909&lt;&gt;"",N909&gt;0),"有证据","缺C909证据"),IF(F909="C909发货确认中",IF(AND(J909&lt;&gt;"",K909&lt;&gt;""),"有证据","缺C909证据"),IF(F909="手动完结",IF(OR(L909&lt;&gt;"",O909&lt;&gt;"",S909&lt;&gt;""),"有记录","缺手工证据"),IF(OR(F909="卖出待补仓",F909="提交结果待确认",F909="异常待处理"),"持续跟踪","检查状态")))))</x:f>
      </x:c>
      <x:c r="T909" s="64" t="str">
        <x:f>IF(A909="","",IF(COUNTIF($A$5:$A$1204,A909)&gt;1,"重复",""))</x:f>
      </x:c>
      <x:c r="U909" s="64" t="str">
        <x:f>IF(A909="","",IF(T909="重复","检查重复",IF(OR(R909="有证据",R909="有记录",R909="持续跟踪"),"可追踪","检查")))</x:f>
      </x:c>
    </x:row>
    <x:row r="910">
      <x:c r="A910" s="62"/>
      <x:c r="B910" s="62"/>
      <x:c r="C910" s="62"/>
      <x:c r="D910" s="66"/>
      <x:c r="E910" s="68"/>
      <x:c r="F910" s="62"/>
      <x:c r="G910" s="62"/>
      <x:c r="H910" s="62"/>
      <x:c r="I910" s="62"/>
      <x:c r="J910" s="62"/>
      <x:c r="K910" s="62"/>
      <x:c r="L910" s="62"/>
      <x:c r="M910" s="68"/>
      <x:c r="N910" s="68"/>
      <x:c r="O910" s="68"/>
      <x:c r="P910" s="71" t="str">
        <x:f>IF(A910="","",IF(N910&gt;0,N910,M910))</x:f>
      </x:c>
      <x:c r="Q910" s="72" t="n">
        <x:f>IF(A910="",0,IF(COUNTIF($A$5:A910,A910)=1,1,0))</x:f>
        <x:v>0</x:v>
      </x:c>
      <x:c r="R910" s="64" t="str">
        <x:f>IF(A910="","",IF(F910="C910成功",IF(AND(J910&lt;&gt;"",K910&lt;&gt;"",N910&gt;0),"有证据","缺C910证据"),IF(F910="C910发货确认中",IF(AND(J910&lt;&gt;"",K910&lt;&gt;""),"有证据","缺C910证据"),IF(F910="手动完结",IF(OR(L910&lt;&gt;"",O910&lt;&gt;"",S910&lt;&gt;""),"有记录","缺手工证据"),IF(OR(F910="卖出待补仓",F910="提交结果待确认",F910="异常待处理"),"持续跟踪","检查状态")))))</x:f>
      </x:c>
      <x:c r="T910" s="64" t="str">
        <x:f>IF(A910="","",IF(COUNTIF($A$5:$A$1204,A910)&gt;1,"重复",""))</x:f>
      </x:c>
      <x:c r="U910" s="64" t="str">
        <x:f>IF(A910="","",IF(T910="重复","检查重复",IF(OR(R910="有证据",R910="有记录",R910="持续跟踪"),"可追踪","检查")))</x:f>
      </x:c>
    </x:row>
    <x:row r="911">
      <x:c r="A911" s="62"/>
      <x:c r="B911" s="62"/>
      <x:c r="C911" s="62"/>
      <x:c r="D911" s="66"/>
      <x:c r="E911" s="68"/>
      <x:c r="F911" s="62"/>
      <x:c r="G911" s="62"/>
      <x:c r="H911" s="62"/>
      <x:c r="I911" s="62"/>
      <x:c r="J911" s="62"/>
      <x:c r="K911" s="62"/>
      <x:c r="L911" s="62"/>
      <x:c r="M911" s="68"/>
      <x:c r="N911" s="68"/>
      <x:c r="O911" s="68"/>
      <x:c r="P911" s="71" t="str">
        <x:f>IF(A911="","",IF(N911&gt;0,N911,M911))</x:f>
      </x:c>
      <x:c r="Q911" s="72" t="n">
        <x:f>IF(A911="",0,IF(COUNTIF($A$5:A911,A911)=1,1,0))</x:f>
        <x:v>0</x:v>
      </x:c>
      <x:c r="R911" s="64" t="str">
        <x:f>IF(A911="","",IF(F911="C911成功",IF(AND(J911&lt;&gt;"",K911&lt;&gt;"",N911&gt;0),"有证据","缺C911证据"),IF(F911="C911发货确认中",IF(AND(J911&lt;&gt;"",K911&lt;&gt;""),"有证据","缺C911证据"),IF(F911="手动完结",IF(OR(L911&lt;&gt;"",O911&lt;&gt;"",S911&lt;&gt;""),"有记录","缺手工证据"),IF(OR(F911="卖出待补仓",F911="提交结果待确认",F911="异常待处理"),"持续跟踪","检查状态")))))</x:f>
      </x:c>
      <x:c r="T911" s="64" t="str">
        <x:f>IF(A911="","",IF(COUNTIF($A$5:$A$1204,A911)&gt;1,"重复",""))</x:f>
      </x:c>
      <x:c r="U911" s="64" t="str">
        <x:f>IF(A911="","",IF(T911="重复","检查重复",IF(OR(R911="有证据",R911="有记录",R911="持续跟踪"),"可追踪","检查")))</x:f>
      </x:c>
    </x:row>
    <x:row r="912">
      <x:c r="A912" s="62"/>
      <x:c r="B912" s="62"/>
      <x:c r="C912" s="62"/>
      <x:c r="D912" s="66"/>
      <x:c r="E912" s="68"/>
      <x:c r="F912" s="62"/>
      <x:c r="G912" s="62"/>
      <x:c r="H912" s="62"/>
      <x:c r="I912" s="62"/>
      <x:c r="J912" s="62"/>
      <x:c r="K912" s="62"/>
      <x:c r="L912" s="62"/>
      <x:c r="M912" s="68"/>
      <x:c r="N912" s="68"/>
      <x:c r="O912" s="68"/>
      <x:c r="P912" s="71" t="str">
        <x:f>IF(A912="","",IF(N912&gt;0,N912,M912))</x:f>
      </x:c>
      <x:c r="Q912" s="72" t="n">
        <x:f>IF(A912="",0,IF(COUNTIF($A$5:A912,A912)=1,1,0))</x:f>
        <x:v>0</x:v>
      </x:c>
      <x:c r="R912" s="64" t="str">
        <x:f>IF(A912="","",IF(F912="C912成功",IF(AND(J912&lt;&gt;"",K912&lt;&gt;"",N912&gt;0),"有证据","缺C912证据"),IF(F912="C912发货确认中",IF(AND(J912&lt;&gt;"",K912&lt;&gt;""),"有证据","缺C912证据"),IF(F912="手动完结",IF(OR(L912&lt;&gt;"",O912&lt;&gt;"",S912&lt;&gt;""),"有记录","缺手工证据"),IF(OR(F912="卖出待补仓",F912="提交结果待确认",F912="异常待处理"),"持续跟踪","检查状态")))))</x:f>
      </x:c>
      <x:c r="T912" s="64" t="str">
        <x:f>IF(A912="","",IF(COUNTIF($A$5:$A$1204,A912)&gt;1,"重复",""))</x:f>
      </x:c>
      <x:c r="U912" s="64" t="str">
        <x:f>IF(A912="","",IF(T912="重复","检查重复",IF(OR(R912="有证据",R912="有记录",R912="持续跟踪"),"可追踪","检查")))</x:f>
      </x:c>
    </x:row>
    <x:row r="913">
      <x:c r="A913" s="62"/>
      <x:c r="B913" s="62"/>
      <x:c r="C913" s="62"/>
      <x:c r="D913" s="66"/>
      <x:c r="E913" s="68"/>
      <x:c r="F913" s="62"/>
      <x:c r="G913" s="62"/>
      <x:c r="H913" s="62"/>
      <x:c r="I913" s="62"/>
      <x:c r="J913" s="62"/>
      <x:c r="K913" s="62"/>
      <x:c r="L913" s="62"/>
      <x:c r="M913" s="68"/>
      <x:c r="N913" s="68"/>
      <x:c r="O913" s="68"/>
      <x:c r="P913" s="71" t="str">
        <x:f>IF(A913="","",IF(N913&gt;0,N913,M913))</x:f>
      </x:c>
      <x:c r="Q913" s="72" t="n">
        <x:f>IF(A913="",0,IF(COUNTIF($A$5:A913,A913)=1,1,0))</x:f>
        <x:v>0</x:v>
      </x:c>
      <x:c r="R913" s="64" t="str">
        <x:f>IF(A913="","",IF(F913="C913成功",IF(AND(J913&lt;&gt;"",K913&lt;&gt;"",N913&gt;0),"有证据","缺C913证据"),IF(F913="C913发货确认中",IF(AND(J913&lt;&gt;"",K913&lt;&gt;""),"有证据","缺C913证据"),IF(F913="手动完结",IF(OR(L913&lt;&gt;"",O913&lt;&gt;"",S913&lt;&gt;""),"有记录","缺手工证据"),IF(OR(F913="卖出待补仓",F913="提交结果待确认",F913="异常待处理"),"持续跟踪","检查状态")))))</x:f>
      </x:c>
      <x:c r="T913" s="64" t="str">
        <x:f>IF(A913="","",IF(COUNTIF($A$5:$A$1204,A913)&gt;1,"重复",""))</x:f>
      </x:c>
      <x:c r="U913" s="64" t="str">
        <x:f>IF(A913="","",IF(T913="重复","检查重复",IF(OR(R913="有证据",R913="有记录",R913="持续跟踪"),"可追踪","检查")))</x:f>
      </x:c>
    </x:row>
    <x:row r="914">
      <x:c r="A914" s="62"/>
      <x:c r="B914" s="62"/>
      <x:c r="C914" s="62"/>
      <x:c r="D914" s="66"/>
      <x:c r="E914" s="68"/>
      <x:c r="F914" s="62"/>
      <x:c r="G914" s="62"/>
      <x:c r="H914" s="62"/>
      <x:c r="I914" s="62"/>
      <x:c r="J914" s="62"/>
      <x:c r="K914" s="62"/>
      <x:c r="L914" s="62"/>
      <x:c r="M914" s="68"/>
      <x:c r="N914" s="68"/>
      <x:c r="O914" s="68"/>
      <x:c r="P914" s="71" t="str">
        <x:f>IF(A914="","",IF(N914&gt;0,N914,M914))</x:f>
      </x:c>
      <x:c r="Q914" s="72" t="n">
        <x:f>IF(A914="",0,IF(COUNTIF($A$5:A914,A914)=1,1,0))</x:f>
        <x:v>0</x:v>
      </x:c>
      <x:c r="R914" s="64" t="str">
        <x:f>IF(A914="","",IF(F914="C914成功",IF(AND(J914&lt;&gt;"",K914&lt;&gt;"",N914&gt;0),"有证据","缺C914证据"),IF(F914="C914发货确认中",IF(AND(J914&lt;&gt;"",K914&lt;&gt;""),"有证据","缺C914证据"),IF(F914="手动完结",IF(OR(L914&lt;&gt;"",O914&lt;&gt;"",S914&lt;&gt;""),"有记录","缺手工证据"),IF(OR(F914="卖出待补仓",F914="提交结果待确认",F914="异常待处理"),"持续跟踪","检查状态")))))</x:f>
      </x:c>
      <x:c r="T914" s="64" t="str">
        <x:f>IF(A914="","",IF(COUNTIF($A$5:$A$1204,A914)&gt;1,"重复",""))</x:f>
      </x:c>
      <x:c r="U914" s="64" t="str">
        <x:f>IF(A914="","",IF(T914="重复","检查重复",IF(OR(R914="有证据",R914="有记录",R914="持续跟踪"),"可追踪","检查")))</x:f>
      </x:c>
    </x:row>
    <x:row r="915">
      <x:c r="A915" s="62"/>
      <x:c r="B915" s="62"/>
      <x:c r="C915" s="62"/>
      <x:c r="D915" s="66"/>
      <x:c r="E915" s="68"/>
      <x:c r="F915" s="62"/>
      <x:c r="G915" s="62"/>
      <x:c r="H915" s="62"/>
      <x:c r="I915" s="62"/>
      <x:c r="J915" s="62"/>
      <x:c r="K915" s="62"/>
      <x:c r="L915" s="62"/>
      <x:c r="M915" s="68"/>
      <x:c r="N915" s="68"/>
      <x:c r="O915" s="68"/>
      <x:c r="P915" s="71" t="str">
        <x:f>IF(A915="","",IF(N915&gt;0,N915,M915))</x:f>
      </x:c>
      <x:c r="Q915" s="72" t="n">
        <x:f>IF(A915="",0,IF(COUNTIF($A$5:A915,A915)=1,1,0))</x:f>
        <x:v>0</x:v>
      </x:c>
      <x:c r="R915" s="64" t="str">
        <x:f>IF(A915="","",IF(F915="C915成功",IF(AND(J915&lt;&gt;"",K915&lt;&gt;"",N915&gt;0),"有证据","缺C915证据"),IF(F915="C915发货确认中",IF(AND(J915&lt;&gt;"",K915&lt;&gt;""),"有证据","缺C915证据"),IF(F915="手动完结",IF(OR(L915&lt;&gt;"",O915&lt;&gt;"",S915&lt;&gt;""),"有记录","缺手工证据"),IF(OR(F915="卖出待补仓",F915="提交结果待确认",F915="异常待处理"),"持续跟踪","检查状态")))))</x:f>
      </x:c>
      <x:c r="T915" s="64" t="str">
        <x:f>IF(A915="","",IF(COUNTIF($A$5:$A$1204,A915)&gt;1,"重复",""))</x:f>
      </x:c>
      <x:c r="U915" s="64" t="str">
        <x:f>IF(A915="","",IF(T915="重复","检查重复",IF(OR(R915="有证据",R915="有记录",R915="持续跟踪"),"可追踪","检查")))</x:f>
      </x:c>
    </x:row>
    <x:row r="916">
      <x:c r="A916" s="62"/>
      <x:c r="B916" s="62"/>
      <x:c r="C916" s="62"/>
      <x:c r="D916" s="66"/>
      <x:c r="E916" s="68"/>
      <x:c r="F916" s="62"/>
      <x:c r="G916" s="62"/>
      <x:c r="H916" s="62"/>
      <x:c r="I916" s="62"/>
      <x:c r="J916" s="62"/>
      <x:c r="K916" s="62"/>
      <x:c r="L916" s="62"/>
      <x:c r="M916" s="68"/>
      <x:c r="N916" s="68"/>
      <x:c r="O916" s="68"/>
      <x:c r="P916" s="71" t="str">
        <x:f>IF(A916="","",IF(N916&gt;0,N916,M916))</x:f>
      </x:c>
      <x:c r="Q916" s="72" t="n">
        <x:f>IF(A916="",0,IF(COUNTIF($A$5:A916,A916)=1,1,0))</x:f>
        <x:v>0</x:v>
      </x:c>
      <x:c r="R916" s="64" t="str">
        <x:f>IF(A916="","",IF(F916="C916成功",IF(AND(J916&lt;&gt;"",K916&lt;&gt;"",N916&gt;0),"有证据","缺C916证据"),IF(F916="C916发货确认中",IF(AND(J916&lt;&gt;"",K916&lt;&gt;""),"有证据","缺C916证据"),IF(F916="手动完结",IF(OR(L916&lt;&gt;"",O916&lt;&gt;"",S916&lt;&gt;""),"有记录","缺手工证据"),IF(OR(F916="卖出待补仓",F916="提交结果待确认",F916="异常待处理"),"持续跟踪","检查状态")))))</x:f>
      </x:c>
      <x:c r="T916" s="64" t="str">
        <x:f>IF(A916="","",IF(COUNTIF($A$5:$A$1204,A916)&gt;1,"重复",""))</x:f>
      </x:c>
      <x:c r="U916" s="64" t="str">
        <x:f>IF(A916="","",IF(T916="重复","检查重复",IF(OR(R916="有证据",R916="有记录",R916="持续跟踪"),"可追踪","检查")))</x:f>
      </x:c>
    </x:row>
    <x:row r="917">
      <x:c r="A917" s="62"/>
      <x:c r="B917" s="62"/>
      <x:c r="C917" s="62"/>
      <x:c r="D917" s="66"/>
      <x:c r="E917" s="68"/>
      <x:c r="F917" s="62"/>
      <x:c r="G917" s="62"/>
      <x:c r="H917" s="62"/>
      <x:c r="I917" s="62"/>
      <x:c r="J917" s="62"/>
      <x:c r="K917" s="62"/>
      <x:c r="L917" s="62"/>
      <x:c r="M917" s="68"/>
      <x:c r="N917" s="68"/>
      <x:c r="O917" s="68"/>
      <x:c r="P917" s="71" t="str">
        <x:f>IF(A917="","",IF(N917&gt;0,N917,M917))</x:f>
      </x:c>
      <x:c r="Q917" s="72" t="n">
        <x:f>IF(A917="",0,IF(COUNTIF($A$5:A917,A917)=1,1,0))</x:f>
        <x:v>0</x:v>
      </x:c>
      <x:c r="R917" s="64" t="str">
        <x:f>IF(A917="","",IF(F917="C917成功",IF(AND(J917&lt;&gt;"",K917&lt;&gt;"",N917&gt;0),"有证据","缺C917证据"),IF(F917="C917发货确认中",IF(AND(J917&lt;&gt;"",K917&lt;&gt;""),"有证据","缺C917证据"),IF(F917="手动完结",IF(OR(L917&lt;&gt;"",O917&lt;&gt;"",S917&lt;&gt;""),"有记录","缺手工证据"),IF(OR(F917="卖出待补仓",F917="提交结果待确认",F917="异常待处理"),"持续跟踪","检查状态")))))</x:f>
      </x:c>
      <x:c r="T917" s="64" t="str">
        <x:f>IF(A917="","",IF(COUNTIF($A$5:$A$1204,A917)&gt;1,"重复",""))</x:f>
      </x:c>
      <x:c r="U917" s="64" t="str">
        <x:f>IF(A917="","",IF(T917="重复","检查重复",IF(OR(R917="有证据",R917="有记录",R917="持续跟踪"),"可追踪","检查")))</x:f>
      </x:c>
    </x:row>
    <x:row r="918">
      <x:c r="A918" s="62"/>
      <x:c r="B918" s="62"/>
      <x:c r="C918" s="62"/>
      <x:c r="D918" s="66"/>
      <x:c r="E918" s="68"/>
      <x:c r="F918" s="62"/>
      <x:c r="G918" s="62"/>
      <x:c r="H918" s="62"/>
      <x:c r="I918" s="62"/>
      <x:c r="J918" s="62"/>
      <x:c r="K918" s="62"/>
      <x:c r="L918" s="62"/>
      <x:c r="M918" s="68"/>
      <x:c r="N918" s="68"/>
      <x:c r="O918" s="68"/>
      <x:c r="P918" s="71" t="str">
        <x:f>IF(A918="","",IF(N918&gt;0,N918,M918))</x:f>
      </x:c>
      <x:c r="Q918" s="72" t="n">
        <x:f>IF(A918="",0,IF(COUNTIF($A$5:A918,A918)=1,1,0))</x:f>
        <x:v>0</x:v>
      </x:c>
      <x:c r="R918" s="64" t="str">
        <x:f>IF(A918="","",IF(F918="C918成功",IF(AND(J918&lt;&gt;"",K918&lt;&gt;"",N918&gt;0),"有证据","缺C918证据"),IF(F918="C918发货确认中",IF(AND(J918&lt;&gt;"",K918&lt;&gt;""),"有证据","缺C918证据"),IF(F918="手动完结",IF(OR(L918&lt;&gt;"",O918&lt;&gt;"",S918&lt;&gt;""),"有记录","缺手工证据"),IF(OR(F918="卖出待补仓",F918="提交结果待确认",F918="异常待处理"),"持续跟踪","检查状态")))))</x:f>
      </x:c>
      <x:c r="T918" s="64" t="str">
        <x:f>IF(A918="","",IF(COUNTIF($A$5:$A$1204,A918)&gt;1,"重复",""))</x:f>
      </x:c>
      <x:c r="U918" s="64" t="str">
        <x:f>IF(A918="","",IF(T918="重复","检查重复",IF(OR(R918="有证据",R918="有记录",R918="持续跟踪"),"可追踪","检查")))</x:f>
      </x:c>
    </x:row>
    <x:row r="919">
      <x:c r="A919" s="62"/>
      <x:c r="B919" s="62"/>
      <x:c r="C919" s="62"/>
      <x:c r="D919" s="66"/>
      <x:c r="E919" s="68"/>
      <x:c r="F919" s="62"/>
      <x:c r="G919" s="62"/>
      <x:c r="H919" s="62"/>
      <x:c r="I919" s="62"/>
      <x:c r="J919" s="62"/>
      <x:c r="K919" s="62"/>
      <x:c r="L919" s="62"/>
      <x:c r="M919" s="68"/>
      <x:c r="N919" s="68"/>
      <x:c r="O919" s="68"/>
      <x:c r="P919" s="71" t="str">
        <x:f>IF(A919="","",IF(N919&gt;0,N919,M919))</x:f>
      </x:c>
      <x:c r="Q919" s="72" t="n">
        <x:f>IF(A919="",0,IF(COUNTIF($A$5:A919,A919)=1,1,0))</x:f>
        <x:v>0</x:v>
      </x:c>
      <x:c r="R919" s="64" t="str">
        <x:f>IF(A919="","",IF(F919="C919成功",IF(AND(J919&lt;&gt;"",K919&lt;&gt;"",N919&gt;0),"有证据","缺C919证据"),IF(F919="C919发货确认中",IF(AND(J919&lt;&gt;"",K919&lt;&gt;""),"有证据","缺C919证据"),IF(F919="手动完结",IF(OR(L919&lt;&gt;"",O919&lt;&gt;"",S919&lt;&gt;""),"有记录","缺手工证据"),IF(OR(F919="卖出待补仓",F919="提交结果待确认",F919="异常待处理"),"持续跟踪","检查状态")))))</x:f>
      </x:c>
      <x:c r="T919" s="64" t="str">
        <x:f>IF(A919="","",IF(COUNTIF($A$5:$A$1204,A919)&gt;1,"重复",""))</x:f>
      </x:c>
      <x:c r="U919" s="64" t="str">
        <x:f>IF(A919="","",IF(T919="重复","检查重复",IF(OR(R919="有证据",R919="有记录",R919="持续跟踪"),"可追踪","检查")))</x:f>
      </x:c>
    </x:row>
    <x:row r="920">
      <x:c r="A920" s="62"/>
      <x:c r="B920" s="62"/>
      <x:c r="C920" s="62"/>
      <x:c r="D920" s="66"/>
      <x:c r="E920" s="68"/>
      <x:c r="F920" s="62"/>
      <x:c r="G920" s="62"/>
      <x:c r="H920" s="62"/>
      <x:c r="I920" s="62"/>
      <x:c r="J920" s="62"/>
      <x:c r="K920" s="62"/>
      <x:c r="L920" s="62"/>
      <x:c r="M920" s="68"/>
      <x:c r="N920" s="68"/>
      <x:c r="O920" s="68"/>
      <x:c r="P920" s="71" t="str">
        <x:f>IF(A920="","",IF(N920&gt;0,N920,M920))</x:f>
      </x:c>
      <x:c r="Q920" s="72" t="n">
        <x:f>IF(A920="",0,IF(COUNTIF($A$5:A920,A920)=1,1,0))</x:f>
        <x:v>0</x:v>
      </x:c>
      <x:c r="R920" s="64" t="str">
        <x:f>IF(A920="","",IF(F920="C920成功",IF(AND(J920&lt;&gt;"",K920&lt;&gt;"",N920&gt;0),"有证据","缺C920证据"),IF(F920="C920发货确认中",IF(AND(J920&lt;&gt;"",K920&lt;&gt;""),"有证据","缺C920证据"),IF(F920="手动完结",IF(OR(L920&lt;&gt;"",O920&lt;&gt;"",S920&lt;&gt;""),"有记录","缺手工证据"),IF(OR(F920="卖出待补仓",F920="提交结果待确认",F920="异常待处理"),"持续跟踪","检查状态")))))</x:f>
      </x:c>
      <x:c r="T920" s="64" t="str">
        <x:f>IF(A920="","",IF(COUNTIF($A$5:$A$1204,A920)&gt;1,"重复",""))</x:f>
      </x:c>
      <x:c r="U920" s="64" t="str">
        <x:f>IF(A920="","",IF(T920="重复","检查重复",IF(OR(R920="有证据",R920="有记录",R920="持续跟踪"),"可追踪","检查")))</x:f>
      </x:c>
    </x:row>
    <x:row r="921">
      <x:c r="A921" s="62"/>
      <x:c r="B921" s="62"/>
      <x:c r="C921" s="62"/>
      <x:c r="D921" s="66"/>
      <x:c r="E921" s="68"/>
      <x:c r="F921" s="62"/>
      <x:c r="G921" s="62"/>
      <x:c r="H921" s="62"/>
      <x:c r="I921" s="62"/>
      <x:c r="J921" s="62"/>
      <x:c r="K921" s="62"/>
      <x:c r="L921" s="62"/>
      <x:c r="M921" s="68"/>
      <x:c r="N921" s="68"/>
      <x:c r="O921" s="68"/>
      <x:c r="P921" s="71" t="str">
        <x:f>IF(A921="","",IF(N921&gt;0,N921,M921))</x:f>
      </x:c>
      <x:c r="Q921" s="72" t="n">
        <x:f>IF(A921="",0,IF(COUNTIF($A$5:A921,A921)=1,1,0))</x:f>
        <x:v>0</x:v>
      </x:c>
      <x:c r="R921" s="64" t="str">
        <x:f>IF(A921="","",IF(F921="C921成功",IF(AND(J921&lt;&gt;"",K921&lt;&gt;"",N921&gt;0),"有证据","缺C921证据"),IF(F921="C921发货确认中",IF(AND(J921&lt;&gt;"",K921&lt;&gt;""),"有证据","缺C921证据"),IF(F921="手动完结",IF(OR(L921&lt;&gt;"",O921&lt;&gt;"",S921&lt;&gt;""),"有记录","缺手工证据"),IF(OR(F921="卖出待补仓",F921="提交结果待确认",F921="异常待处理"),"持续跟踪","检查状态")))))</x:f>
      </x:c>
      <x:c r="T921" s="64" t="str">
        <x:f>IF(A921="","",IF(COUNTIF($A$5:$A$1204,A921)&gt;1,"重复",""))</x:f>
      </x:c>
      <x:c r="U921" s="64" t="str">
        <x:f>IF(A921="","",IF(T921="重复","检查重复",IF(OR(R921="有证据",R921="有记录",R921="持续跟踪"),"可追踪","检查")))</x:f>
      </x:c>
    </x:row>
    <x:row r="922">
      <x:c r="A922" s="62"/>
      <x:c r="B922" s="62"/>
      <x:c r="C922" s="62"/>
      <x:c r="D922" s="66"/>
      <x:c r="E922" s="68"/>
      <x:c r="F922" s="62"/>
      <x:c r="G922" s="62"/>
      <x:c r="H922" s="62"/>
      <x:c r="I922" s="62"/>
      <x:c r="J922" s="62"/>
      <x:c r="K922" s="62"/>
      <x:c r="L922" s="62"/>
      <x:c r="M922" s="68"/>
      <x:c r="N922" s="68"/>
      <x:c r="O922" s="68"/>
      <x:c r="P922" s="71" t="str">
        <x:f>IF(A922="","",IF(N922&gt;0,N922,M922))</x:f>
      </x:c>
      <x:c r="Q922" s="72" t="n">
        <x:f>IF(A922="",0,IF(COUNTIF($A$5:A922,A922)=1,1,0))</x:f>
        <x:v>0</x:v>
      </x:c>
      <x:c r="R922" s="64" t="str">
        <x:f>IF(A922="","",IF(F922="C922成功",IF(AND(J922&lt;&gt;"",K922&lt;&gt;"",N922&gt;0),"有证据","缺C922证据"),IF(F922="C922发货确认中",IF(AND(J922&lt;&gt;"",K922&lt;&gt;""),"有证据","缺C922证据"),IF(F922="手动完结",IF(OR(L922&lt;&gt;"",O922&lt;&gt;"",S922&lt;&gt;""),"有记录","缺手工证据"),IF(OR(F922="卖出待补仓",F922="提交结果待确认",F922="异常待处理"),"持续跟踪","检查状态")))))</x:f>
      </x:c>
      <x:c r="T922" s="64" t="str">
        <x:f>IF(A922="","",IF(COUNTIF($A$5:$A$1204,A922)&gt;1,"重复",""))</x:f>
      </x:c>
      <x:c r="U922" s="64" t="str">
        <x:f>IF(A922="","",IF(T922="重复","检查重复",IF(OR(R922="有证据",R922="有记录",R922="持续跟踪"),"可追踪","检查")))</x:f>
      </x:c>
    </x:row>
    <x:row r="923">
      <x:c r="A923" s="62"/>
      <x:c r="B923" s="62"/>
      <x:c r="C923" s="62"/>
      <x:c r="D923" s="66"/>
      <x:c r="E923" s="68"/>
      <x:c r="F923" s="62"/>
      <x:c r="G923" s="62"/>
      <x:c r="H923" s="62"/>
      <x:c r="I923" s="62"/>
      <x:c r="J923" s="62"/>
      <x:c r="K923" s="62"/>
      <x:c r="L923" s="62"/>
      <x:c r="M923" s="68"/>
      <x:c r="N923" s="68"/>
      <x:c r="O923" s="68"/>
      <x:c r="P923" s="71" t="str">
        <x:f>IF(A923="","",IF(N923&gt;0,N923,M923))</x:f>
      </x:c>
      <x:c r="Q923" s="72" t="n">
        <x:f>IF(A923="",0,IF(COUNTIF($A$5:A923,A923)=1,1,0))</x:f>
        <x:v>0</x:v>
      </x:c>
      <x:c r="R923" s="64" t="str">
        <x:f>IF(A923="","",IF(F923="C923成功",IF(AND(J923&lt;&gt;"",K923&lt;&gt;"",N923&gt;0),"有证据","缺C923证据"),IF(F923="C923发货确认中",IF(AND(J923&lt;&gt;"",K923&lt;&gt;""),"有证据","缺C923证据"),IF(F923="手动完结",IF(OR(L923&lt;&gt;"",O923&lt;&gt;"",S923&lt;&gt;""),"有记录","缺手工证据"),IF(OR(F923="卖出待补仓",F923="提交结果待确认",F923="异常待处理"),"持续跟踪","检查状态")))))</x:f>
      </x:c>
      <x:c r="T923" s="64" t="str">
        <x:f>IF(A923="","",IF(COUNTIF($A$5:$A$1204,A923)&gt;1,"重复",""))</x:f>
      </x:c>
      <x:c r="U923" s="64" t="str">
        <x:f>IF(A923="","",IF(T923="重复","检查重复",IF(OR(R923="有证据",R923="有记录",R923="持续跟踪"),"可追踪","检查")))</x:f>
      </x:c>
    </x:row>
    <x:row r="924">
      <x:c r="A924" s="62"/>
      <x:c r="B924" s="62"/>
      <x:c r="C924" s="62"/>
      <x:c r="D924" s="66"/>
      <x:c r="E924" s="68"/>
      <x:c r="F924" s="62"/>
      <x:c r="G924" s="62"/>
      <x:c r="H924" s="62"/>
      <x:c r="I924" s="62"/>
      <x:c r="J924" s="62"/>
      <x:c r="K924" s="62"/>
      <x:c r="L924" s="62"/>
      <x:c r="M924" s="68"/>
      <x:c r="N924" s="68"/>
      <x:c r="O924" s="68"/>
      <x:c r="P924" s="71" t="str">
        <x:f>IF(A924="","",IF(N924&gt;0,N924,M924))</x:f>
      </x:c>
      <x:c r="Q924" s="72" t="n">
        <x:f>IF(A924="",0,IF(COUNTIF($A$5:A924,A924)=1,1,0))</x:f>
        <x:v>0</x:v>
      </x:c>
      <x:c r="R924" s="64" t="str">
        <x:f>IF(A924="","",IF(F924="C924成功",IF(AND(J924&lt;&gt;"",K924&lt;&gt;"",N924&gt;0),"有证据","缺C924证据"),IF(F924="C924发货确认中",IF(AND(J924&lt;&gt;"",K924&lt;&gt;""),"有证据","缺C924证据"),IF(F924="手动完结",IF(OR(L924&lt;&gt;"",O924&lt;&gt;"",S924&lt;&gt;""),"有记录","缺手工证据"),IF(OR(F924="卖出待补仓",F924="提交结果待确认",F924="异常待处理"),"持续跟踪","检查状态")))))</x:f>
      </x:c>
      <x:c r="T924" s="64" t="str">
        <x:f>IF(A924="","",IF(COUNTIF($A$5:$A$1204,A924)&gt;1,"重复",""))</x:f>
      </x:c>
      <x:c r="U924" s="64" t="str">
        <x:f>IF(A924="","",IF(T924="重复","检查重复",IF(OR(R924="有证据",R924="有记录",R924="持续跟踪"),"可追踪","检查")))</x:f>
      </x:c>
    </x:row>
    <x:row r="925">
      <x:c r="A925" s="62"/>
      <x:c r="B925" s="62"/>
      <x:c r="C925" s="62"/>
      <x:c r="D925" s="66"/>
      <x:c r="E925" s="68"/>
      <x:c r="F925" s="62"/>
      <x:c r="G925" s="62"/>
      <x:c r="H925" s="62"/>
      <x:c r="I925" s="62"/>
      <x:c r="J925" s="62"/>
      <x:c r="K925" s="62"/>
      <x:c r="L925" s="62"/>
      <x:c r="M925" s="68"/>
      <x:c r="N925" s="68"/>
      <x:c r="O925" s="68"/>
      <x:c r="P925" s="71" t="str">
        <x:f>IF(A925="","",IF(N925&gt;0,N925,M925))</x:f>
      </x:c>
      <x:c r="Q925" s="72" t="n">
        <x:f>IF(A925="",0,IF(COUNTIF($A$5:A925,A925)=1,1,0))</x:f>
        <x:v>0</x:v>
      </x:c>
      <x:c r="R925" s="64" t="str">
        <x:f>IF(A925="","",IF(F925="C925成功",IF(AND(J925&lt;&gt;"",K925&lt;&gt;"",N925&gt;0),"有证据","缺C925证据"),IF(F925="C925发货确认中",IF(AND(J925&lt;&gt;"",K925&lt;&gt;""),"有证据","缺C925证据"),IF(F925="手动完结",IF(OR(L925&lt;&gt;"",O925&lt;&gt;"",S925&lt;&gt;""),"有记录","缺手工证据"),IF(OR(F925="卖出待补仓",F925="提交结果待确认",F925="异常待处理"),"持续跟踪","检查状态")))))</x:f>
      </x:c>
      <x:c r="T925" s="64" t="str">
        <x:f>IF(A925="","",IF(COUNTIF($A$5:$A$1204,A925)&gt;1,"重复",""))</x:f>
      </x:c>
      <x:c r="U925" s="64" t="str">
        <x:f>IF(A925="","",IF(T925="重复","检查重复",IF(OR(R925="有证据",R925="有记录",R925="持续跟踪"),"可追踪","检查")))</x:f>
      </x:c>
    </x:row>
    <x:row r="926">
      <x:c r="A926" s="62"/>
      <x:c r="B926" s="62"/>
      <x:c r="C926" s="62"/>
      <x:c r="D926" s="66"/>
      <x:c r="E926" s="68"/>
      <x:c r="F926" s="62"/>
      <x:c r="G926" s="62"/>
      <x:c r="H926" s="62"/>
      <x:c r="I926" s="62"/>
      <x:c r="J926" s="62"/>
      <x:c r="K926" s="62"/>
      <x:c r="L926" s="62"/>
      <x:c r="M926" s="68"/>
      <x:c r="N926" s="68"/>
      <x:c r="O926" s="68"/>
      <x:c r="P926" s="71" t="str">
        <x:f>IF(A926="","",IF(N926&gt;0,N926,M926))</x:f>
      </x:c>
      <x:c r="Q926" s="72" t="n">
        <x:f>IF(A926="",0,IF(COUNTIF($A$5:A926,A926)=1,1,0))</x:f>
        <x:v>0</x:v>
      </x:c>
      <x:c r="R926" s="64" t="str">
        <x:f>IF(A926="","",IF(F926="C926成功",IF(AND(J926&lt;&gt;"",K926&lt;&gt;"",N926&gt;0),"有证据","缺C926证据"),IF(F926="C926发货确认中",IF(AND(J926&lt;&gt;"",K926&lt;&gt;""),"有证据","缺C926证据"),IF(F926="手动完结",IF(OR(L926&lt;&gt;"",O926&lt;&gt;"",S926&lt;&gt;""),"有记录","缺手工证据"),IF(OR(F926="卖出待补仓",F926="提交结果待确认",F926="异常待处理"),"持续跟踪","检查状态")))))</x:f>
      </x:c>
      <x:c r="T926" s="64" t="str">
        <x:f>IF(A926="","",IF(COUNTIF($A$5:$A$1204,A926)&gt;1,"重复",""))</x:f>
      </x:c>
      <x:c r="U926" s="64" t="str">
        <x:f>IF(A926="","",IF(T926="重复","检查重复",IF(OR(R926="有证据",R926="有记录",R926="持续跟踪"),"可追踪","检查")))</x:f>
      </x:c>
    </x:row>
    <x:row r="927">
      <x:c r="A927" s="62"/>
      <x:c r="B927" s="62"/>
      <x:c r="C927" s="62"/>
      <x:c r="D927" s="66"/>
      <x:c r="E927" s="68"/>
      <x:c r="F927" s="62"/>
      <x:c r="G927" s="62"/>
      <x:c r="H927" s="62"/>
      <x:c r="I927" s="62"/>
      <x:c r="J927" s="62"/>
      <x:c r="K927" s="62"/>
      <x:c r="L927" s="62"/>
      <x:c r="M927" s="68"/>
      <x:c r="N927" s="68"/>
      <x:c r="O927" s="68"/>
      <x:c r="P927" s="71" t="str">
        <x:f>IF(A927="","",IF(N927&gt;0,N927,M927))</x:f>
      </x:c>
      <x:c r="Q927" s="72" t="n">
        <x:f>IF(A927="",0,IF(COUNTIF($A$5:A927,A927)=1,1,0))</x:f>
        <x:v>0</x:v>
      </x:c>
      <x:c r="R927" s="64" t="str">
        <x:f>IF(A927="","",IF(F927="C927成功",IF(AND(J927&lt;&gt;"",K927&lt;&gt;"",N927&gt;0),"有证据","缺C927证据"),IF(F927="C927发货确认中",IF(AND(J927&lt;&gt;"",K927&lt;&gt;""),"有证据","缺C927证据"),IF(F927="手动完结",IF(OR(L927&lt;&gt;"",O927&lt;&gt;"",S927&lt;&gt;""),"有记录","缺手工证据"),IF(OR(F927="卖出待补仓",F927="提交结果待确认",F927="异常待处理"),"持续跟踪","检查状态")))))</x:f>
      </x:c>
      <x:c r="T927" s="64" t="str">
        <x:f>IF(A927="","",IF(COUNTIF($A$5:$A$1204,A927)&gt;1,"重复",""))</x:f>
      </x:c>
      <x:c r="U927" s="64" t="str">
        <x:f>IF(A927="","",IF(T927="重复","检查重复",IF(OR(R927="有证据",R927="有记录",R927="持续跟踪"),"可追踪","检查")))</x:f>
      </x:c>
    </x:row>
    <x:row r="928">
      <x:c r="A928" s="62"/>
      <x:c r="B928" s="62"/>
      <x:c r="C928" s="62"/>
      <x:c r="D928" s="66"/>
      <x:c r="E928" s="68"/>
      <x:c r="F928" s="62"/>
      <x:c r="G928" s="62"/>
      <x:c r="H928" s="62"/>
      <x:c r="I928" s="62"/>
      <x:c r="J928" s="62"/>
      <x:c r="K928" s="62"/>
      <x:c r="L928" s="62"/>
      <x:c r="M928" s="68"/>
      <x:c r="N928" s="68"/>
      <x:c r="O928" s="68"/>
      <x:c r="P928" s="71" t="str">
        <x:f>IF(A928="","",IF(N928&gt;0,N928,M928))</x:f>
      </x:c>
      <x:c r="Q928" s="72" t="n">
        <x:f>IF(A928="",0,IF(COUNTIF($A$5:A928,A928)=1,1,0))</x:f>
        <x:v>0</x:v>
      </x:c>
      <x:c r="R928" s="64" t="str">
        <x:f>IF(A928="","",IF(F928="C928成功",IF(AND(J928&lt;&gt;"",K928&lt;&gt;"",N928&gt;0),"有证据","缺C928证据"),IF(F928="C928发货确认中",IF(AND(J928&lt;&gt;"",K928&lt;&gt;""),"有证据","缺C928证据"),IF(F928="手动完结",IF(OR(L928&lt;&gt;"",O928&lt;&gt;"",S928&lt;&gt;""),"有记录","缺手工证据"),IF(OR(F928="卖出待补仓",F928="提交结果待确认",F928="异常待处理"),"持续跟踪","检查状态")))))</x:f>
      </x:c>
      <x:c r="T928" s="64" t="str">
        <x:f>IF(A928="","",IF(COUNTIF($A$5:$A$1204,A928)&gt;1,"重复",""))</x:f>
      </x:c>
      <x:c r="U928" s="64" t="str">
        <x:f>IF(A928="","",IF(T928="重复","检查重复",IF(OR(R928="有证据",R928="有记录",R928="持续跟踪"),"可追踪","检查")))</x:f>
      </x:c>
    </x:row>
    <x:row r="929">
      <x:c r="A929" s="62"/>
      <x:c r="B929" s="62"/>
      <x:c r="C929" s="62"/>
      <x:c r="D929" s="66"/>
      <x:c r="E929" s="68"/>
      <x:c r="F929" s="62"/>
      <x:c r="G929" s="62"/>
      <x:c r="H929" s="62"/>
      <x:c r="I929" s="62"/>
      <x:c r="J929" s="62"/>
      <x:c r="K929" s="62"/>
      <x:c r="L929" s="62"/>
      <x:c r="M929" s="68"/>
      <x:c r="N929" s="68"/>
      <x:c r="O929" s="68"/>
      <x:c r="P929" s="71" t="str">
        <x:f>IF(A929="","",IF(N929&gt;0,N929,M929))</x:f>
      </x:c>
      <x:c r="Q929" s="72" t="n">
        <x:f>IF(A929="",0,IF(COUNTIF($A$5:A929,A929)=1,1,0))</x:f>
        <x:v>0</x:v>
      </x:c>
      <x:c r="R929" s="64" t="str">
        <x:f>IF(A929="","",IF(F929="C929成功",IF(AND(J929&lt;&gt;"",K929&lt;&gt;"",N929&gt;0),"有证据","缺C929证据"),IF(F929="C929发货确认中",IF(AND(J929&lt;&gt;"",K929&lt;&gt;""),"有证据","缺C929证据"),IF(F929="手动完结",IF(OR(L929&lt;&gt;"",O929&lt;&gt;"",S929&lt;&gt;""),"有记录","缺手工证据"),IF(OR(F929="卖出待补仓",F929="提交结果待确认",F929="异常待处理"),"持续跟踪","检查状态")))))</x:f>
      </x:c>
      <x:c r="T929" s="64" t="str">
        <x:f>IF(A929="","",IF(COUNTIF($A$5:$A$1204,A929)&gt;1,"重复",""))</x:f>
      </x:c>
      <x:c r="U929" s="64" t="str">
        <x:f>IF(A929="","",IF(T929="重复","检查重复",IF(OR(R929="有证据",R929="有记录",R929="持续跟踪"),"可追踪","检查")))</x:f>
      </x:c>
    </x:row>
    <x:row r="930">
      <x:c r="A930" s="62"/>
      <x:c r="B930" s="62"/>
      <x:c r="C930" s="62"/>
      <x:c r="D930" s="66"/>
      <x:c r="E930" s="68"/>
      <x:c r="F930" s="62"/>
      <x:c r="G930" s="62"/>
      <x:c r="H930" s="62"/>
      <x:c r="I930" s="62"/>
      <x:c r="J930" s="62"/>
      <x:c r="K930" s="62"/>
      <x:c r="L930" s="62"/>
      <x:c r="M930" s="68"/>
      <x:c r="N930" s="68"/>
      <x:c r="O930" s="68"/>
      <x:c r="P930" s="71" t="str">
        <x:f>IF(A930="","",IF(N930&gt;0,N930,M930))</x:f>
      </x:c>
      <x:c r="Q930" s="72" t="n">
        <x:f>IF(A930="",0,IF(COUNTIF($A$5:A930,A930)=1,1,0))</x:f>
        <x:v>0</x:v>
      </x:c>
      <x:c r="R930" s="64" t="str">
        <x:f>IF(A930="","",IF(F930="C930成功",IF(AND(J930&lt;&gt;"",K930&lt;&gt;"",N930&gt;0),"有证据","缺C930证据"),IF(F930="C930发货确认中",IF(AND(J930&lt;&gt;"",K930&lt;&gt;""),"有证据","缺C930证据"),IF(F930="手动完结",IF(OR(L930&lt;&gt;"",O930&lt;&gt;"",S930&lt;&gt;""),"有记录","缺手工证据"),IF(OR(F930="卖出待补仓",F930="提交结果待确认",F930="异常待处理"),"持续跟踪","检查状态")))))</x:f>
      </x:c>
      <x:c r="T930" s="64" t="str">
        <x:f>IF(A930="","",IF(COUNTIF($A$5:$A$1204,A930)&gt;1,"重复",""))</x:f>
      </x:c>
      <x:c r="U930" s="64" t="str">
        <x:f>IF(A930="","",IF(T930="重复","检查重复",IF(OR(R930="有证据",R930="有记录",R930="持续跟踪"),"可追踪","检查")))</x:f>
      </x:c>
    </x:row>
    <x:row r="931">
      <x:c r="A931" s="62"/>
      <x:c r="B931" s="62"/>
      <x:c r="C931" s="62"/>
      <x:c r="D931" s="66"/>
      <x:c r="E931" s="68"/>
      <x:c r="F931" s="62"/>
      <x:c r="G931" s="62"/>
      <x:c r="H931" s="62"/>
      <x:c r="I931" s="62"/>
      <x:c r="J931" s="62"/>
      <x:c r="K931" s="62"/>
      <x:c r="L931" s="62"/>
      <x:c r="M931" s="68"/>
      <x:c r="N931" s="68"/>
      <x:c r="O931" s="68"/>
      <x:c r="P931" s="71" t="str">
        <x:f>IF(A931="","",IF(N931&gt;0,N931,M931))</x:f>
      </x:c>
      <x:c r="Q931" s="72" t="n">
        <x:f>IF(A931="",0,IF(COUNTIF($A$5:A931,A931)=1,1,0))</x:f>
        <x:v>0</x:v>
      </x:c>
      <x:c r="R931" s="64" t="str">
        <x:f>IF(A931="","",IF(F931="C931成功",IF(AND(J931&lt;&gt;"",K931&lt;&gt;"",N931&gt;0),"有证据","缺C931证据"),IF(F931="C931发货确认中",IF(AND(J931&lt;&gt;"",K931&lt;&gt;""),"有证据","缺C931证据"),IF(F931="手动完结",IF(OR(L931&lt;&gt;"",O931&lt;&gt;"",S931&lt;&gt;""),"有记录","缺手工证据"),IF(OR(F931="卖出待补仓",F931="提交结果待确认",F931="异常待处理"),"持续跟踪","检查状态")))))</x:f>
      </x:c>
      <x:c r="T931" s="64" t="str">
        <x:f>IF(A931="","",IF(COUNTIF($A$5:$A$1204,A931)&gt;1,"重复",""))</x:f>
      </x:c>
      <x:c r="U931" s="64" t="str">
        <x:f>IF(A931="","",IF(T931="重复","检查重复",IF(OR(R931="有证据",R931="有记录",R931="持续跟踪"),"可追踪","检查")))</x:f>
      </x:c>
    </x:row>
    <x:row r="932">
      <x:c r="A932" s="62"/>
      <x:c r="B932" s="62"/>
      <x:c r="C932" s="62"/>
      <x:c r="D932" s="66"/>
      <x:c r="E932" s="68"/>
      <x:c r="F932" s="62"/>
      <x:c r="G932" s="62"/>
      <x:c r="H932" s="62"/>
      <x:c r="I932" s="62"/>
      <x:c r="J932" s="62"/>
      <x:c r="K932" s="62"/>
      <x:c r="L932" s="62"/>
      <x:c r="M932" s="68"/>
      <x:c r="N932" s="68"/>
      <x:c r="O932" s="68"/>
      <x:c r="P932" s="71" t="str">
        <x:f>IF(A932="","",IF(N932&gt;0,N932,M932))</x:f>
      </x:c>
      <x:c r="Q932" s="72" t="n">
        <x:f>IF(A932="",0,IF(COUNTIF($A$5:A932,A932)=1,1,0))</x:f>
        <x:v>0</x:v>
      </x:c>
      <x:c r="R932" s="64" t="str">
        <x:f>IF(A932="","",IF(F932="C932成功",IF(AND(J932&lt;&gt;"",K932&lt;&gt;"",N932&gt;0),"有证据","缺C932证据"),IF(F932="C932发货确认中",IF(AND(J932&lt;&gt;"",K932&lt;&gt;""),"有证据","缺C932证据"),IF(F932="手动完结",IF(OR(L932&lt;&gt;"",O932&lt;&gt;"",S932&lt;&gt;""),"有记录","缺手工证据"),IF(OR(F932="卖出待补仓",F932="提交结果待确认",F932="异常待处理"),"持续跟踪","检查状态")))))</x:f>
      </x:c>
      <x:c r="T932" s="64" t="str">
        <x:f>IF(A932="","",IF(COUNTIF($A$5:$A$1204,A932)&gt;1,"重复",""))</x:f>
      </x:c>
      <x:c r="U932" s="64" t="str">
        <x:f>IF(A932="","",IF(T932="重复","检查重复",IF(OR(R932="有证据",R932="有记录",R932="持续跟踪"),"可追踪","检查")))</x:f>
      </x:c>
    </x:row>
    <x:row r="933">
      <x:c r="A933" s="62"/>
      <x:c r="B933" s="62"/>
      <x:c r="C933" s="62"/>
      <x:c r="D933" s="66"/>
      <x:c r="E933" s="68"/>
      <x:c r="F933" s="62"/>
      <x:c r="G933" s="62"/>
      <x:c r="H933" s="62"/>
      <x:c r="I933" s="62"/>
      <x:c r="J933" s="62"/>
      <x:c r="K933" s="62"/>
      <x:c r="L933" s="62"/>
      <x:c r="M933" s="68"/>
      <x:c r="N933" s="68"/>
      <x:c r="O933" s="68"/>
      <x:c r="P933" s="71" t="str">
        <x:f>IF(A933="","",IF(N933&gt;0,N933,M933))</x:f>
      </x:c>
      <x:c r="Q933" s="72" t="n">
        <x:f>IF(A933="",0,IF(COUNTIF($A$5:A933,A933)=1,1,0))</x:f>
        <x:v>0</x:v>
      </x:c>
      <x:c r="R933" s="64" t="str">
        <x:f>IF(A933="","",IF(F933="C933成功",IF(AND(J933&lt;&gt;"",K933&lt;&gt;"",N933&gt;0),"有证据","缺C933证据"),IF(F933="C933发货确认中",IF(AND(J933&lt;&gt;"",K933&lt;&gt;""),"有证据","缺C933证据"),IF(F933="手动完结",IF(OR(L933&lt;&gt;"",O933&lt;&gt;"",S933&lt;&gt;""),"有记录","缺手工证据"),IF(OR(F933="卖出待补仓",F933="提交结果待确认",F933="异常待处理"),"持续跟踪","检查状态")))))</x:f>
      </x:c>
      <x:c r="T933" s="64" t="str">
        <x:f>IF(A933="","",IF(COUNTIF($A$5:$A$1204,A933)&gt;1,"重复",""))</x:f>
      </x:c>
      <x:c r="U933" s="64" t="str">
        <x:f>IF(A933="","",IF(T933="重复","检查重复",IF(OR(R933="有证据",R933="有记录",R933="持续跟踪"),"可追踪","检查")))</x:f>
      </x:c>
    </x:row>
    <x:row r="934">
      <x:c r="A934" s="62"/>
      <x:c r="B934" s="62"/>
      <x:c r="C934" s="62"/>
      <x:c r="D934" s="66"/>
      <x:c r="E934" s="68"/>
      <x:c r="F934" s="62"/>
      <x:c r="G934" s="62"/>
      <x:c r="H934" s="62"/>
      <x:c r="I934" s="62"/>
      <x:c r="J934" s="62"/>
      <x:c r="K934" s="62"/>
      <x:c r="L934" s="62"/>
      <x:c r="M934" s="68"/>
      <x:c r="N934" s="68"/>
      <x:c r="O934" s="68"/>
      <x:c r="P934" s="71" t="str">
        <x:f>IF(A934="","",IF(N934&gt;0,N934,M934))</x:f>
      </x:c>
      <x:c r="Q934" s="72" t="n">
        <x:f>IF(A934="",0,IF(COUNTIF($A$5:A934,A934)=1,1,0))</x:f>
        <x:v>0</x:v>
      </x:c>
      <x:c r="R934" s="64" t="str">
        <x:f>IF(A934="","",IF(F934="C934成功",IF(AND(J934&lt;&gt;"",K934&lt;&gt;"",N934&gt;0),"有证据","缺C934证据"),IF(F934="C934发货确认中",IF(AND(J934&lt;&gt;"",K934&lt;&gt;""),"有证据","缺C934证据"),IF(F934="手动完结",IF(OR(L934&lt;&gt;"",O934&lt;&gt;"",S934&lt;&gt;""),"有记录","缺手工证据"),IF(OR(F934="卖出待补仓",F934="提交结果待确认",F934="异常待处理"),"持续跟踪","检查状态")))))</x:f>
      </x:c>
      <x:c r="T934" s="64" t="str">
        <x:f>IF(A934="","",IF(COUNTIF($A$5:$A$1204,A934)&gt;1,"重复",""))</x:f>
      </x:c>
      <x:c r="U934" s="64" t="str">
        <x:f>IF(A934="","",IF(T934="重复","检查重复",IF(OR(R934="有证据",R934="有记录",R934="持续跟踪"),"可追踪","检查")))</x:f>
      </x:c>
    </x:row>
    <x:row r="935">
      <x:c r="A935" s="62"/>
      <x:c r="B935" s="62"/>
      <x:c r="C935" s="62"/>
      <x:c r="D935" s="66"/>
      <x:c r="E935" s="68"/>
      <x:c r="F935" s="62"/>
      <x:c r="G935" s="62"/>
      <x:c r="H935" s="62"/>
      <x:c r="I935" s="62"/>
      <x:c r="J935" s="62"/>
      <x:c r="K935" s="62"/>
      <x:c r="L935" s="62"/>
      <x:c r="M935" s="68"/>
      <x:c r="N935" s="68"/>
      <x:c r="O935" s="68"/>
      <x:c r="P935" s="71" t="str">
        <x:f>IF(A935="","",IF(N935&gt;0,N935,M935))</x:f>
      </x:c>
      <x:c r="Q935" s="72" t="n">
        <x:f>IF(A935="",0,IF(COUNTIF($A$5:A935,A935)=1,1,0))</x:f>
        <x:v>0</x:v>
      </x:c>
      <x:c r="R935" s="64" t="str">
        <x:f>IF(A935="","",IF(F935="C935成功",IF(AND(J935&lt;&gt;"",K935&lt;&gt;"",N935&gt;0),"有证据","缺C935证据"),IF(F935="C935发货确认中",IF(AND(J935&lt;&gt;"",K935&lt;&gt;""),"有证据","缺C935证据"),IF(F935="手动完结",IF(OR(L935&lt;&gt;"",O935&lt;&gt;"",S935&lt;&gt;""),"有记录","缺手工证据"),IF(OR(F935="卖出待补仓",F935="提交结果待确认",F935="异常待处理"),"持续跟踪","检查状态")))))</x:f>
      </x:c>
      <x:c r="T935" s="64" t="str">
        <x:f>IF(A935="","",IF(COUNTIF($A$5:$A$1204,A935)&gt;1,"重复",""))</x:f>
      </x:c>
      <x:c r="U935" s="64" t="str">
        <x:f>IF(A935="","",IF(T935="重复","检查重复",IF(OR(R935="有证据",R935="有记录",R935="持续跟踪"),"可追踪","检查")))</x:f>
      </x:c>
    </x:row>
    <x:row r="936">
      <x:c r="A936" s="62"/>
      <x:c r="B936" s="62"/>
      <x:c r="C936" s="62"/>
      <x:c r="D936" s="66"/>
      <x:c r="E936" s="68"/>
      <x:c r="F936" s="62"/>
      <x:c r="G936" s="62"/>
      <x:c r="H936" s="62"/>
      <x:c r="I936" s="62"/>
      <x:c r="J936" s="62"/>
      <x:c r="K936" s="62"/>
      <x:c r="L936" s="62"/>
      <x:c r="M936" s="68"/>
      <x:c r="N936" s="68"/>
      <x:c r="O936" s="68"/>
      <x:c r="P936" s="71" t="str">
        <x:f>IF(A936="","",IF(N936&gt;0,N936,M936))</x:f>
      </x:c>
      <x:c r="Q936" s="72" t="n">
        <x:f>IF(A936="",0,IF(COUNTIF($A$5:A936,A936)=1,1,0))</x:f>
        <x:v>0</x:v>
      </x:c>
      <x:c r="R936" s="64" t="str">
        <x:f>IF(A936="","",IF(F936="C936成功",IF(AND(J936&lt;&gt;"",K936&lt;&gt;"",N936&gt;0),"有证据","缺C936证据"),IF(F936="C936发货确认中",IF(AND(J936&lt;&gt;"",K936&lt;&gt;""),"有证据","缺C936证据"),IF(F936="手动完结",IF(OR(L936&lt;&gt;"",O936&lt;&gt;"",S936&lt;&gt;""),"有记录","缺手工证据"),IF(OR(F936="卖出待补仓",F936="提交结果待确认",F936="异常待处理"),"持续跟踪","检查状态")))))</x:f>
      </x:c>
      <x:c r="T936" s="64" t="str">
        <x:f>IF(A936="","",IF(COUNTIF($A$5:$A$1204,A936)&gt;1,"重复",""))</x:f>
      </x:c>
      <x:c r="U936" s="64" t="str">
        <x:f>IF(A936="","",IF(T936="重复","检查重复",IF(OR(R936="有证据",R936="有记录",R936="持续跟踪"),"可追踪","检查")))</x:f>
      </x:c>
    </x:row>
    <x:row r="937">
      <x:c r="A937" s="62"/>
      <x:c r="B937" s="62"/>
      <x:c r="C937" s="62"/>
      <x:c r="D937" s="66"/>
      <x:c r="E937" s="68"/>
      <x:c r="F937" s="62"/>
      <x:c r="G937" s="62"/>
      <x:c r="H937" s="62"/>
      <x:c r="I937" s="62"/>
      <x:c r="J937" s="62"/>
      <x:c r="K937" s="62"/>
      <x:c r="L937" s="62"/>
      <x:c r="M937" s="68"/>
      <x:c r="N937" s="68"/>
      <x:c r="O937" s="68"/>
      <x:c r="P937" s="71" t="str">
        <x:f>IF(A937="","",IF(N937&gt;0,N937,M937))</x:f>
      </x:c>
      <x:c r="Q937" s="72" t="n">
        <x:f>IF(A937="",0,IF(COUNTIF($A$5:A937,A937)=1,1,0))</x:f>
        <x:v>0</x:v>
      </x:c>
      <x:c r="R937" s="64" t="str">
        <x:f>IF(A937="","",IF(F937="C937成功",IF(AND(J937&lt;&gt;"",K937&lt;&gt;"",N937&gt;0),"有证据","缺C937证据"),IF(F937="C937发货确认中",IF(AND(J937&lt;&gt;"",K937&lt;&gt;""),"有证据","缺C937证据"),IF(F937="手动完结",IF(OR(L937&lt;&gt;"",O937&lt;&gt;"",S937&lt;&gt;""),"有记录","缺手工证据"),IF(OR(F937="卖出待补仓",F937="提交结果待确认",F937="异常待处理"),"持续跟踪","检查状态")))))</x:f>
      </x:c>
      <x:c r="T937" s="64" t="str">
        <x:f>IF(A937="","",IF(COUNTIF($A$5:$A$1204,A937)&gt;1,"重复",""))</x:f>
      </x:c>
      <x:c r="U937" s="64" t="str">
        <x:f>IF(A937="","",IF(T937="重复","检查重复",IF(OR(R937="有证据",R937="有记录",R937="持续跟踪"),"可追踪","检查")))</x:f>
      </x:c>
    </x:row>
    <x:row r="938">
      <x:c r="A938" s="62"/>
      <x:c r="B938" s="62"/>
      <x:c r="C938" s="62"/>
      <x:c r="D938" s="66"/>
      <x:c r="E938" s="68"/>
      <x:c r="F938" s="62"/>
      <x:c r="G938" s="62"/>
      <x:c r="H938" s="62"/>
      <x:c r="I938" s="62"/>
      <x:c r="J938" s="62"/>
      <x:c r="K938" s="62"/>
      <x:c r="L938" s="62"/>
      <x:c r="M938" s="68"/>
      <x:c r="N938" s="68"/>
      <x:c r="O938" s="68"/>
      <x:c r="P938" s="71" t="str">
        <x:f>IF(A938="","",IF(N938&gt;0,N938,M938))</x:f>
      </x:c>
      <x:c r="Q938" s="72" t="n">
        <x:f>IF(A938="",0,IF(COUNTIF($A$5:A938,A938)=1,1,0))</x:f>
        <x:v>0</x:v>
      </x:c>
      <x:c r="R938" s="64" t="str">
        <x:f>IF(A938="","",IF(F938="C938成功",IF(AND(J938&lt;&gt;"",K938&lt;&gt;"",N938&gt;0),"有证据","缺C938证据"),IF(F938="C938发货确认中",IF(AND(J938&lt;&gt;"",K938&lt;&gt;""),"有证据","缺C938证据"),IF(F938="手动完结",IF(OR(L938&lt;&gt;"",O938&lt;&gt;"",S938&lt;&gt;""),"有记录","缺手工证据"),IF(OR(F938="卖出待补仓",F938="提交结果待确认",F938="异常待处理"),"持续跟踪","检查状态")))))</x:f>
      </x:c>
      <x:c r="T938" s="64" t="str">
        <x:f>IF(A938="","",IF(COUNTIF($A$5:$A$1204,A938)&gt;1,"重复",""))</x:f>
      </x:c>
      <x:c r="U938" s="64" t="str">
        <x:f>IF(A938="","",IF(T938="重复","检查重复",IF(OR(R938="有证据",R938="有记录",R938="持续跟踪"),"可追踪","检查")))</x:f>
      </x:c>
    </x:row>
    <x:row r="939">
      <x:c r="A939" s="62"/>
      <x:c r="B939" s="62"/>
      <x:c r="C939" s="62"/>
      <x:c r="D939" s="66"/>
      <x:c r="E939" s="68"/>
      <x:c r="F939" s="62"/>
      <x:c r="G939" s="62"/>
      <x:c r="H939" s="62"/>
      <x:c r="I939" s="62"/>
      <x:c r="J939" s="62"/>
      <x:c r="K939" s="62"/>
      <x:c r="L939" s="62"/>
      <x:c r="M939" s="68"/>
      <x:c r="N939" s="68"/>
      <x:c r="O939" s="68"/>
      <x:c r="P939" s="71" t="str">
        <x:f>IF(A939="","",IF(N939&gt;0,N939,M939))</x:f>
      </x:c>
      <x:c r="Q939" s="72" t="n">
        <x:f>IF(A939="",0,IF(COUNTIF($A$5:A939,A939)=1,1,0))</x:f>
        <x:v>0</x:v>
      </x:c>
      <x:c r="R939" s="64" t="str">
        <x:f>IF(A939="","",IF(F939="C939成功",IF(AND(J939&lt;&gt;"",K939&lt;&gt;"",N939&gt;0),"有证据","缺C939证据"),IF(F939="C939发货确认中",IF(AND(J939&lt;&gt;"",K939&lt;&gt;""),"有证据","缺C939证据"),IF(F939="手动完结",IF(OR(L939&lt;&gt;"",O939&lt;&gt;"",S939&lt;&gt;""),"有记录","缺手工证据"),IF(OR(F939="卖出待补仓",F939="提交结果待确认",F939="异常待处理"),"持续跟踪","检查状态")))))</x:f>
      </x:c>
      <x:c r="T939" s="64" t="str">
        <x:f>IF(A939="","",IF(COUNTIF($A$5:$A$1204,A939)&gt;1,"重复",""))</x:f>
      </x:c>
      <x:c r="U939" s="64" t="str">
        <x:f>IF(A939="","",IF(T939="重复","检查重复",IF(OR(R939="有证据",R939="有记录",R939="持续跟踪"),"可追踪","检查")))</x:f>
      </x:c>
    </x:row>
    <x:row r="940">
      <x:c r="A940" s="62"/>
      <x:c r="B940" s="62"/>
      <x:c r="C940" s="62"/>
      <x:c r="D940" s="66"/>
      <x:c r="E940" s="68"/>
      <x:c r="F940" s="62"/>
      <x:c r="G940" s="62"/>
      <x:c r="H940" s="62"/>
      <x:c r="I940" s="62"/>
      <x:c r="J940" s="62"/>
      <x:c r="K940" s="62"/>
      <x:c r="L940" s="62"/>
      <x:c r="M940" s="68"/>
      <x:c r="N940" s="68"/>
      <x:c r="O940" s="68"/>
      <x:c r="P940" s="71" t="str">
        <x:f>IF(A940="","",IF(N940&gt;0,N940,M940))</x:f>
      </x:c>
      <x:c r="Q940" s="72" t="n">
        <x:f>IF(A940="",0,IF(COUNTIF($A$5:A940,A940)=1,1,0))</x:f>
        <x:v>0</x:v>
      </x:c>
      <x:c r="R940" s="64" t="str">
        <x:f>IF(A940="","",IF(F940="C940成功",IF(AND(J940&lt;&gt;"",K940&lt;&gt;"",N940&gt;0),"有证据","缺C940证据"),IF(F940="C940发货确认中",IF(AND(J940&lt;&gt;"",K940&lt;&gt;""),"有证据","缺C940证据"),IF(F940="手动完结",IF(OR(L940&lt;&gt;"",O940&lt;&gt;"",S940&lt;&gt;""),"有记录","缺手工证据"),IF(OR(F940="卖出待补仓",F940="提交结果待确认",F940="异常待处理"),"持续跟踪","检查状态")))))</x:f>
      </x:c>
      <x:c r="T940" s="64" t="str">
        <x:f>IF(A940="","",IF(COUNTIF($A$5:$A$1204,A940)&gt;1,"重复",""))</x:f>
      </x:c>
      <x:c r="U940" s="64" t="str">
        <x:f>IF(A940="","",IF(T940="重复","检查重复",IF(OR(R940="有证据",R940="有记录",R940="持续跟踪"),"可追踪","检查")))</x:f>
      </x:c>
    </x:row>
    <x:row r="941">
      <x:c r="A941" s="62"/>
      <x:c r="B941" s="62"/>
      <x:c r="C941" s="62"/>
      <x:c r="D941" s="66"/>
      <x:c r="E941" s="68"/>
      <x:c r="F941" s="62"/>
      <x:c r="G941" s="62"/>
      <x:c r="H941" s="62"/>
      <x:c r="I941" s="62"/>
      <x:c r="J941" s="62"/>
      <x:c r="K941" s="62"/>
      <x:c r="L941" s="62"/>
      <x:c r="M941" s="68"/>
      <x:c r="N941" s="68"/>
      <x:c r="O941" s="68"/>
      <x:c r="P941" s="71" t="str">
        <x:f>IF(A941="","",IF(N941&gt;0,N941,M941))</x:f>
      </x:c>
      <x:c r="Q941" s="72" t="n">
        <x:f>IF(A941="",0,IF(COUNTIF($A$5:A941,A941)=1,1,0))</x:f>
        <x:v>0</x:v>
      </x:c>
      <x:c r="R941" s="64" t="str">
        <x:f>IF(A941="","",IF(F941="C941成功",IF(AND(J941&lt;&gt;"",K941&lt;&gt;"",N941&gt;0),"有证据","缺C941证据"),IF(F941="C941发货确认中",IF(AND(J941&lt;&gt;"",K941&lt;&gt;""),"有证据","缺C941证据"),IF(F941="手动完结",IF(OR(L941&lt;&gt;"",O941&lt;&gt;"",S941&lt;&gt;""),"有记录","缺手工证据"),IF(OR(F941="卖出待补仓",F941="提交结果待确认",F941="异常待处理"),"持续跟踪","检查状态")))))</x:f>
      </x:c>
      <x:c r="T941" s="64" t="str">
        <x:f>IF(A941="","",IF(COUNTIF($A$5:$A$1204,A941)&gt;1,"重复",""))</x:f>
      </x:c>
      <x:c r="U941" s="64" t="str">
        <x:f>IF(A941="","",IF(T941="重复","检查重复",IF(OR(R941="有证据",R941="有记录",R941="持续跟踪"),"可追踪","检查")))</x:f>
      </x:c>
    </x:row>
    <x:row r="942">
      <x:c r="A942" s="62"/>
      <x:c r="B942" s="62"/>
      <x:c r="C942" s="62"/>
      <x:c r="D942" s="66"/>
      <x:c r="E942" s="68"/>
      <x:c r="F942" s="62"/>
      <x:c r="G942" s="62"/>
      <x:c r="H942" s="62"/>
      <x:c r="I942" s="62"/>
      <x:c r="J942" s="62"/>
      <x:c r="K942" s="62"/>
      <x:c r="L942" s="62"/>
      <x:c r="M942" s="68"/>
      <x:c r="N942" s="68"/>
      <x:c r="O942" s="68"/>
      <x:c r="P942" s="71" t="str">
        <x:f>IF(A942="","",IF(N942&gt;0,N942,M942))</x:f>
      </x:c>
      <x:c r="Q942" s="72" t="n">
        <x:f>IF(A942="",0,IF(COUNTIF($A$5:A942,A942)=1,1,0))</x:f>
        <x:v>0</x:v>
      </x:c>
      <x:c r="R942" s="64" t="str">
        <x:f>IF(A942="","",IF(F942="C942成功",IF(AND(J942&lt;&gt;"",K942&lt;&gt;"",N942&gt;0),"有证据","缺C942证据"),IF(F942="C942发货确认中",IF(AND(J942&lt;&gt;"",K942&lt;&gt;""),"有证据","缺C942证据"),IF(F942="手动完结",IF(OR(L942&lt;&gt;"",O942&lt;&gt;"",S942&lt;&gt;""),"有记录","缺手工证据"),IF(OR(F942="卖出待补仓",F942="提交结果待确认",F942="异常待处理"),"持续跟踪","检查状态")))))</x:f>
      </x:c>
      <x:c r="T942" s="64" t="str">
        <x:f>IF(A942="","",IF(COUNTIF($A$5:$A$1204,A942)&gt;1,"重复",""))</x:f>
      </x:c>
      <x:c r="U942" s="64" t="str">
        <x:f>IF(A942="","",IF(T942="重复","检查重复",IF(OR(R942="有证据",R942="有记录",R942="持续跟踪"),"可追踪","检查")))</x:f>
      </x:c>
    </x:row>
    <x:row r="943">
      <x:c r="A943" s="62"/>
      <x:c r="B943" s="62"/>
      <x:c r="C943" s="62"/>
      <x:c r="D943" s="66"/>
      <x:c r="E943" s="68"/>
      <x:c r="F943" s="62"/>
      <x:c r="G943" s="62"/>
      <x:c r="H943" s="62"/>
      <x:c r="I943" s="62"/>
      <x:c r="J943" s="62"/>
      <x:c r="K943" s="62"/>
      <x:c r="L943" s="62"/>
      <x:c r="M943" s="68"/>
      <x:c r="N943" s="68"/>
      <x:c r="O943" s="68"/>
      <x:c r="P943" s="71" t="str">
        <x:f>IF(A943="","",IF(N943&gt;0,N943,M943))</x:f>
      </x:c>
      <x:c r="Q943" s="72" t="n">
        <x:f>IF(A943="",0,IF(COUNTIF($A$5:A943,A943)=1,1,0))</x:f>
        <x:v>0</x:v>
      </x:c>
      <x:c r="R943" s="64" t="str">
        <x:f>IF(A943="","",IF(F943="C943成功",IF(AND(J943&lt;&gt;"",K943&lt;&gt;"",N943&gt;0),"有证据","缺C943证据"),IF(F943="C943发货确认中",IF(AND(J943&lt;&gt;"",K943&lt;&gt;""),"有证据","缺C943证据"),IF(F943="手动完结",IF(OR(L943&lt;&gt;"",O943&lt;&gt;"",S943&lt;&gt;""),"有记录","缺手工证据"),IF(OR(F943="卖出待补仓",F943="提交结果待确认",F943="异常待处理"),"持续跟踪","检查状态")))))</x:f>
      </x:c>
      <x:c r="T943" s="64" t="str">
        <x:f>IF(A943="","",IF(COUNTIF($A$5:$A$1204,A943)&gt;1,"重复",""))</x:f>
      </x:c>
      <x:c r="U943" s="64" t="str">
        <x:f>IF(A943="","",IF(T943="重复","检查重复",IF(OR(R943="有证据",R943="有记录",R943="持续跟踪"),"可追踪","检查")))</x:f>
      </x:c>
    </x:row>
    <x:row r="944">
      <x:c r="A944" s="62"/>
      <x:c r="B944" s="62"/>
      <x:c r="C944" s="62"/>
      <x:c r="D944" s="66"/>
      <x:c r="E944" s="68"/>
      <x:c r="F944" s="62"/>
      <x:c r="G944" s="62"/>
      <x:c r="H944" s="62"/>
      <x:c r="I944" s="62"/>
      <x:c r="J944" s="62"/>
      <x:c r="K944" s="62"/>
      <x:c r="L944" s="62"/>
      <x:c r="M944" s="68"/>
      <x:c r="N944" s="68"/>
      <x:c r="O944" s="68"/>
      <x:c r="P944" s="71" t="str">
        <x:f>IF(A944="","",IF(N944&gt;0,N944,M944))</x:f>
      </x:c>
      <x:c r="Q944" s="72" t="n">
        <x:f>IF(A944="",0,IF(COUNTIF($A$5:A944,A944)=1,1,0))</x:f>
        <x:v>0</x:v>
      </x:c>
      <x:c r="R944" s="64" t="str">
        <x:f>IF(A944="","",IF(F944="C944成功",IF(AND(J944&lt;&gt;"",K944&lt;&gt;"",N944&gt;0),"有证据","缺C944证据"),IF(F944="C944发货确认中",IF(AND(J944&lt;&gt;"",K944&lt;&gt;""),"有证据","缺C944证据"),IF(F944="手动完结",IF(OR(L944&lt;&gt;"",O944&lt;&gt;"",S944&lt;&gt;""),"有记录","缺手工证据"),IF(OR(F944="卖出待补仓",F944="提交结果待确认",F944="异常待处理"),"持续跟踪","检查状态")))))</x:f>
      </x:c>
      <x:c r="T944" s="64" t="str">
        <x:f>IF(A944="","",IF(COUNTIF($A$5:$A$1204,A944)&gt;1,"重复",""))</x:f>
      </x:c>
      <x:c r="U944" s="64" t="str">
        <x:f>IF(A944="","",IF(T944="重复","检查重复",IF(OR(R944="有证据",R944="有记录",R944="持续跟踪"),"可追踪","检查")))</x:f>
      </x:c>
    </x:row>
    <x:row r="945">
      <x:c r="A945" s="62"/>
      <x:c r="B945" s="62"/>
      <x:c r="C945" s="62"/>
      <x:c r="D945" s="66"/>
      <x:c r="E945" s="68"/>
      <x:c r="F945" s="62"/>
      <x:c r="G945" s="62"/>
      <x:c r="H945" s="62"/>
      <x:c r="I945" s="62"/>
      <x:c r="J945" s="62"/>
      <x:c r="K945" s="62"/>
      <x:c r="L945" s="62"/>
      <x:c r="M945" s="68"/>
      <x:c r="N945" s="68"/>
      <x:c r="O945" s="68"/>
      <x:c r="P945" s="71" t="str">
        <x:f>IF(A945="","",IF(N945&gt;0,N945,M945))</x:f>
      </x:c>
      <x:c r="Q945" s="72" t="n">
        <x:f>IF(A945="",0,IF(COUNTIF($A$5:A945,A945)=1,1,0))</x:f>
        <x:v>0</x:v>
      </x:c>
      <x:c r="R945" s="64" t="str">
        <x:f>IF(A945="","",IF(F945="C945成功",IF(AND(J945&lt;&gt;"",K945&lt;&gt;"",N945&gt;0),"有证据","缺C945证据"),IF(F945="C945发货确认中",IF(AND(J945&lt;&gt;"",K945&lt;&gt;""),"有证据","缺C945证据"),IF(F945="手动完结",IF(OR(L945&lt;&gt;"",O945&lt;&gt;"",S945&lt;&gt;""),"有记录","缺手工证据"),IF(OR(F945="卖出待补仓",F945="提交结果待确认",F945="异常待处理"),"持续跟踪","检查状态")))))</x:f>
      </x:c>
      <x:c r="T945" s="64" t="str">
        <x:f>IF(A945="","",IF(COUNTIF($A$5:$A$1204,A945)&gt;1,"重复",""))</x:f>
      </x:c>
      <x:c r="U945" s="64" t="str">
        <x:f>IF(A945="","",IF(T945="重复","检查重复",IF(OR(R945="有证据",R945="有记录",R945="持续跟踪"),"可追踪","检查")))</x:f>
      </x:c>
    </x:row>
    <x:row r="946">
      <x:c r="A946" s="62"/>
      <x:c r="B946" s="62"/>
      <x:c r="C946" s="62"/>
      <x:c r="D946" s="66"/>
      <x:c r="E946" s="68"/>
      <x:c r="F946" s="62"/>
      <x:c r="G946" s="62"/>
      <x:c r="H946" s="62"/>
      <x:c r="I946" s="62"/>
      <x:c r="J946" s="62"/>
      <x:c r="K946" s="62"/>
      <x:c r="L946" s="62"/>
      <x:c r="M946" s="68"/>
      <x:c r="N946" s="68"/>
      <x:c r="O946" s="68"/>
      <x:c r="P946" s="71" t="str">
        <x:f>IF(A946="","",IF(N946&gt;0,N946,M946))</x:f>
      </x:c>
      <x:c r="Q946" s="72" t="n">
        <x:f>IF(A946="",0,IF(COUNTIF($A$5:A946,A946)=1,1,0))</x:f>
        <x:v>0</x:v>
      </x:c>
      <x:c r="R946" s="64" t="str">
        <x:f>IF(A946="","",IF(F946="C946成功",IF(AND(J946&lt;&gt;"",K946&lt;&gt;"",N946&gt;0),"有证据","缺C946证据"),IF(F946="C946发货确认中",IF(AND(J946&lt;&gt;"",K946&lt;&gt;""),"有证据","缺C946证据"),IF(F946="手动完结",IF(OR(L946&lt;&gt;"",O946&lt;&gt;"",S946&lt;&gt;""),"有记录","缺手工证据"),IF(OR(F946="卖出待补仓",F946="提交结果待确认",F946="异常待处理"),"持续跟踪","检查状态")))))</x:f>
      </x:c>
      <x:c r="T946" s="64" t="str">
        <x:f>IF(A946="","",IF(COUNTIF($A$5:$A$1204,A946)&gt;1,"重复",""))</x:f>
      </x:c>
      <x:c r="U946" s="64" t="str">
        <x:f>IF(A946="","",IF(T946="重复","检查重复",IF(OR(R946="有证据",R946="有记录",R946="持续跟踪"),"可追踪","检查")))</x:f>
      </x:c>
    </x:row>
    <x:row r="947">
      <x:c r="A947" s="62"/>
      <x:c r="B947" s="62"/>
      <x:c r="C947" s="62"/>
      <x:c r="D947" s="66"/>
      <x:c r="E947" s="68"/>
      <x:c r="F947" s="62"/>
      <x:c r="G947" s="62"/>
      <x:c r="H947" s="62"/>
      <x:c r="I947" s="62"/>
      <x:c r="J947" s="62"/>
      <x:c r="K947" s="62"/>
      <x:c r="L947" s="62"/>
      <x:c r="M947" s="68"/>
      <x:c r="N947" s="68"/>
      <x:c r="O947" s="68"/>
      <x:c r="P947" s="71" t="str">
        <x:f>IF(A947="","",IF(N947&gt;0,N947,M947))</x:f>
      </x:c>
      <x:c r="Q947" s="72" t="n">
        <x:f>IF(A947="",0,IF(COUNTIF($A$5:A947,A947)=1,1,0))</x:f>
        <x:v>0</x:v>
      </x:c>
      <x:c r="R947" s="64" t="str">
        <x:f>IF(A947="","",IF(F947="C947成功",IF(AND(J947&lt;&gt;"",K947&lt;&gt;"",N947&gt;0),"有证据","缺C947证据"),IF(F947="C947发货确认中",IF(AND(J947&lt;&gt;"",K947&lt;&gt;""),"有证据","缺C947证据"),IF(F947="手动完结",IF(OR(L947&lt;&gt;"",O947&lt;&gt;"",S947&lt;&gt;""),"有记录","缺手工证据"),IF(OR(F947="卖出待补仓",F947="提交结果待确认",F947="异常待处理"),"持续跟踪","检查状态")))))</x:f>
      </x:c>
      <x:c r="T947" s="64" t="str">
        <x:f>IF(A947="","",IF(COUNTIF($A$5:$A$1204,A947)&gt;1,"重复",""))</x:f>
      </x:c>
      <x:c r="U947" s="64" t="str">
        <x:f>IF(A947="","",IF(T947="重复","检查重复",IF(OR(R947="有证据",R947="有记录",R947="持续跟踪"),"可追踪","检查")))</x:f>
      </x:c>
    </x:row>
    <x:row r="948">
      <x:c r="A948" s="62"/>
      <x:c r="B948" s="62"/>
      <x:c r="C948" s="62"/>
      <x:c r="D948" s="66"/>
      <x:c r="E948" s="68"/>
      <x:c r="F948" s="62"/>
      <x:c r="G948" s="62"/>
      <x:c r="H948" s="62"/>
      <x:c r="I948" s="62"/>
      <x:c r="J948" s="62"/>
      <x:c r="K948" s="62"/>
      <x:c r="L948" s="62"/>
      <x:c r="M948" s="68"/>
      <x:c r="N948" s="68"/>
      <x:c r="O948" s="68"/>
      <x:c r="P948" s="71" t="str">
        <x:f>IF(A948="","",IF(N948&gt;0,N948,M948))</x:f>
      </x:c>
      <x:c r="Q948" s="72" t="n">
        <x:f>IF(A948="",0,IF(COUNTIF($A$5:A948,A948)=1,1,0))</x:f>
        <x:v>0</x:v>
      </x:c>
      <x:c r="R948" s="64" t="str">
        <x:f>IF(A948="","",IF(F948="C948成功",IF(AND(J948&lt;&gt;"",K948&lt;&gt;"",N948&gt;0),"有证据","缺C948证据"),IF(F948="C948发货确认中",IF(AND(J948&lt;&gt;"",K948&lt;&gt;""),"有证据","缺C948证据"),IF(F948="手动完结",IF(OR(L948&lt;&gt;"",O948&lt;&gt;"",S948&lt;&gt;""),"有记录","缺手工证据"),IF(OR(F948="卖出待补仓",F948="提交结果待确认",F948="异常待处理"),"持续跟踪","检查状态")))))</x:f>
      </x:c>
      <x:c r="T948" s="64" t="str">
        <x:f>IF(A948="","",IF(COUNTIF($A$5:$A$1204,A948)&gt;1,"重复",""))</x:f>
      </x:c>
      <x:c r="U948" s="64" t="str">
        <x:f>IF(A948="","",IF(T948="重复","检查重复",IF(OR(R948="有证据",R948="有记录",R948="持续跟踪"),"可追踪","检查")))</x:f>
      </x:c>
    </x:row>
    <x:row r="949">
      <x:c r="A949" s="62"/>
      <x:c r="B949" s="62"/>
      <x:c r="C949" s="62"/>
      <x:c r="D949" s="66"/>
      <x:c r="E949" s="68"/>
      <x:c r="F949" s="62"/>
      <x:c r="G949" s="62"/>
      <x:c r="H949" s="62"/>
      <x:c r="I949" s="62"/>
      <x:c r="J949" s="62"/>
      <x:c r="K949" s="62"/>
      <x:c r="L949" s="62"/>
      <x:c r="M949" s="68"/>
      <x:c r="N949" s="68"/>
      <x:c r="O949" s="68"/>
      <x:c r="P949" s="71" t="str">
        <x:f>IF(A949="","",IF(N949&gt;0,N949,M949))</x:f>
      </x:c>
      <x:c r="Q949" s="72" t="n">
        <x:f>IF(A949="",0,IF(COUNTIF($A$5:A949,A949)=1,1,0))</x:f>
        <x:v>0</x:v>
      </x:c>
      <x:c r="R949" s="64" t="str">
        <x:f>IF(A949="","",IF(F949="C949成功",IF(AND(J949&lt;&gt;"",K949&lt;&gt;"",N949&gt;0),"有证据","缺C949证据"),IF(F949="C949发货确认中",IF(AND(J949&lt;&gt;"",K949&lt;&gt;""),"有证据","缺C949证据"),IF(F949="手动完结",IF(OR(L949&lt;&gt;"",O949&lt;&gt;"",S949&lt;&gt;""),"有记录","缺手工证据"),IF(OR(F949="卖出待补仓",F949="提交结果待确认",F949="异常待处理"),"持续跟踪","检查状态")))))</x:f>
      </x:c>
      <x:c r="T949" s="64" t="str">
        <x:f>IF(A949="","",IF(COUNTIF($A$5:$A$1204,A949)&gt;1,"重复",""))</x:f>
      </x:c>
      <x:c r="U949" s="64" t="str">
        <x:f>IF(A949="","",IF(T949="重复","检查重复",IF(OR(R949="有证据",R949="有记录",R949="持续跟踪"),"可追踪","检查")))</x:f>
      </x:c>
    </x:row>
    <x:row r="950">
      <x:c r="A950" s="62"/>
      <x:c r="B950" s="62"/>
      <x:c r="C950" s="62"/>
      <x:c r="D950" s="66"/>
      <x:c r="E950" s="68"/>
      <x:c r="F950" s="62"/>
      <x:c r="G950" s="62"/>
      <x:c r="H950" s="62"/>
      <x:c r="I950" s="62"/>
      <x:c r="J950" s="62"/>
      <x:c r="K950" s="62"/>
      <x:c r="L950" s="62"/>
      <x:c r="M950" s="68"/>
      <x:c r="N950" s="68"/>
      <x:c r="O950" s="68"/>
      <x:c r="P950" s="71" t="str">
        <x:f>IF(A950="","",IF(N950&gt;0,N950,M950))</x:f>
      </x:c>
      <x:c r="Q950" s="72" t="n">
        <x:f>IF(A950="",0,IF(COUNTIF($A$5:A950,A950)=1,1,0))</x:f>
        <x:v>0</x:v>
      </x:c>
      <x:c r="R950" s="64" t="str">
        <x:f>IF(A950="","",IF(F950="C950成功",IF(AND(J950&lt;&gt;"",K950&lt;&gt;"",N950&gt;0),"有证据","缺C950证据"),IF(F950="C950发货确认中",IF(AND(J950&lt;&gt;"",K950&lt;&gt;""),"有证据","缺C950证据"),IF(F950="手动完结",IF(OR(L950&lt;&gt;"",O950&lt;&gt;"",S950&lt;&gt;""),"有记录","缺手工证据"),IF(OR(F950="卖出待补仓",F950="提交结果待确认",F950="异常待处理"),"持续跟踪","检查状态")))))</x:f>
      </x:c>
      <x:c r="T950" s="64" t="str">
        <x:f>IF(A950="","",IF(COUNTIF($A$5:$A$1204,A950)&gt;1,"重复",""))</x:f>
      </x:c>
      <x:c r="U950" s="64" t="str">
        <x:f>IF(A950="","",IF(T950="重复","检查重复",IF(OR(R950="有证据",R950="有记录",R950="持续跟踪"),"可追踪","检查")))</x:f>
      </x:c>
    </x:row>
    <x:row r="951">
      <x:c r="A951" s="62"/>
      <x:c r="B951" s="62"/>
      <x:c r="C951" s="62"/>
      <x:c r="D951" s="66"/>
      <x:c r="E951" s="68"/>
      <x:c r="F951" s="62"/>
      <x:c r="G951" s="62"/>
      <x:c r="H951" s="62"/>
      <x:c r="I951" s="62"/>
      <x:c r="J951" s="62"/>
      <x:c r="K951" s="62"/>
      <x:c r="L951" s="62"/>
      <x:c r="M951" s="68"/>
      <x:c r="N951" s="68"/>
      <x:c r="O951" s="68"/>
      <x:c r="P951" s="71" t="str">
        <x:f>IF(A951="","",IF(N951&gt;0,N951,M951))</x:f>
      </x:c>
      <x:c r="Q951" s="72" t="n">
        <x:f>IF(A951="",0,IF(COUNTIF($A$5:A951,A951)=1,1,0))</x:f>
        <x:v>0</x:v>
      </x:c>
      <x:c r="R951" s="64" t="str">
        <x:f>IF(A951="","",IF(F951="C951成功",IF(AND(J951&lt;&gt;"",K951&lt;&gt;"",N951&gt;0),"有证据","缺C951证据"),IF(F951="C951发货确认中",IF(AND(J951&lt;&gt;"",K951&lt;&gt;""),"有证据","缺C951证据"),IF(F951="手动完结",IF(OR(L951&lt;&gt;"",O951&lt;&gt;"",S951&lt;&gt;""),"有记录","缺手工证据"),IF(OR(F951="卖出待补仓",F951="提交结果待确认",F951="异常待处理"),"持续跟踪","检查状态")))))</x:f>
      </x:c>
      <x:c r="T951" s="64" t="str">
        <x:f>IF(A951="","",IF(COUNTIF($A$5:$A$1204,A951)&gt;1,"重复",""))</x:f>
      </x:c>
      <x:c r="U951" s="64" t="str">
        <x:f>IF(A951="","",IF(T951="重复","检查重复",IF(OR(R951="有证据",R951="有记录",R951="持续跟踪"),"可追踪","检查")))</x:f>
      </x:c>
    </x:row>
    <x:row r="952">
      <x:c r="A952" s="62"/>
      <x:c r="B952" s="62"/>
      <x:c r="C952" s="62"/>
      <x:c r="D952" s="66"/>
      <x:c r="E952" s="68"/>
      <x:c r="F952" s="62"/>
      <x:c r="G952" s="62"/>
      <x:c r="H952" s="62"/>
      <x:c r="I952" s="62"/>
      <x:c r="J952" s="62"/>
      <x:c r="K952" s="62"/>
      <x:c r="L952" s="62"/>
      <x:c r="M952" s="68"/>
      <x:c r="N952" s="68"/>
      <x:c r="O952" s="68"/>
      <x:c r="P952" s="71" t="str">
        <x:f>IF(A952="","",IF(N952&gt;0,N952,M952))</x:f>
      </x:c>
      <x:c r="Q952" s="72" t="n">
        <x:f>IF(A952="",0,IF(COUNTIF($A$5:A952,A952)=1,1,0))</x:f>
        <x:v>0</x:v>
      </x:c>
      <x:c r="R952" s="64" t="str">
        <x:f>IF(A952="","",IF(F952="C952成功",IF(AND(J952&lt;&gt;"",K952&lt;&gt;"",N952&gt;0),"有证据","缺C952证据"),IF(F952="C952发货确认中",IF(AND(J952&lt;&gt;"",K952&lt;&gt;""),"有证据","缺C952证据"),IF(F952="手动完结",IF(OR(L952&lt;&gt;"",O952&lt;&gt;"",S952&lt;&gt;""),"有记录","缺手工证据"),IF(OR(F952="卖出待补仓",F952="提交结果待确认",F952="异常待处理"),"持续跟踪","检查状态")))))</x:f>
      </x:c>
      <x:c r="T952" s="64" t="str">
        <x:f>IF(A952="","",IF(COUNTIF($A$5:$A$1204,A952)&gt;1,"重复",""))</x:f>
      </x:c>
      <x:c r="U952" s="64" t="str">
        <x:f>IF(A952="","",IF(T952="重复","检查重复",IF(OR(R952="有证据",R952="有记录",R952="持续跟踪"),"可追踪","检查")))</x:f>
      </x:c>
    </x:row>
    <x:row r="953">
      <x:c r="A953" s="62"/>
      <x:c r="B953" s="62"/>
      <x:c r="C953" s="62"/>
      <x:c r="D953" s="66"/>
      <x:c r="E953" s="68"/>
      <x:c r="F953" s="62"/>
      <x:c r="G953" s="62"/>
      <x:c r="H953" s="62"/>
      <x:c r="I953" s="62"/>
      <x:c r="J953" s="62"/>
      <x:c r="K953" s="62"/>
      <x:c r="L953" s="62"/>
      <x:c r="M953" s="68"/>
      <x:c r="N953" s="68"/>
      <x:c r="O953" s="68"/>
      <x:c r="P953" s="71" t="str">
        <x:f>IF(A953="","",IF(N953&gt;0,N953,M953))</x:f>
      </x:c>
      <x:c r="Q953" s="72" t="n">
        <x:f>IF(A953="",0,IF(COUNTIF($A$5:A953,A953)=1,1,0))</x:f>
        <x:v>0</x:v>
      </x:c>
      <x:c r="R953" s="64" t="str">
        <x:f>IF(A953="","",IF(F953="C953成功",IF(AND(J953&lt;&gt;"",K953&lt;&gt;"",N953&gt;0),"有证据","缺C953证据"),IF(F953="C953发货确认中",IF(AND(J953&lt;&gt;"",K953&lt;&gt;""),"有证据","缺C953证据"),IF(F953="手动完结",IF(OR(L953&lt;&gt;"",O953&lt;&gt;"",S953&lt;&gt;""),"有记录","缺手工证据"),IF(OR(F953="卖出待补仓",F953="提交结果待确认",F953="异常待处理"),"持续跟踪","检查状态")))))</x:f>
      </x:c>
      <x:c r="T953" s="64" t="str">
        <x:f>IF(A953="","",IF(COUNTIF($A$5:$A$1204,A953)&gt;1,"重复",""))</x:f>
      </x:c>
      <x:c r="U953" s="64" t="str">
        <x:f>IF(A953="","",IF(T953="重复","检查重复",IF(OR(R953="有证据",R953="有记录",R953="持续跟踪"),"可追踪","检查")))</x:f>
      </x:c>
    </x:row>
    <x:row r="954">
      <x:c r="A954" s="62"/>
      <x:c r="B954" s="62"/>
      <x:c r="C954" s="62"/>
      <x:c r="D954" s="66"/>
      <x:c r="E954" s="68"/>
      <x:c r="F954" s="62"/>
      <x:c r="G954" s="62"/>
      <x:c r="H954" s="62"/>
      <x:c r="I954" s="62"/>
      <x:c r="J954" s="62"/>
      <x:c r="K954" s="62"/>
      <x:c r="L954" s="62"/>
      <x:c r="M954" s="68"/>
      <x:c r="N954" s="68"/>
      <x:c r="O954" s="68"/>
      <x:c r="P954" s="71" t="str">
        <x:f>IF(A954="","",IF(N954&gt;0,N954,M954))</x:f>
      </x:c>
      <x:c r="Q954" s="72" t="n">
        <x:f>IF(A954="",0,IF(COUNTIF($A$5:A954,A954)=1,1,0))</x:f>
        <x:v>0</x:v>
      </x:c>
      <x:c r="R954" s="64" t="str">
        <x:f>IF(A954="","",IF(F954="C954成功",IF(AND(J954&lt;&gt;"",K954&lt;&gt;"",N954&gt;0),"有证据","缺C954证据"),IF(F954="C954发货确认中",IF(AND(J954&lt;&gt;"",K954&lt;&gt;""),"有证据","缺C954证据"),IF(F954="手动完结",IF(OR(L954&lt;&gt;"",O954&lt;&gt;"",S954&lt;&gt;""),"有记录","缺手工证据"),IF(OR(F954="卖出待补仓",F954="提交结果待确认",F954="异常待处理"),"持续跟踪","检查状态")))))</x:f>
      </x:c>
      <x:c r="T954" s="64" t="str">
        <x:f>IF(A954="","",IF(COUNTIF($A$5:$A$1204,A954)&gt;1,"重复",""))</x:f>
      </x:c>
      <x:c r="U954" s="64" t="str">
        <x:f>IF(A954="","",IF(T954="重复","检查重复",IF(OR(R954="有证据",R954="有记录",R954="持续跟踪"),"可追踪","检查")))</x:f>
      </x:c>
    </x:row>
    <x:row r="955">
      <x:c r="A955" s="62"/>
      <x:c r="B955" s="62"/>
      <x:c r="C955" s="62"/>
      <x:c r="D955" s="66"/>
      <x:c r="E955" s="68"/>
      <x:c r="F955" s="62"/>
      <x:c r="G955" s="62"/>
      <x:c r="H955" s="62"/>
      <x:c r="I955" s="62"/>
      <x:c r="J955" s="62"/>
      <x:c r="K955" s="62"/>
      <x:c r="L955" s="62"/>
      <x:c r="M955" s="68"/>
      <x:c r="N955" s="68"/>
      <x:c r="O955" s="68"/>
      <x:c r="P955" s="71" t="str">
        <x:f>IF(A955="","",IF(N955&gt;0,N955,M955))</x:f>
      </x:c>
      <x:c r="Q955" s="72" t="n">
        <x:f>IF(A955="",0,IF(COUNTIF($A$5:A955,A955)=1,1,0))</x:f>
        <x:v>0</x:v>
      </x:c>
      <x:c r="R955" s="64" t="str">
        <x:f>IF(A955="","",IF(F955="C955成功",IF(AND(J955&lt;&gt;"",K955&lt;&gt;"",N955&gt;0),"有证据","缺C955证据"),IF(F955="C955发货确认中",IF(AND(J955&lt;&gt;"",K955&lt;&gt;""),"有证据","缺C955证据"),IF(F955="手动完结",IF(OR(L955&lt;&gt;"",O955&lt;&gt;"",S955&lt;&gt;""),"有记录","缺手工证据"),IF(OR(F955="卖出待补仓",F955="提交结果待确认",F955="异常待处理"),"持续跟踪","检查状态")))))</x:f>
      </x:c>
      <x:c r="T955" s="64" t="str">
        <x:f>IF(A955="","",IF(COUNTIF($A$5:$A$1204,A955)&gt;1,"重复",""))</x:f>
      </x:c>
      <x:c r="U955" s="64" t="str">
        <x:f>IF(A955="","",IF(T955="重复","检查重复",IF(OR(R955="有证据",R955="有记录",R955="持续跟踪"),"可追踪","检查")))</x:f>
      </x:c>
    </x:row>
    <x:row r="956">
      <x:c r="A956" s="62"/>
      <x:c r="B956" s="62"/>
      <x:c r="C956" s="62"/>
      <x:c r="D956" s="66"/>
      <x:c r="E956" s="68"/>
      <x:c r="F956" s="62"/>
      <x:c r="G956" s="62"/>
      <x:c r="H956" s="62"/>
      <x:c r="I956" s="62"/>
      <x:c r="J956" s="62"/>
      <x:c r="K956" s="62"/>
      <x:c r="L956" s="62"/>
      <x:c r="M956" s="68"/>
      <x:c r="N956" s="68"/>
      <x:c r="O956" s="68"/>
      <x:c r="P956" s="71" t="str">
        <x:f>IF(A956="","",IF(N956&gt;0,N956,M956))</x:f>
      </x:c>
      <x:c r="Q956" s="72" t="n">
        <x:f>IF(A956="",0,IF(COUNTIF($A$5:A956,A956)=1,1,0))</x:f>
        <x:v>0</x:v>
      </x:c>
      <x:c r="R956" s="64" t="str">
        <x:f>IF(A956="","",IF(F956="C956成功",IF(AND(J956&lt;&gt;"",K956&lt;&gt;"",N956&gt;0),"有证据","缺C956证据"),IF(F956="C956发货确认中",IF(AND(J956&lt;&gt;"",K956&lt;&gt;""),"有证据","缺C956证据"),IF(F956="手动完结",IF(OR(L956&lt;&gt;"",O956&lt;&gt;"",S956&lt;&gt;""),"有记录","缺手工证据"),IF(OR(F956="卖出待补仓",F956="提交结果待确认",F956="异常待处理"),"持续跟踪","检查状态")))))</x:f>
      </x:c>
      <x:c r="T956" s="64" t="str">
        <x:f>IF(A956="","",IF(COUNTIF($A$5:$A$1204,A956)&gt;1,"重复",""))</x:f>
      </x:c>
      <x:c r="U956" s="64" t="str">
        <x:f>IF(A956="","",IF(T956="重复","检查重复",IF(OR(R956="有证据",R956="有记录",R956="持续跟踪"),"可追踪","检查")))</x:f>
      </x:c>
    </x:row>
    <x:row r="957">
      <x:c r="A957" s="62"/>
      <x:c r="B957" s="62"/>
      <x:c r="C957" s="62"/>
      <x:c r="D957" s="66"/>
      <x:c r="E957" s="68"/>
      <x:c r="F957" s="62"/>
      <x:c r="G957" s="62"/>
      <x:c r="H957" s="62"/>
      <x:c r="I957" s="62"/>
      <x:c r="J957" s="62"/>
      <x:c r="K957" s="62"/>
      <x:c r="L957" s="62"/>
      <x:c r="M957" s="68"/>
      <x:c r="N957" s="68"/>
      <x:c r="O957" s="68"/>
      <x:c r="P957" s="71" t="str">
        <x:f>IF(A957="","",IF(N957&gt;0,N957,M957))</x:f>
      </x:c>
      <x:c r="Q957" s="72" t="n">
        <x:f>IF(A957="",0,IF(COUNTIF($A$5:A957,A957)=1,1,0))</x:f>
        <x:v>0</x:v>
      </x:c>
      <x:c r="R957" s="64" t="str">
        <x:f>IF(A957="","",IF(F957="C957成功",IF(AND(J957&lt;&gt;"",K957&lt;&gt;"",N957&gt;0),"有证据","缺C957证据"),IF(F957="C957发货确认中",IF(AND(J957&lt;&gt;"",K957&lt;&gt;""),"有证据","缺C957证据"),IF(F957="手动完结",IF(OR(L957&lt;&gt;"",O957&lt;&gt;"",S957&lt;&gt;""),"有记录","缺手工证据"),IF(OR(F957="卖出待补仓",F957="提交结果待确认",F957="异常待处理"),"持续跟踪","检查状态")))))</x:f>
      </x:c>
      <x:c r="T957" s="64" t="str">
        <x:f>IF(A957="","",IF(COUNTIF($A$5:$A$1204,A957)&gt;1,"重复",""))</x:f>
      </x:c>
      <x:c r="U957" s="64" t="str">
        <x:f>IF(A957="","",IF(T957="重复","检查重复",IF(OR(R957="有证据",R957="有记录",R957="持续跟踪"),"可追踪","检查")))</x:f>
      </x:c>
    </x:row>
    <x:row r="958">
      <x:c r="A958" s="62"/>
      <x:c r="B958" s="62"/>
      <x:c r="C958" s="62"/>
      <x:c r="D958" s="66"/>
      <x:c r="E958" s="68"/>
      <x:c r="F958" s="62"/>
      <x:c r="G958" s="62"/>
      <x:c r="H958" s="62"/>
      <x:c r="I958" s="62"/>
      <x:c r="J958" s="62"/>
      <x:c r="K958" s="62"/>
      <x:c r="L958" s="62"/>
      <x:c r="M958" s="68"/>
      <x:c r="N958" s="68"/>
      <x:c r="O958" s="68"/>
      <x:c r="P958" s="71" t="str">
        <x:f>IF(A958="","",IF(N958&gt;0,N958,M958))</x:f>
      </x:c>
      <x:c r="Q958" s="72" t="n">
        <x:f>IF(A958="",0,IF(COUNTIF($A$5:A958,A958)=1,1,0))</x:f>
        <x:v>0</x:v>
      </x:c>
      <x:c r="R958" s="64" t="str">
        <x:f>IF(A958="","",IF(F958="C958成功",IF(AND(J958&lt;&gt;"",K958&lt;&gt;"",N958&gt;0),"有证据","缺C958证据"),IF(F958="C958发货确认中",IF(AND(J958&lt;&gt;"",K958&lt;&gt;""),"有证据","缺C958证据"),IF(F958="手动完结",IF(OR(L958&lt;&gt;"",O958&lt;&gt;"",S958&lt;&gt;""),"有记录","缺手工证据"),IF(OR(F958="卖出待补仓",F958="提交结果待确认",F958="异常待处理"),"持续跟踪","检查状态")))))</x:f>
      </x:c>
      <x:c r="T958" s="64" t="str">
        <x:f>IF(A958="","",IF(COUNTIF($A$5:$A$1204,A958)&gt;1,"重复",""))</x:f>
      </x:c>
      <x:c r="U958" s="64" t="str">
        <x:f>IF(A958="","",IF(T958="重复","检查重复",IF(OR(R958="有证据",R958="有记录",R958="持续跟踪"),"可追踪","检查")))</x:f>
      </x:c>
    </x:row>
    <x:row r="959">
      <x:c r="A959" s="62"/>
      <x:c r="B959" s="62"/>
      <x:c r="C959" s="62"/>
      <x:c r="D959" s="66"/>
      <x:c r="E959" s="68"/>
      <x:c r="F959" s="62"/>
      <x:c r="G959" s="62"/>
      <x:c r="H959" s="62"/>
      <x:c r="I959" s="62"/>
      <x:c r="J959" s="62"/>
      <x:c r="K959" s="62"/>
      <x:c r="L959" s="62"/>
      <x:c r="M959" s="68"/>
      <x:c r="N959" s="68"/>
      <x:c r="O959" s="68"/>
      <x:c r="P959" s="71" t="str">
        <x:f>IF(A959="","",IF(N959&gt;0,N959,M959))</x:f>
      </x:c>
      <x:c r="Q959" s="72" t="n">
        <x:f>IF(A959="",0,IF(COUNTIF($A$5:A959,A959)=1,1,0))</x:f>
        <x:v>0</x:v>
      </x:c>
      <x:c r="R959" s="64" t="str">
        <x:f>IF(A959="","",IF(F959="C959成功",IF(AND(J959&lt;&gt;"",K959&lt;&gt;"",N959&gt;0),"有证据","缺C959证据"),IF(F959="C959发货确认中",IF(AND(J959&lt;&gt;"",K959&lt;&gt;""),"有证据","缺C959证据"),IF(F959="手动完结",IF(OR(L959&lt;&gt;"",O959&lt;&gt;"",S959&lt;&gt;""),"有记录","缺手工证据"),IF(OR(F959="卖出待补仓",F959="提交结果待确认",F959="异常待处理"),"持续跟踪","检查状态")))))</x:f>
      </x:c>
      <x:c r="T959" s="64" t="str">
        <x:f>IF(A959="","",IF(COUNTIF($A$5:$A$1204,A959)&gt;1,"重复",""))</x:f>
      </x:c>
      <x:c r="U959" s="64" t="str">
        <x:f>IF(A959="","",IF(T959="重复","检查重复",IF(OR(R959="有证据",R959="有记录",R959="持续跟踪"),"可追踪","检查")))</x:f>
      </x:c>
    </x:row>
    <x:row r="960">
      <x:c r="A960" s="62"/>
      <x:c r="B960" s="62"/>
      <x:c r="C960" s="62"/>
      <x:c r="D960" s="66"/>
      <x:c r="E960" s="68"/>
      <x:c r="F960" s="62"/>
      <x:c r="G960" s="62"/>
      <x:c r="H960" s="62"/>
      <x:c r="I960" s="62"/>
      <x:c r="J960" s="62"/>
      <x:c r="K960" s="62"/>
      <x:c r="L960" s="62"/>
      <x:c r="M960" s="68"/>
      <x:c r="N960" s="68"/>
      <x:c r="O960" s="68"/>
      <x:c r="P960" s="71" t="str">
        <x:f>IF(A960="","",IF(N960&gt;0,N960,M960))</x:f>
      </x:c>
      <x:c r="Q960" s="72" t="n">
        <x:f>IF(A960="",0,IF(COUNTIF($A$5:A960,A960)=1,1,0))</x:f>
        <x:v>0</x:v>
      </x:c>
      <x:c r="R960" s="64" t="str">
        <x:f>IF(A960="","",IF(F960="C960成功",IF(AND(J960&lt;&gt;"",K960&lt;&gt;"",N960&gt;0),"有证据","缺C960证据"),IF(F960="C960发货确认中",IF(AND(J960&lt;&gt;"",K960&lt;&gt;""),"有证据","缺C960证据"),IF(F960="手动完结",IF(OR(L960&lt;&gt;"",O960&lt;&gt;"",S960&lt;&gt;""),"有记录","缺手工证据"),IF(OR(F960="卖出待补仓",F960="提交结果待确认",F960="异常待处理"),"持续跟踪","检查状态")))))</x:f>
      </x:c>
      <x:c r="T960" s="64" t="str">
        <x:f>IF(A960="","",IF(COUNTIF($A$5:$A$1204,A960)&gt;1,"重复",""))</x:f>
      </x:c>
      <x:c r="U960" s="64" t="str">
        <x:f>IF(A960="","",IF(T960="重复","检查重复",IF(OR(R960="有证据",R960="有记录",R960="持续跟踪"),"可追踪","检查")))</x:f>
      </x:c>
    </x:row>
    <x:row r="961">
      <x:c r="A961" s="62"/>
      <x:c r="B961" s="62"/>
      <x:c r="C961" s="62"/>
      <x:c r="D961" s="66"/>
      <x:c r="E961" s="68"/>
      <x:c r="F961" s="62"/>
      <x:c r="G961" s="62"/>
      <x:c r="H961" s="62"/>
      <x:c r="I961" s="62"/>
      <x:c r="J961" s="62"/>
      <x:c r="K961" s="62"/>
      <x:c r="L961" s="62"/>
      <x:c r="M961" s="68"/>
      <x:c r="N961" s="68"/>
      <x:c r="O961" s="68"/>
      <x:c r="P961" s="71" t="str">
        <x:f>IF(A961="","",IF(N961&gt;0,N961,M961))</x:f>
      </x:c>
      <x:c r="Q961" s="72" t="n">
        <x:f>IF(A961="",0,IF(COUNTIF($A$5:A961,A961)=1,1,0))</x:f>
        <x:v>0</x:v>
      </x:c>
      <x:c r="R961" s="64" t="str">
        <x:f>IF(A961="","",IF(F961="C961成功",IF(AND(J961&lt;&gt;"",K961&lt;&gt;"",N961&gt;0),"有证据","缺C961证据"),IF(F961="C961发货确认中",IF(AND(J961&lt;&gt;"",K961&lt;&gt;""),"有证据","缺C961证据"),IF(F961="手动完结",IF(OR(L961&lt;&gt;"",O961&lt;&gt;"",S961&lt;&gt;""),"有记录","缺手工证据"),IF(OR(F961="卖出待补仓",F961="提交结果待确认",F961="异常待处理"),"持续跟踪","检查状态")))))</x:f>
      </x:c>
      <x:c r="T961" s="64" t="str">
        <x:f>IF(A961="","",IF(COUNTIF($A$5:$A$1204,A961)&gt;1,"重复",""))</x:f>
      </x:c>
      <x:c r="U961" s="64" t="str">
        <x:f>IF(A961="","",IF(T961="重复","检查重复",IF(OR(R961="有证据",R961="有记录",R961="持续跟踪"),"可追踪","检查")))</x:f>
      </x:c>
    </x:row>
    <x:row r="962">
      <x:c r="A962" s="62"/>
      <x:c r="B962" s="62"/>
      <x:c r="C962" s="62"/>
      <x:c r="D962" s="66"/>
      <x:c r="E962" s="68"/>
      <x:c r="F962" s="62"/>
      <x:c r="G962" s="62"/>
      <x:c r="H962" s="62"/>
      <x:c r="I962" s="62"/>
      <x:c r="J962" s="62"/>
      <x:c r="K962" s="62"/>
      <x:c r="L962" s="62"/>
      <x:c r="M962" s="68"/>
      <x:c r="N962" s="68"/>
      <x:c r="O962" s="68"/>
      <x:c r="P962" s="71" t="str">
        <x:f>IF(A962="","",IF(N962&gt;0,N962,M962))</x:f>
      </x:c>
      <x:c r="Q962" s="72" t="n">
        <x:f>IF(A962="",0,IF(COUNTIF($A$5:A962,A962)=1,1,0))</x:f>
        <x:v>0</x:v>
      </x:c>
      <x:c r="R962" s="64" t="str">
        <x:f>IF(A962="","",IF(F962="C962成功",IF(AND(J962&lt;&gt;"",K962&lt;&gt;"",N962&gt;0),"有证据","缺C962证据"),IF(F962="C962发货确认中",IF(AND(J962&lt;&gt;"",K962&lt;&gt;""),"有证据","缺C962证据"),IF(F962="手动完结",IF(OR(L962&lt;&gt;"",O962&lt;&gt;"",S962&lt;&gt;""),"有记录","缺手工证据"),IF(OR(F962="卖出待补仓",F962="提交结果待确认",F962="异常待处理"),"持续跟踪","检查状态")))))</x:f>
      </x:c>
      <x:c r="T962" s="64" t="str">
        <x:f>IF(A962="","",IF(COUNTIF($A$5:$A$1204,A962)&gt;1,"重复",""))</x:f>
      </x:c>
      <x:c r="U962" s="64" t="str">
        <x:f>IF(A962="","",IF(T962="重复","检查重复",IF(OR(R962="有证据",R962="有记录",R962="持续跟踪"),"可追踪","检查")))</x:f>
      </x:c>
    </x:row>
    <x:row r="963">
      <x:c r="A963" s="62"/>
      <x:c r="B963" s="62"/>
      <x:c r="C963" s="62"/>
      <x:c r="D963" s="66"/>
      <x:c r="E963" s="68"/>
      <x:c r="F963" s="62"/>
      <x:c r="G963" s="62"/>
      <x:c r="H963" s="62"/>
      <x:c r="I963" s="62"/>
      <x:c r="J963" s="62"/>
      <x:c r="K963" s="62"/>
      <x:c r="L963" s="62"/>
      <x:c r="M963" s="68"/>
      <x:c r="N963" s="68"/>
      <x:c r="O963" s="68"/>
      <x:c r="P963" s="71" t="str">
        <x:f>IF(A963="","",IF(N963&gt;0,N963,M963))</x:f>
      </x:c>
      <x:c r="Q963" s="72" t="n">
        <x:f>IF(A963="",0,IF(COUNTIF($A$5:A963,A963)=1,1,0))</x:f>
        <x:v>0</x:v>
      </x:c>
      <x:c r="R963" s="64" t="str">
        <x:f>IF(A963="","",IF(F963="C963成功",IF(AND(J963&lt;&gt;"",K963&lt;&gt;"",N963&gt;0),"有证据","缺C963证据"),IF(F963="C963发货确认中",IF(AND(J963&lt;&gt;"",K963&lt;&gt;""),"有证据","缺C963证据"),IF(F963="手动完结",IF(OR(L963&lt;&gt;"",O963&lt;&gt;"",S963&lt;&gt;""),"有记录","缺手工证据"),IF(OR(F963="卖出待补仓",F963="提交结果待确认",F963="异常待处理"),"持续跟踪","检查状态")))))</x:f>
      </x:c>
      <x:c r="T963" s="64" t="str">
        <x:f>IF(A963="","",IF(COUNTIF($A$5:$A$1204,A963)&gt;1,"重复",""))</x:f>
      </x:c>
      <x:c r="U963" s="64" t="str">
        <x:f>IF(A963="","",IF(T963="重复","检查重复",IF(OR(R963="有证据",R963="有记录",R963="持续跟踪"),"可追踪","检查")))</x:f>
      </x:c>
    </x:row>
    <x:row r="964">
      <x:c r="A964" s="62"/>
      <x:c r="B964" s="62"/>
      <x:c r="C964" s="62"/>
      <x:c r="D964" s="66"/>
      <x:c r="E964" s="68"/>
      <x:c r="F964" s="62"/>
      <x:c r="G964" s="62"/>
      <x:c r="H964" s="62"/>
      <x:c r="I964" s="62"/>
      <x:c r="J964" s="62"/>
      <x:c r="K964" s="62"/>
      <x:c r="L964" s="62"/>
      <x:c r="M964" s="68"/>
      <x:c r="N964" s="68"/>
      <x:c r="O964" s="68"/>
      <x:c r="P964" s="71" t="str">
        <x:f>IF(A964="","",IF(N964&gt;0,N964,M964))</x:f>
      </x:c>
      <x:c r="Q964" s="72" t="n">
        <x:f>IF(A964="",0,IF(COUNTIF($A$5:A964,A964)=1,1,0))</x:f>
        <x:v>0</x:v>
      </x:c>
      <x:c r="R964" s="64" t="str">
        <x:f>IF(A964="","",IF(F964="C964成功",IF(AND(J964&lt;&gt;"",K964&lt;&gt;"",N964&gt;0),"有证据","缺C964证据"),IF(F964="C964发货确认中",IF(AND(J964&lt;&gt;"",K964&lt;&gt;""),"有证据","缺C964证据"),IF(F964="手动完结",IF(OR(L964&lt;&gt;"",O964&lt;&gt;"",S964&lt;&gt;""),"有记录","缺手工证据"),IF(OR(F964="卖出待补仓",F964="提交结果待确认",F964="异常待处理"),"持续跟踪","检查状态")))))</x:f>
      </x:c>
      <x:c r="T964" s="64" t="str">
        <x:f>IF(A964="","",IF(COUNTIF($A$5:$A$1204,A964)&gt;1,"重复",""))</x:f>
      </x:c>
      <x:c r="U964" s="64" t="str">
        <x:f>IF(A964="","",IF(T964="重复","检查重复",IF(OR(R964="有证据",R964="有记录",R964="持续跟踪"),"可追踪","检查")))</x:f>
      </x:c>
    </x:row>
    <x:row r="965">
      <x:c r="A965" s="62"/>
      <x:c r="B965" s="62"/>
      <x:c r="C965" s="62"/>
      <x:c r="D965" s="66"/>
      <x:c r="E965" s="68"/>
      <x:c r="F965" s="62"/>
      <x:c r="G965" s="62"/>
      <x:c r="H965" s="62"/>
      <x:c r="I965" s="62"/>
      <x:c r="J965" s="62"/>
      <x:c r="K965" s="62"/>
      <x:c r="L965" s="62"/>
      <x:c r="M965" s="68"/>
      <x:c r="N965" s="68"/>
      <x:c r="O965" s="68"/>
      <x:c r="P965" s="71" t="str">
        <x:f>IF(A965="","",IF(N965&gt;0,N965,M965))</x:f>
      </x:c>
      <x:c r="Q965" s="72" t="n">
        <x:f>IF(A965="",0,IF(COUNTIF($A$5:A965,A965)=1,1,0))</x:f>
        <x:v>0</x:v>
      </x:c>
      <x:c r="R965" s="64" t="str">
        <x:f>IF(A965="","",IF(F965="C965成功",IF(AND(J965&lt;&gt;"",K965&lt;&gt;"",N965&gt;0),"有证据","缺C965证据"),IF(F965="C965发货确认中",IF(AND(J965&lt;&gt;"",K965&lt;&gt;""),"有证据","缺C965证据"),IF(F965="手动完结",IF(OR(L965&lt;&gt;"",O965&lt;&gt;"",S965&lt;&gt;""),"有记录","缺手工证据"),IF(OR(F965="卖出待补仓",F965="提交结果待确认",F965="异常待处理"),"持续跟踪","检查状态")))))</x:f>
      </x:c>
      <x:c r="T965" s="64" t="str">
        <x:f>IF(A965="","",IF(COUNTIF($A$5:$A$1204,A965)&gt;1,"重复",""))</x:f>
      </x:c>
      <x:c r="U965" s="64" t="str">
        <x:f>IF(A965="","",IF(T965="重复","检查重复",IF(OR(R965="有证据",R965="有记录",R965="持续跟踪"),"可追踪","检查")))</x:f>
      </x:c>
    </x:row>
    <x:row r="966">
      <x:c r="A966" s="62"/>
      <x:c r="B966" s="62"/>
      <x:c r="C966" s="62"/>
      <x:c r="D966" s="66"/>
      <x:c r="E966" s="68"/>
      <x:c r="F966" s="62"/>
      <x:c r="G966" s="62"/>
      <x:c r="H966" s="62"/>
      <x:c r="I966" s="62"/>
      <x:c r="J966" s="62"/>
      <x:c r="K966" s="62"/>
      <x:c r="L966" s="62"/>
      <x:c r="M966" s="68"/>
      <x:c r="N966" s="68"/>
      <x:c r="O966" s="68"/>
      <x:c r="P966" s="71" t="str">
        <x:f>IF(A966="","",IF(N966&gt;0,N966,M966))</x:f>
      </x:c>
      <x:c r="Q966" s="72" t="n">
        <x:f>IF(A966="",0,IF(COUNTIF($A$5:A966,A966)=1,1,0))</x:f>
        <x:v>0</x:v>
      </x:c>
      <x:c r="R966" s="64" t="str">
        <x:f>IF(A966="","",IF(F966="C966成功",IF(AND(J966&lt;&gt;"",K966&lt;&gt;"",N966&gt;0),"有证据","缺C966证据"),IF(F966="C966发货确认中",IF(AND(J966&lt;&gt;"",K966&lt;&gt;""),"有证据","缺C966证据"),IF(F966="手动完结",IF(OR(L966&lt;&gt;"",O966&lt;&gt;"",S966&lt;&gt;""),"有记录","缺手工证据"),IF(OR(F966="卖出待补仓",F966="提交结果待确认",F966="异常待处理"),"持续跟踪","检查状态")))))</x:f>
      </x:c>
      <x:c r="T966" s="64" t="str">
        <x:f>IF(A966="","",IF(COUNTIF($A$5:$A$1204,A966)&gt;1,"重复",""))</x:f>
      </x:c>
      <x:c r="U966" s="64" t="str">
        <x:f>IF(A966="","",IF(T966="重复","检查重复",IF(OR(R966="有证据",R966="有记录",R966="持续跟踪"),"可追踪","检查")))</x:f>
      </x:c>
    </x:row>
    <x:row r="967">
      <x:c r="A967" s="62"/>
      <x:c r="B967" s="62"/>
      <x:c r="C967" s="62"/>
      <x:c r="D967" s="66"/>
      <x:c r="E967" s="68"/>
      <x:c r="F967" s="62"/>
      <x:c r="G967" s="62"/>
      <x:c r="H967" s="62"/>
      <x:c r="I967" s="62"/>
      <x:c r="J967" s="62"/>
      <x:c r="K967" s="62"/>
      <x:c r="L967" s="62"/>
      <x:c r="M967" s="68"/>
      <x:c r="N967" s="68"/>
      <x:c r="O967" s="68"/>
      <x:c r="P967" s="71" t="str">
        <x:f>IF(A967="","",IF(N967&gt;0,N967,M967))</x:f>
      </x:c>
      <x:c r="Q967" s="72" t="n">
        <x:f>IF(A967="",0,IF(COUNTIF($A$5:A967,A967)=1,1,0))</x:f>
        <x:v>0</x:v>
      </x:c>
      <x:c r="R967" s="64" t="str">
        <x:f>IF(A967="","",IF(F967="C967成功",IF(AND(J967&lt;&gt;"",K967&lt;&gt;"",N967&gt;0),"有证据","缺C967证据"),IF(F967="C967发货确认中",IF(AND(J967&lt;&gt;"",K967&lt;&gt;""),"有证据","缺C967证据"),IF(F967="手动完结",IF(OR(L967&lt;&gt;"",O967&lt;&gt;"",S967&lt;&gt;""),"有记录","缺手工证据"),IF(OR(F967="卖出待补仓",F967="提交结果待确认",F967="异常待处理"),"持续跟踪","检查状态")))))</x:f>
      </x:c>
      <x:c r="T967" s="64" t="str">
        <x:f>IF(A967="","",IF(COUNTIF($A$5:$A$1204,A967)&gt;1,"重复",""))</x:f>
      </x:c>
      <x:c r="U967" s="64" t="str">
        <x:f>IF(A967="","",IF(T967="重复","检查重复",IF(OR(R967="有证据",R967="有记录",R967="持续跟踪"),"可追踪","检查")))</x:f>
      </x:c>
    </x:row>
    <x:row r="968">
      <x:c r="A968" s="62"/>
      <x:c r="B968" s="62"/>
      <x:c r="C968" s="62"/>
      <x:c r="D968" s="66"/>
      <x:c r="E968" s="68"/>
      <x:c r="F968" s="62"/>
      <x:c r="G968" s="62"/>
      <x:c r="H968" s="62"/>
      <x:c r="I968" s="62"/>
      <x:c r="J968" s="62"/>
      <x:c r="K968" s="62"/>
      <x:c r="L968" s="62"/>
      <x:c r="M968" s="68"/>
      <x:c r="N968" s="68"/>
      <x:c r="O968" s="68"/>
      <x:c r="P968" s="71" t="str">
        <x:f>IF(A968="","",IF(N968&gt;0,N968,M968))</x:f>
      </x:c>
      <x:c r="Q968" s="72" t="n">
        <x:f>IF(A968="",0,IF(COUNTIF($A$5:A968,A968)=1,1,0))</x:f>
        <x:v>0</x:v>
      </x:c>
      <x:c r="R968" s="64" t="str">
        <x:f>IF(A968="","",IF(F968="C968成功",IF(AND(J968&lt;&gt;"",K968&lt;&gt;"",N968&gt;0),"有证据","缺C968证据"),IF(F968="C968发货确认中",IF(AND(J968&lt;&gt;"",K968&lt;&gt;""),"有证据","缺C968证据"),IF(F968="手动完结",IF(OR(L968&lt;&gt;"",O968&lt;&gt;"",S968&lt;&gt;""),"有记录","缺手工证据"),IF(OR(F968="卖出待补仓",F968="提交结果待确认",F968="异常待处理"),"持续跟踪","检查状态")))))</x:f>
      </x:c>
      <x:c r="T968" s="64" t="str">
        <x:f>IF(A968="","",IF(COUNTIF($A$5:$A$1204,A968)&gt;1,"重复",""))</x:f>
      </x:c>
      <x:c r="U968" s="64" t="str">
        <x:f>IF(A968="","",IF(T968="重复","检查重复",IF(OR(R968="有证据",R968="有记录",R968="持续跟踪"),"可追踪","检查")))</x:f>
      </x:c>
    </x:row>
    <x:row r="969">
      <x:c r="A969" s="62"/>
      <x:c r="B969" s="62"/>
      <x:c r="C969" s="62"/>
      <x:c r="D969" s="66"/>
      <x:c r="E969" s="68"/>
      <x:c r="F969" s="62"/>
      <x:c r="G969" s="62"/>
      <x:c r="H969" s="62"/>
      <x:c r="I969" s="62"/>
      <x:c r="J969" s="62"/>
      <x:c r="K969" s="62"/>
      <x:c r="L969" s="62"/>
      <x:c r="M969" s="68"/>
      <x:c r="N969" s="68"/>
      <x:c r="O969" s="68"/>
      <x:c r="P969" s="71" t="str">
        <x:f>IF(A969="","",IF(N969&gt;0,N969,M969))</x:f>
      </x:c>
      <x:c r="Q969" s="72" t="n">
        <x:f>IF(A969="",0,IF(COUNTIF($A$5:A969,A969)=1,1,0))</x:f>
        <x:v>0</x:v>
      </x:c>
      <x:c r="R969" s="64" t="str">
        <x:f>IF(A969="","",IF(F969="C969成功",IF(AND(J969&lt;&gt;"",K969&lt;&gt;"",N969&gt;0),"有证据","缺C969证据"),IF(F969="C969发货确认中",IF(AND(J969&lt;&gt;"",K969&lt;&gt;""),"有证据","缺C969证据"),IF(F969="手动完结",IF(OR(L969&lt;&gt;"",O969&lt;&gt;"",S969&lt;&gt;""),"有记录","缺手工证据"),IF(OR(F969="卖出待补仓",F969="提交结果待确认",F969="异常待处理"),"持续跟踪","检查状态")))))</x:f>
      </x:c>
      <x:c r="T969" s="64" t="str">
        <x:f>IF(A969="","",IF(COUNTIF($A$5:$A$1204,A969)&gt;1,"重复",""))</x:f>
      </x:c>
      <x:c r="U969" s="64" t="str">
        <x:f>IF(A969="","",IF(T969="重复","检查重复",IF(OR(R969="有证据",R969="有记录",R969="持续跟踪"),"可追踪","检查")))</x:f>
      </x:c>
    </x:row>
    <x:row r="970">
      <x:c r="A970" s="62"/>
      <x:c r="B970" s="62"/>
      <x:c r="C970" s="62"/>
      <x:c r="D970" s="66"/>
      <x:c r="E970" s="68"/>
      <x:c r="F970" s="62"/>
      <x:c r="G970" s="62"/>
      <x:c r="H970" s="62"/>
      <x:c r="I970" s="62"/>
      <x:c r="J970" s="62"/>
      <x:c r="K970" s="62"/>
      <x:c r="L970" s="62"/>
      <x:c r="M970" s="68"/>
      <x:c r="N970" s="68"/>
      <x:c r="O970" s="68"/>
      <x:c r="P970" s="71" t="str">
        <x:f>IF(A970="","",IF(N970&gt;0,N970,M970))</x:f>
      </x:c>
      <x:c r="Q970" s="72" t="n">
        <x:f>IF(A970="",0,IF(COUNTIF($A$5:A970,A970)=1,1,0))</x:f>
        <x:v>0</x:v>
      </x:c>
      <x:c r="R970" s="64" t="str">
        <x:f>IF(A970="","",IF(F970="C970成功",IF(AND(J970&lt;&gt;"",K970&lt;&gt;"",N970&gt;0),"有证据","缺C970证据"),IF(F970="C970发货确认中",IF(AND(J970&lt;&gt;"",K970&lt;&gt;""),"有证据","缺C970证据"),IF(F970="手动完结",IF(OR(L970&lt;&gt;"",O970&lt;&gt;"",S970&lt;&gt;""),"有记录","缺手工证据"),IF(OR(F970="卖出待补仓",F970="提交结果待确认",F970="异常待处理"),"持续跟踪","检查状态")))))</x:f>
      </x:c>
      <x:c r="T970" s="64" t="str">
        <x:f>IF(A970="","",IF(COUNTIF($A$5:$A$1204,A970)&gt;1,"重复",""))</x:f>
      </x:c>
      <x:c r="U970" s="64" t="str">
        <x:f>IF(A970="","",IF(T970="重复","检查重复",IF(OR(R970="有证据",R970="有记录",R970="持续跟踪"),"可追踪","检查")))</x:f>
      </x:c>
    </x:row>
    <x:row r="971">
      <x:c r="A971" s="62"/>
      <x:c r="B971" s="62"/>
      <x:c r="C971" s="62"/>
      <x:c r="D971" s="66"/>
      <x:c r="E971" s="68"/>
      <x:c r="F971" s="62"/>
      <x:c r="G971" s="62"/>
      <x:c r="H971" s="62"/>
      <x:c r="I971" s="62"/>
      <x:c r="J971" s="62"/>
      <x:c r="K971" s="62"/>
      <x:c r="L971" s="62"/>
      <x:c r="M971" s="68"/>
      <x:c r="N971" s="68"/>
      <x:c r="O971" s="68"/>
      <x:c r="P971" s="71" t="str">
        <x:f>IF(A971="","",IF(N971&gt;0,N971,M971))</x:f>
      </x:c>
      <x:c r="Q971" s="72" t="n">
        <x:f>IF(A971="",0,IF(COUNTIF($A$5:A971,A971)=1,1,0))</x:f>
        <x:v>0</x:v>
      </x:c>
      <x:c r="R971" s="64" t="str">
        <x:f>IF(A971="","",IF(F971="C971成功",IF(AND(J971&lt;&gt;"",K971&lt;&gt;"",N971&gt;0),"有证据","缺C971证据"),IF(F971="C971发货确认中",IF(AND(J971&lt;&gt;"",K971&lt;&gt;""),"有证据","缺C971证据"),IF(F971="手动完结",IF(OR(L971&lt;&gt;"",O971&lt;&gt;"",S971&lt;&gt;""),"有记录","缺手工证据"),IF(OR(F971="卖出待补仓",F971="提交结果待确认",F971="异常待处理"),"持续跟踪","检查状态")))))</x:f>
      </x:c>
      <x:c r="T971" s="64" t="str">
        <x:f>IF(A971="","",IF(COUNTIF($A$5:$A$1204,A971)&gt;1,"重复",""))</x:f>
      </x:c>
      <x:c r="U971" s="64" t="str">
        <x:f>IF(A971="","",IF(T971="重复","检查重复",IF(OR(R971="有证据",R971="有记录",R971="持续跟踪"),"可追踪","检查")))</x:f>
      </x:c>
    </x:row>
    <x:row r="972">
      <x:c r="A972" s="62"/>
      <x:c r="B972" s="62"/>
      <x:c r="C972" s="62"/>
      <x:c r="D972" s="66"/>
      <x:c r="E972" s="68"/>
      <x:c r="F972" s="62"/>
      <x:c r="G972" s="62"/>
      <x:c r="H972" s="62"/>
      <x:c r="I972" s="62"/>
      <x:c r="J972" s="62"/>
      <x:c r="K972" s="62"/>
      <x:c r="L972" s="62"/>
      <x:c r="M972" s="68"/>
      <x:c r="N972" s="68"/>
      <x:c r="O972" s="68"/>
      <x:c r="P972" s="71" t="str">
        <x:f>IF(A972="","",IF(N972&gt;0,N972,M972))</x:f>
      </x:c>
      <x:c r="Q972" s="72" t="n">
        <x:f>IF(A972="",0,IF(COUNTIF($A$5:A972,A972)=1,1,0))</x:f>
        <x:v>0</x:v>
      </x:c>
      <x:c r="R972" s="64" t="str">
        <x:f>IF(A972="","",IF(F972="C972成功",IF(AND(J972&lt;&gt;"",K972&lt;&gt;"",N972&gt;0),"有证据","缺C972证据"),IF(F972="C972发货确认中",IF(AND(J972&lt;&gt;"",K972&lt;&gt;""),"有证据","缺C972证据"),IF(F972="手动完结",IF(OR(L972&lt;&gt;"",O972&lt;&gt;"",S972&lt;&gt;""),"有记录","缺手工证据"),IF(OR(F972="卖出待补仓",F972="提交结果待确认",F972="异常待处理"),"持续跟踪","检查状态")))))</x:f>
      </x:c>
      <x:c r="T972" s="64" t="str">
        <x:f>IF(A972="","",IF(COUNTIF($A$5:$A$1204,A972)&gt;1,"重复",""))</x:f>
      </x:c>
      <x:c r="U972" s="64" t="str">
        <x:f>IF(A972="","",IF(T972="重复","检查重复",IF(OR(R972="有证据",R972="有记录",R972="持续跟踪"),"可追踪","检查")))</x:f>
      </x:c>
    </x:row>
    <x:row r="973">
      <x:c r="A973" s="62"/>
      <x:c r="B973" s="62"/>
      <x:c r="C973" s="62"/>
      <x:c r="D973" s="66"/>
      <x:c r="E973" s="68"/>
      <x:c r="F973" s="62"/>
      <x:c r="G973" s="62"/>
      <x:c r="H973" s="62"/>
      <x:c r="I973" s="62"/>
      <x:c r="J973" s="62"/>
      <x:c r="K973" s="62"/>
      <x:c r="L973" s="62"/>
      <x:c r="M973" s="68"/>
      <x:c r="N973" s="68"/>
      <x:c r="O973" s="68"/>
      <x:c r="P973" s="71" t="str">
        <x:f>IF(A973="","",IF(N973&gt;0,N973,M973))</x:f>
      </x:c>
      <x:c r="Q973" s="72" t="n">
        <x:f>IF(A973="",0,IF(COUNTIF($A$5:A973,A973)=1,1,0))</x:f>
        <x:v>0</x:v>
      </x:c>
      <x:c r="R973" s="64" t="str">
        <x:f>IF(A973="","",IF(F973="C973成功",IF(AND(J973&lt;&gt;"",K973&lt;&gt;"",N973&gt;0),"有证据","缺C973证据"),IF(F973="C973发货确认中",IF(AND(J973&lt;&gt;"",K973&lt;&gt;""),"有证据","缺C973证据"),IF(F973="手动完结",IF(OR(L973&lt;&gt;"",O973&lt;&gt;"",S973&lt;&gt;""),"有记录","缺手工证据"),IF(OR(F973="卖出待补仓",F973="提交结果待确认",F973="异常待处理"),"持续跟踪","检查状态")))))</x:f>
      </x:c>
      <x:c r="T973" s="64" t="str">
        <x:f>IF(A973="","",IF(COUNTIF($A$5:$A$1204,A973)&gt;1,"重复",""))</x:f>
      </x:c>
      <x:c r="U973" s="64" t="str">
        <x:f>IF(A973="","",IF(T973="重复","检查重复",IF(OR(R973="有证据",R973="有记录",R973="持续跟踪"),"可追踪","检查")))</x:f>
      </x:c>
    </x:row>
    <x:row r="974">
      <x:c r="A974" s="62"/>
      <x:c r="B974" s="62"/>
      <x:c r="C974" s="62"/>
      <x:c r="D974" s="66"/>
      <x:c r="E974" s="68"/>
      <x:c r="F974" s="62"/>
      <x:c r="G974" s="62"/>
      <x:c r="H974" s="62"/>
      <x:c r="I974" s="62"/>
      <x:c r="J974" s="62"/>
      <x:c r="K974" s="62"/>
      <x:c r="L974" s="62"/>
      <x:c r="M974" s="68"/>
      <x:c r="N974" s="68"/>
      <x:c r="O974" s="68"/>
      <x:c r="P974" s="71" t="str">
        <x:f>IF(A974="","",IF(N974&gt;0,N974,M974))</x:f>
      </x:c>
      <x:c r="Q974" s="72" t="n">
        <x:f>IF(A974="",0,IF(COUNTIF($A$5:A974,A974)=1,1,0))</x:f>
        <x:v>0</x:v>
      </x:c>
      <x:c r="R974" s="64" t="str">
        <x:f>IF(A974="","",IF(F974="C974成功",IF(AND(J974&lt;&gt;"",K974&lt;&gt;"",N974&gt;0),"有证据","缺C974证据"),IF(F974="C974发货确认中",IF(AND(J974&lt;&gt;"",K974&lt;&gt;""),"有证据","缺C974证据"),IF(F974="手动完结",IF(OR(L974&lt;&gt;"",O974&lt;&gt;"",S974&lt;&gt;""),"有记录","缺手工证据"),IF(OR(F974="卖出待补仓",F974="提交结果待确认",F974="异常待处理"),"持续跟踪","检查状态")))))</x:f>
      </x:c>
      <x:c r="T974" s="64" t="str">
        <x:f>IF(A974="","",IF(COUNTIF($A$5:$A$1204,A974)&gt;1,"重复",""))</x:f>
      </x:c>
      <x:c r="U974" s="64" t="str">
        <x:f>IF(A974="","",IF(T974="重复","检查重复",IF(OR(R974="有证据",R974="有记录",R974="持续跟踪"),"可追踪","检查")))</x:f>
      </x:c>
    </x:row>
    <x:row r="975">
      <x:c r="A975" s="62"/>
      <x:c r="B975" s="62"/>
      <x:c r="C975" s="62"/>
      <x:c r="D975" s="66"/>
      <x:c r="E975" s="68"/>
      <x:c r="F975" s="62"/>
      <x:c r="G975" s="62"/>
      <x:c r="H975" s="62"/>
      <x:c r="I975" s="62"/>
      <x:c r="J975" s="62"/>
      <x:c r="K975" s="62"/>
      <x:c r="L975" s="62"/>
      <x:c r="M975" s="68"/>
      <x:c r="N975" s="68"/>
      <x:c r="O975" s="68"/>
      <x:c r="P975" s="71" t="str">
        <x:f>IF(A975="","",IF(N975&gt;0,N975,M975))</x:f>
      </x:c>
      <x:c r="Q975" s="72" t="n">
        <x:f>IF(A975="",0,IF(COUNTIF($A$5:A975,A975)=1,1,0))</x:f>
        <x:v>0</x:v>
      </x:c>
      <x:c r="R975" s="64" t="str">
        <x:f>IF(A975="","",IF(F975="C975成功",IF(AND(J975&lt;&gt;"",K975&lt;&gt;"",N975&gt;0),"有证据","缺C975证据"),IF(F975="C975发货确认中",IF(AND(J975&lt;&gt;"",K975&lt;&gt;""),"有证据","缺C975证据"),IF(F975="手动完结",IF(OR(L975&lt;&gt;"",O975&lt;&gt;"",S975&lt;&gt;""),"有记录","缺手工证据"),IF(OR(F975="卖出待补仓",F975="提交结果待确认",F975="异常待处理"),"持续跟踪","检查状态")))))</x:f>
      </x:c>
      <x:c r="T975" s="64" t="str">
        <x:f>IF(A975="","",IF(COUNTIF($A$5:$A$1204,A975)&gt;1,"重复",""))</x:f>
      </x:c>
      <x:c r="U975" s="64" t="str">
        <x:f>IF(A975="","",IF(T975="重复","检查重复",IF(OR(R975="有证据",R975="有记录",R975="持续跟踪"),"可追踪","检查")))</x:f>
      </x:c>
    </x:row>
    <x:row r="976">
      <x:c r="A976" s="62"/>
      <x:c r="B976" s="62"/>
      <x:c r="C976" s="62"/>
      <x:c r="D976" s="66"/>
      <x:c r="E976" s="68"/>
      <x:c r="F976" s="62"/>
      <x:c r="G976" s="62"/>
      <x:c r="H976" s="62"/>
      <x:c r="I976" s="62"/>
      <x:c r="J976" s="62"/>
      <x:c r="K976" s="62"/>
      <x:c r="L976" s="62"/>
      <x:c r="M976" s="68"/>
      <x:c r="N976" s="68"/>
      <x:c r="O976" s="68"/>
      <x:c r="P976" s="71" t="str">
        <x:f>IF(A976="","",IF(N976&gt;0,N976,M976))</x:f>
      </x:c>
      <x:c r="Q976" s="72" t="n">
        <x:f>IF(A976="",0,IF(COUNTIF($A$5:A976,A976)=1,1,0))</x:f>
        <x:v>0</x:v>
      </x:c>
      <x:c r="R976" s="64" t="str">
        <x:f>IF(A976="","",IF(F976="C976成功",IF(AND(J976&lt;&gt;"",K976&lt;&gt;"",N976&gt;0),"有证据","缺C976证据"),IF(F976="C976发货确认中",IF(AND(J976&lt;&gt;"",K976&lt;&gt;""),"有证据","缺C976证据"),IF(F976="手动完结",IF(OR(L976&lt;&gt;"",O976&lt;&gt;"",S976&lt;&gt;""),"有记录","缺手工证据"),IF(OR(F976="卖出待补仓",F976="提交结果待确认",F976="异常待处理"),"持续跟踪","检查状态")))))</x:f>
      </x:c>
      <x:c r="T976" s="64" t="str">
        <x:f>IF(A976="","",IF(COUNTIF($A$5:$A$1204,A976)&gt;1,"重复",""))</x:f>
      </x:c>
      <x:c r="U976" s="64" t="str">
        <x:f>IF(A976="","",IF(T976="重复","检查重复",IF(OR(R976="有证据",R976="有记录",R976="持续跟踪"),"可追踪","检查")))</x:f>
      </x:c>
    </x:row>
    <x:row r="977">
      <x:c r="A977" s="62"/>
      <x:c r="B977" s="62"/>
      <x:c r="C977" s="62"/>
      <x:c r="D977" s="66"/>
      <x:c r="E977" s="68"/>
      <x:c r="F977" s="62"/>
      <x:c r="G977" s="62"/>
      <x:c r="H977" s="62"/>
      <x:c r="I977" s="62"/>
      <x:c r="J977" s="62"/>
      <x:c r="K977" s="62"/>
      <x:c r="L977" s="62"/>
      <x:c r="M977" s="68"/>
      <x:c r="N977" s="68"/>
      <x:c r="O977" s="68"/>
      <x:c r="P977" s="71" t="str">
        <x:f>IF(A977="","",IF(N977&gt;0,N977,M977))</x:f>
      </x:c>
      <x:c r="Q977" s="72" t="n">
        <x:f>IF(A977="",0,IF(COUNTIF($A$5:A977,A977)=1,1,0))</x:f>
        <x:v>0</x:v>
      </x:c>
      <x:c r="R977" s="64" t="str">
        <x:f>IF(A977="","",IF(F977="C977成功",IF(AND(J977&lt;&gt;"",K977&lt;&gt;"",N977&gt;0),"有证据","缺C977证据"),IF(F977="C977发货确认中",IF(AND(J977&lt;&gt;"",K977&lt;&gt;""),"有证据","缺C977证据"),IF(F977="手动完结",IF(OR(L977&lt;&gt;"",O977&lt;&gt;"",S977&lt;&gt;""),"有记录","缺手工证据"),IF(OR(F977="卖出待补仓",F977="提交结果待确认",F977="异常待处理"),"持续跟踪","检查状态")))))</x:f>
      </x:c>
      <x:c r="T977" s="64" t="str">
        <x:f>IF(A977="","",IF(COUNTIF($A$5:$A$1204,A977)&gt;1,"重复",""))</x:f>
      </x:c>
      <x:c r="U977" s="64" t="str">
        <x:f>IF(A977="","",IF(T977="重复","检查重复",IF(OR(R977="有证据",R977="有记录",R977="持续跟踪"),"可追踪","检查")))</x:f>
      </x:c>
    </x:row>
    <x:row r="978">
      <x:c r="A978" s="62"/>
      <x:c r="B978" s="62"/>
      <x:c r="C978" s="62"/>
      <x:c r="D978" s="66"/>
      <x:c r="E978" s="68"/>
      <x:c r="F978" s="62"/>
      <x:c r="G978" s="62"/>
      <x:c r="H978" s="62"/>
      <x:c r="I978" s="62"/>
      <x:c r="J978" s="62"/>
      <x:c r="K978" s="62"/>
      <x:c r="L978" s="62"/>
      <x:c r="M978" s="68"/>
      <x:c r="N978" s="68"/>
      <x:c r="O978" s="68"/>
      <x:c r="P978" s="71" t="str">
        <x:f>IF(A978="","",IF(N978&gt;0,N978,M978))</x:f>
      </x:c>
      <x:c r="Q978" s="72" t="n">
        <x:f>IF(A978="",0,IF(COUNTIF($A$5:A978,A978)=1,1,0))</x:f>
        <x:v>0</x:v>
      </x:c>
      <x:c r="R978" s="64" t="str">
        <x:f>IF(A978="","",IF(F978="C978成功",IF(AND(J978&lt;&gt;"",K978&lt;&gt;"",N978&gt;0),"有证据","缺C978证据"),IF(F978="C978发货确认中",IF(AND(J978&lt;&gt;"",K978&lt;&gt;""),"有证据","缺C978证据"),IF(F978="手动完结",IF(OR(L978&lt;&gt;"",O978&lt;&gt;"",S978&lt;&gt;""),"有记录","缺手工证据"),IF(OR(F978="卖出待补仓",F978="提交结果待确认",F978="异常待处理"),"持续跟踪","检查状态")))))</x:f>
      </x:c>
      <x:c r="T978" s="64" t="str">
        <x:f>IF(A978="","",IF(COUNTIF($A$5:$A$1204,A978)&gt;1,"重复",""))</x:f>
      </x:c>
      <x:c r="U978" s="64" t="str">
        <x:f>IF(A978="","",IF(T978="重复","检查重复",IF(OR(R978="有证据",R978="有记录",R978="持续跟踪"),"可追踪","检查")))</x:f>
      </x:c>
    </x:row>
    <x:row r="979">
      <x:c r="A979" s="62"/>
      <x:c r="B979" s="62"/>
      <x:c r="C979" s="62"/>
      <x:c r="D979" s="66"/>
      <x:c r="E979" s="68"/>
      <x:c r="F979" s="62"/>
      <x:c r="G979" s="62"/>
      <x:c r="H979" s="62"/>
      <x:c r="I979" s="62"/>
      <x:c r="J979" s="62"/>
      <x:c r="K979" s="62"/>
      <x:c r="L979" s="62"/>
      <x:c r="M979" s="68"/>
      <x:c r="N979" s="68"/>
      <x:c r="O979" s="68"/>
      <x:c r="P979" s="71" t="str">
        <x:f>IF(A979="","",IF(N979&gt;0,N979,M979))</x:f>
      </x:c>
      <x:c r="Q979" s="72" t="n">
        <x:f>IF(A979="",0,IF(COUNTIF($A$5:A979,A979)=1,1,0))</x:f>
        <x:v>0</x:v>
      </x:c>
      <x:c r="R979" s="64" t="str">
        <x:f>IF(A979="","",IF(F979="C979成功",IF(AND(J979&lt;&gt;"",K979&lt;&gt;"",N979&gt;0),"有证据","缺C979证据"),IF(F979="C979发货确认中",IF(AND(J979&lt;&gt;"",K979&lt;&gt;""),"有证据","缺C979证据"),IF(F979="手动完结",IF(OR(L979&lt;&gt;"",O979&lt;&gt;"",S979&lt;&gt;""),"有记录","缺手工证据"),IF(OR(F979="卖出待补仓",F979="提交结果待确认",F979="异常待处理"),"持续跟踪","检查状态")))))</x:f>
      </x:c>
      <x:c r="T979" s="64" t="str">
        <x:f>IF(A979="","",IF(COUNTIF($A$5:$A$1204,A979)&gt;1,"重复",""))</x:f>
      </x:c>
      <x:c r="U979" s="64" t="str">
        <x:f>IF(A979="","",IF(T979="重复","检查重复",IF(OR(R979="有证据",R979="有记录",R979="持续跟踪"),"可追踪","检查")))</x:f>
      </x:c>
    </x:row>
    <x:row r="980">
      <x:c r="A980" s="62"/>
      <x:c r="B980" s="62"/>
      <x:c r="C980" s="62"/>
      <x:c r="D980" s="66"/>
      <x:c r="E980" s="68"/>
      <x:c r="F980" s="62"/>
      <x:c r="G980" s="62"/>
      <x:c r="H980" s="62"/>
      <x:c r="I980" s="62"/>
      <x:c r="J980" s="62"/>
      <x:c r="K980" s="62"/>
      <x:c r="L980" s="62"/>
      <x:c r="M980" s="68"/>
      <x:c r="N980" s="68"/>
      <x:c r="O980" s="68"/>
      <x:c r="P980" s="71" t="str">
        <x:f>IF(A980="","",IF(N980&gt;0,N980,M980))</x:f>
      </x:c>
      <x:c r="Q980" s="72" t="n">
        <x:f>IF(A980="",0,IF(COUNTIF($A$5:A980,A980)=1,1,0))</x:f>
        <x:v>0</x:v>
      </x:c>
      <x:c r="R980" s="64" t="str">
        <x:f>IF(A980="","",IF(F980="C980成功",IF(AND(J980&lt;&gt;"",K980&lt;&gt;"",N980&gt;0),"有证据","缺C980证据"),IF(F980="C980发货确认中",IF(AND(J980&lt;&gt;"",K980&lt;&gt;""),"有证据","缺C980证据"),IF(F980="手动完结",IF(OR(L980&lt;&gt;"",O980&lt;&gt;"",S980&lt;&gt;""),"有记录","缺手工证据"),IF(OR(F980="卖出待补仓",F980="提交结果待确认",F980="异常待处理"),"持续跟踪","检查状态")))))</x:f>
      </x:c>
      <x:c r="T980" s="64" t="str">
        <x:f>IF(A980="","",IF(COUNTIF($A$5:$A$1204,A980)&gt;1,"重复",""))</x:f>
      </x:c>
      <x:c r="U980" s="64" t="str">
        <x:f>IF(A980="","",IF(T980="重复","检查重复",IF(OR(R980="有证据",R980="有记录",R980="持续跟踪"),"可追踪","检查")))</x:f>
      </x:c>
    </x:row>
    <x:row r="981">
      <x:c r="A981" s="62"/>
      <x:c r="B981" s="62"/>
      <x:c r="C981" s="62"/>
      <x:c r="D981" s="66"/>
      <x:c r="E981" s="68"/>
      <x:c r="F981" s="62"/>
      <x:c r="G981" s="62"/>
      <x:c r="H981" s="62"/>
      <x:c r="I981" s="62"/>
      <x:c r="J981" s="62"/>
      <x:c r="K981" s="62"/>
      <x:c r="L981" s="62"/>
      <x:c r="M981" s="68"/>
      <x:c r="N981" s="68"/>
      <x:c r="O981" s="68"/>
      <x:c r="P981" s="71" t="str">
        <x:f>IF(A981="","",IF(N981&gt;0,N981,M981))</x:f>
      </x:c>
      <x:c r="Q981" s="72" t="n">
        <x:f>IF(A981="",0,IF(COUNTIF($A$5:A981,A981)=1,1,0))</x:f>
        <x:v>0</x:v>
      </x:c>
      <x:c r="R981" s="64" t="str">
        <x:f>IF(A981="","",IF(F981="C981成功",IF(AND(J981&lt;&gt;"",K981&lt;&gt;"",N981&gt;0),"有证据","缺C981证据"),IF(F981="C981发货确认中",IF(AND(J981&lt;&gt;"",K981&lt;&gt;""),"有证据","缺C981证据"),IF(F981="手动完结",IF(OR(L981&lt;&gt;"",O981&lt;&gt;"",S981&lt;&gt;""),"有记录","缺手工证据"),IF(OR(F981="卖出待补仓",F981="提交结果待确认",F981="异常待处理"),"持续跟踪","检查状态")))))</x:f>
      </x:c>
      <x:c r="T981" s="64" t="str">
        <x:f>IF(A981="","",IF(COUNTIF($A$5:$A$1204,A981)&gt;1,"重复",""))</x:f>
      </x:c>
      <x:c r="U981" s="64" t="str">
        <x:f>IF(A981="","",IF(T981="重复","检查重复",IF(OR(R981="有证据",R981="有记录",R981="持续跟踪"),"可追踪","检查")))</x:f>
      </x:c>
    </x:row>
    <x:row r="982">
      <x:c r="A982" s="62"/>
      <x:c r="B982" s="62"/>
      <x:c r="C982" s="62"/>
      <x:c r="D982" s="66"/>
      <x:c r="E982" s="68"/>
      <x:c r="F982" s="62"/>
      <x:c r="G982" s="62"/>
      <x:c r="H982" s="62"/>
      <x:c r="I982" s="62"/>
      <x:c r="J982" s="62"/>
      <x:c r="K982" s="62"/>
      <x:c r="L982" s="62"/>
      <x:c r="M982" s="68"/>
      <x:c r="N982" s="68"/>
      <x:c r="O982" s="68"/>
      <x:c r="P982" s="71" t="str">
        <x:f>IF(A982="","",IF(N982&gt;0,N982,M982))</x:f>
      </x:c>
      <x:c r="Q982" s="72" t="n">
        <x:f>IF(A982="",0,IF(COUNTIF($A$5:A982,A982)=1,1,0))</x:f>
        <x:v>0</x:v>
      </x:c>
      <x:c r="R982" s="64" t="str">
        <x:f>IF(A982="","",IF(F982="C982成功",IF(AND(J982&lt;&gt;"",K982&lt;&gt;"",N982&gt;0),"有证据","缺C982证据"),IF(F982="C982发货确认中",IF(AND(J982&lt;&gt;"",K982&lt;&gt;""),"有证据","缺C982证据"),IF(F982="手动完结",IF(OR(L982&lt;&gt;"",O982&lt;&gt;"",S982&lt;&gt;""),"有记录","缺手工证据"),IF(OR(F982="卖出待补仓",F982="提交结果待确认",F982="异常待处理"),"持续跟踪","检查状态")))))</x:f>
      </x:c>
      <x:c r="T982" s="64" t="str">
        <x:f>IF(A982="","",IF(COUNTIF($A$5:$A$1204,A982)&gt;1,"重复",""))</x:f>
      </x:c>
      <x:c r="U982" s="64" t="str">
        <x:f>IF(A982="","",IF(T982="重复","检查重复",IF(OR(R982="有证据",R982="有记录",R982="持续跟踪"),"可追踪","检查")))</x:f>
      </x:c>
    </x:row>
    <x:row r="983">
      <x:c r="A983" s="62"/>
      <x:c r="B983" s="62"/>
      <x:c r="C983" s="62"/>
      <x:c r="D983" s="66"/>
      <x:c r="E983" s="68"/>
      <x:c r="F983" s="62"/>
      <x:c r="G983" s="62"/>
      <x:c r="H983" s="62"/>
      <x:c r="I983" s="62"/>
      <x:c r="J983" s="62"/>
      <x:c r="K983" s="62"/>
      <x:c r="L983" s="62"/>
      <x:c r="M983" s="68"/>
      <x:c r="N983" s="68"/>
      <x:c r="O983" s="68"/>
      <x:c r="P983" s="71" t="str">
        <x:f>IF(A983="","",IF(N983&gt;0,N983,M983))</x:f>
      </x:c>
      <x:c r="Q983" s="72" t="n">
        <x:f>IF(A983="",0,IF(COUNTIF($A$5:A983,A983)=1,1,0))</x:f>
        <x:v>0</x:v>
      </x:c>
      <x:c r="R983" s="64" t="str">
        <x:f>IF(A983="","",IF(F983="C983成功",IF(AND(J983&lt;&gt;"",K983&lt;&gt;"",N983&gt;0),"有证据","缺C983证据"),IF(F983="C983发货确认中",IF(AND(J983&lt;&gt;"",K983&lt;&gt;""),"有证据","缺C983证据"),IF(F983="手动完结",IF(OR(L983&lt;&gt;"",O983&lt;&gt;"",S983&lt;&gt;""),"有记录","缺手工证据"),IF(OR(F983="卖出待补仓",F983="提交结果待确认",F983="异常待处理"),"持续跟踪","检查状态")))))</x:f>
      </x:c>
      <x:c r="T983" s="64" t="str">
        <x:f>IF(A983="","",IF(COUNTIF($A$5:$A$1204,A983)&gt;1,"重复",""))</x:f>
      </x:c>
      <x:c r="U983" s="64" t="str">
        <x:f>IF(A983="","",IF(T983="重复","检查重复",IF(OR(R983="有证据",R983="有记录",R983="持续跟踪"),"可追踪","检查")))</x:f>
      </x:c>
    </x:row>
    <x:row r="984">
      <x:c r="A984" s="62"/>
      <x:c r="B984" s="62"/>
      <x:c r="C984" s="62"/>
      <x:c r="D984" s="66"/>
      <x:c r="E984" s="68"/>
      <x:c r="F984" s="62"/>
      <x:c r="G984" s="62"/>
      <x:c r="H984" s="62"/>
      <x:c r="I984" s="62"/>
      <x:c r="J984" s="62"/>
      <x:c r="K984" s="62"/>
      <x:c r="L984" s="62"/>
      <x:c r="M984" s="68"/>
      <x:c r="N984" s="68"/>
      <x:c r="O984" s="68"/>
      <x:c r="P984" s="71" t="str">
        <x:f>IF(A984="","",IF(N984&gt;0,N984,M984))</x:f>
      </x:c>
      <x:c r="Q984" s="72" t="n">
        <x:f>IF(A984="",0,IF(COUNTIF($A$5:A984,A984)=1,1,0))</x:f>
        <x:v>0</x:v>
      </x:c>
      <x:c r="R984" s="64" t="str">
        <x:f>IF(A984="","",IF(F984="C984成功",IF(AND(J984&lt;&gt;"",K984&lt;&gt;"",N984&gt;0),"有证据","缺C984证据"),IF(F984="C984发货确认中",IF(AND(J984&lt;&gt;"",K984&lt;&gt;""),"有证据","缺C984证据"),IF(F984="手动完结",IF(OR(L984&lt;&gt;"",O984&lt;&gt;"",S984&lt;&gt;""),"有记录","缺手工证据"),IF(OR(F984="卖出待补仓",F984="提交结果待确认",F984="异常待处理"),"持续跟踪","检查状态")))))</x:f>
      </x:c>
      <x:c r="T984" s="64" t="str">
        <x:f>IF(A984="","",IF(COUNTIF($A$5:$A$1204,A984)&gt;1,"重复",""))</x:f>
      </x:c>
      <x:c r="U984" s="64" t="str">
        <x:f>IF(A984="","",IF(T984="重复","检查重复",IF(OR(R984="有证据",R984="有记录",R984="持续跟踪"),"可追踪","检查")))</x:f>
      </x:c>
    </x:row>
    <x:row r="985">
      <x:c r="A985" s="62"/>
      <x:c r="B985" s="62"/>
      <x:c r="C985" s="62"/>
      <x:c r="D985" s="66"/>
      <x:c r="E985" s="68"/>
      <x:c r="F985" s="62"/>
      <x:c r="G985" s="62"/>
      <x:c r="H985" s="62"/>
      <x:c r="I985" s="62"/>
      <x:c r="J985" s="62"/>
      <x:c r="K985" s="62"/>
      <x:c r="L985" s="62"/>
      <x:c r="M985" s="68"/>
      <x:c r="N985" s="68"/>
      <x:c r="O985" s="68"/>
      <x:c r="P985" s="71" t="str">
        <x:f>IF(A985="","",IF(N985&gt;0,N985,M985))</x:f>
      </x:c>
      <x:c r="Q985" s="72" t="n">
        <x:f>IF(A985="",0,IF(COUNTIF($A$5:A985,A985)=1,1,0))</x:f>
        <x:v>0</x:v>
      </x:c>
      <x:c r="R985" s="64" t="str">
        <x:f>IF(A985="","",IF(F985="C985成功",IF(AND(J985&lt;&gt;"",K985&lt;&gt;"",N985&gt;0),"有证据","缺C985证据"),IF(F985="C985发货确认中",IF(AND(J985&lt;&gt;"",K985&lt;&gt;""),"有证据","缺C985证据"),IF(F985="手动完结",IF(OR(L985&lt;&gt;"",O985&lt;&gt;"",S985&lt;&gt;""),"有记录","缺手工证据"),IF(OR(F985="卖出待补仓",F985="提交结果待确认",F985="异常待处理"),"持续跟踪","检查状态")))))</x:f>
      </x:c>
      <x:c r="T985" s="64" t="str">
        <x:f>IF(A985="","",IF(COUNTIF($A$5:$A$1204,A985)&gt;1,"重复",""))</x:f>
      </x:c>
      <x:c r="U985" s="64" t="str">
        <x:f>IF(A985="","",IF(T985="重复","检查重复",IF(OR(R985="有证据",R985="有记录",R985="持续跟踪"),"可追踪","检查")))</x:f>
      </x:c>
    </x:row>
    <x:row r="986">
      <x:c r="A986" s="62"/>
      <x:c r="B986" s="62"/>
      <x:c r="C986" s="62"/>
      <x:c r="D986" s="66"/>
      <x:c r="E986" s="68"/>
      <x:c r="F986" s="62"/>
      <x:c r="G986" s="62"/>
      <x:c r="H986" s="62"/>
      <x:c r="I986" s="62"/>
      <x:c r="J986" s="62"/>
      <x:c r="K986" s="62"/>
      <x:c r="L986" s="62"/>
      <x:c r="M986" s="68"/>
      <x:c r="N986" s="68"/>
      <x:c r="O986" s="68"/>
      <x:c r="P986" s="71" t="str">
        <x:f>IF(A986="","",IF(N986&gt;0,N986,M986))</x:f>
      </x:c>
      <x:c r="Q986" s="72" t="n">
        <x:f>IF(A986="",0,IF(COUNTIF($A$5:A986,A986)=1,1,0))</x:f>
        <x:v>0</x:v>
      </x:c>
      <x:c r="R986" s="64" t="str">
        <x:f>IF(A986="","",IF(F986="C986成功",IF(AND(J986&lt;&gt;"",K986&lt;&gt;"",N986&gt;0),"有证据","缺C986证据"),IF(F986="C986发货确认中",IF(AND(J986&lt;&gt;"",K986&lt;&gt;""),"有证据","缺C986证据"),IF(F986="手动完结",IF(OR(L986&lt;&gt;"",O986&lt;&gt;"",S986&lt;&gt;""),"有记录","缺手工证据"),IF(OR(F986="卖出待补仓",F986="提交结果待确认",F986="异常待处理"),"持续跟踪","检查状态")))))</x:f>
      </x:c>
      <x:c r="T986" s="64" t="str">
        <x:f>IF(A986="","",IF(COUNTIF($A$5:$A$1204,A986)&gt;1,"重复",""))</x:f>
      </x:c>
      <x:c r="U986" s="64" t="str">
        <x:f>IF(A986="","",IF(T986="重复","检查重复",IF(OR(R986="有证据",R986="有记录",R986="持续跟踪"),"可追踪","检查")))</x:f>
      </x:c>
    </x:row>
    <x:row r="987">
      <x:c r="A987" s="62"/>
      <x:c r="B987" s="62"/>
      <x:c r="C987" s="62"/>
      <x:c r="D987" s="66"/>
      <x:c r="E987" s="68"/>
      <x:c r="F987" s="62"/>
      <x:c r="G987" s="62"/>
      <x:c r="H987" s="62"/>
      <x:c r="I987" s="62"/>
      <x:c r="J987" s="62"/>
      <x:c r="K987" s="62"/>
      <x:c r="L987" s="62"/>
      <x:c r="M987" s="68"/>
      <x:c r="N987" s="68"/>
      <x:c r="O987" s="68"/>
      <x:c r="P987" s="71" t="str">
        <x:f>IF(A987="","",IF(N987&gt;0,N987,M987))</x:f>
      </x:c>
      <x:c r="Q987" s="72" t="n">
        <x:f>IF(A987="",0,IF(COUNTIF($A$5:A987,A987)=1,1,0))</x:f>
        <x:v>0</x:v>
      </x:c>
      <x:c r="R987" s="64" t="str">
        <x:f>IF(A987="","",IF(F987="C987成功",IF(AND(J987&lt;&gt;"",K987&lt;&gt;"",N987&gt;0),"有证据","缺C987证据"),IF(F987="C987发货确认中",IF(AND(J987&lt;&gt;"",K987&lt;&gt;""),"有证据","缺C987证据"),IF(F987="手动完结",IF(OR(L987&lt;&gt;"",O987&lt;&gt;"",S987&lt;&gt;""),"有记录","缺手工证据"),IF(OR(F987="卖出待补仓",F987="提交结果待确认",F987="异常待处理"),"持续跟踪","检查状态")))))</x:f>
      </x:c>
      <x:c r="T987" s="64" t="str">
        <x:f>IF(A987="","",IF(COUNTIF($A$5:$A$1204,A987)&gt;1,"重复",""))</x:f>
      </x:c>
      <x:c r="U987" s="64" t="str">
        <x:f>IF(A987="","",IF(T987="重复","检查重复",IF(OR(R987="有证据",R987="有记录",R987="持续跟踪"),"可追踪","检查")))</x:f>
      </x:c>
    </x:row>
    <x:row r="988">
      <x:c r="A988" s="62"/>
      <x:c r="B988" s="62"/>
      <x:c r="C988" s="62"/>
      <x:c r="D988" s="66"/>
      <x:c r="E988" s="68"/>
      <x:c r="F988" s="62"/>
      <x:c r="G988" s="62"/>
      <x:c r="H988" s="62"/>
      <x:c r="I988" s="62"/>
      <x:c r="J988" s="62"/>
      <x:c r="K988" s="62"/>
      <x:c r="L988" s="62"/>
      <x:c r="M988" s="68"/>
      <x:c r="N988" s="68"/>
      <x:c r="O988" s="68"/>
      <x:c r="P988" s="71" t="str">
        <x:f>IF(A988="","",IF(N988&gt;0,N988,M988))</x:f>
      </x:c>
      <x:c r="Q988" s="72" t="n">
        <x:f>IF(A988="",0,IF(COUNTIF($A$5:A988,A988)=1,1,0))</x:f>
        <x:v>0</x:v>
      </x:c>
      <x:c r="R988" s="64" t="str">
        <x:f>IF(A988="","",IF(F988="C988成功",IF(AND(J988&lt;&gt;"",K988&lt;&gt;"",N988&gt;0),"有证据","缺C988证据"),IF(F988="C988发货确认中",IF(AND(J988&lt;&gt;"",K988&lt;&gt;""),"有证据","缺C988证据"),IF(F988="手动完结",IF(OR(L988&lt;&gt;"",O988&lt;&gt;"",S988&lt;&gt;""),"有记录","缺手工证据"),IF(OR(F988="卖出待补仓",F988="提交结果待确认",F988="异常待处理"),"持续跟踪","检查状态")))))</x:f>
      </x:c>
      <x:c r="T988" s="64" t="str">
        <x:f>IF(A988="","",IF(COUNTIF($A$5:$A$1204,A988)&gt;1,"重复",""))</x:f>
      </x:c>
      <x:c r="U988" s="64" t="str">
        <x:f>IF(A988="","",IF(T988="重复","检查重复",IF(OR(R988="有证据",R988="有记录",R988="持续跟踪"),"可追踪","检查")))</x:f>
      </x:c>
    </x:row>
    <x:row r="989">
      <x:c r="A989" s="62"/>
      <x:c r="B989" s="62"/>
      <x:c r="C989" s="62"/>
      <x:c r="D989" s="66"/>
      <x:c r="E989" s="68"/>
      <x:c r="F989" s="62"/>
      <x:c r="G989" s="62"/>
      <x:c r="H989" s="62"/>
      <x:c r="I989" s="62"/>
      <x:c r="J989" s="62"/>
      <x:c r="K989" s="62"/>
      <x:c r="L989" s="62"/>
      <x:c r="M989" s="68"/>
      <x:c r="N989" s="68"/>
      <x:c r="O989" s="68"/>
      <x:c r="P989" s="71" t="str">
        <x:f>IF(A989="","",IF(N989&gt;0,N989,M989))</x:f>
      </x:c>
      <x:c r="Q989" s="72" t="n">
        <x:f>IF(A989="",0,IF(COUNTIF($A$5:A989,A989)=1,1,0))</x:f>
        <x:v>0</x:v>
      </x:c>
      <x:c r="R989" s="64" t="str">
        <x:f>IF(A989="","",IF(F989="C989成功",IF(AND(J989&lt;&gt;"",K989&lt;&gt;"",N989&gt;0),"有证据","缺C989证据"),IF(F989="C989发货确认中",IF(AND(J989&lt;&gt;"",K989&lt;&gt;""),"有证据","缺C989证据"),IF(F989="手动完结",IF(OR(L989&lt;&gt;"",O989&lt;&gt;"",S989&lt;&gt;""),"有记录","缺手工证据"),IF(OR(F989="卖出待补仓",F989="提交结果待确认",F989="异常待处理"),"持续跟踪","检查状态")))))</x:f>
      </x:c>
      <x:c r="T989" s="64" t="str">
        <x:f>IF(A989="","",IF(COUNTIF($A$5:$A$1204,A989)&gt;1,"重复",""))</x:f>
      </x:c>
      <x:c r="U989" s="64" t="str">
        <x:f>IF(A989="","",IF(T989="重复","检查重复",IF(OR(R989="有证据",R989="有记录",R989="持续跟踪"),"可追踪","检查")))</x:f>
      </x:c>
    </x:row>
    <x:row r="990">
      <x:c r="A990" s="62"/>
      <x:c r="B990" s="62"/>
      <x:c r="C990" s="62"/>
      <x:c r="D990" s="66"/>
      <x:c r="E990" s="68"/>
      <x:c r="F990" s="62"/>
      <x:c r="G990" s="62"/>
      <x:c r="H990" s="62"/>
      <x:c r="I990" s="62"/>
      <x:c r="J990" s="62"/>
      <x:c r="K990" s="62"/>
      <x:c r="L990" s="62"/>
      <x:c r="M990" s="68"/>
      <x:c r="N990" s="68"/>
      <x:c r="O990" s="68"/>
      <x:c r="P990" s="71" t="str">
        <x:f>IF(A990="","",IF(N990&gt;0,N990,M990))</x:f>
      </x:c>
      <x:c r="Q990" s="72" t="n">
        <x:f>IF(A990="",0,IF(COUNTIF($A$5:A990,A990)=1,1,0))</x:f>
        <x:v>0</x:v>
      </x:c>
      <x:c r="R990" s="64" t="str">
        <x:f>IF(A990="","",IF(F990="C990成功",IF(AND(J990&lt;&gt;"",K990&lt;&gt;"",N990&gt;0),"有证据","缺C990证据"),IF(F990="C990发货确认中",IF(AND(J990&lt;&gt;"",K990&lt;&gt;""),"有证据","缺C990证据"),IF(F990="手动完结",IF(OR(L990&lt;&gt;"",O990&lt;&gt;"",S990&lt;&gt;""),"有记录","缺手工证据"),IF(OR(F990="卖出待补仓",F990="提交结果待确认",F990="异常待处理"),"持续跟踪","检查状态")))))</x:f>
      </x:c>
      <x:c r="T990" s="64" t="str">
        <x:f>IF(A990="","",IF(COUNTIF($A$5:$A$1204,A990)&gt;1,"重复",""))</x:f>
      </x:c>
      <x:c r="U990" s="64" t="str">
        <x:f>IF(A990="","",IF(T990="重复","检查重复",IF(OR(R990="有证据",R990="有记录",R990="持续跟踪"),"可追踪","检查")))</x:f>
      </x:c>
    </x:row>
    <x:row r="991">
      <x:c r="A991" s="62"/>
      <x:c r="B991" s="62"/>
      <x:c r="C991" s="62"/>
      <x:c r="D991" s="66"/>
      <x:c r="E991" s="68"/>
      <x:c r="F991" s="62"/>
      <x:c r="G991" s="62"/>
      <x:c r="H991" s="62"/>
      <x:c r="I991" s="62"/>
      <x:c r="J991" s="62"/>
      <x:c r="K991" s="62"/>
      <x:c r="L991" s="62"/>
      <x:c r="M991" s="68"/>
      <x:c r="N991" s="68"/>
      <x:c r="O991" s="68"/>
      <x:c r="P991" s="71" t="str">
        <x:f>IF(A991="","",IF(N991&gt;0,N991,M991))</x:f>
      </x:c>
      <x:c r="Q991" s="72" t="n">
        <x:f>IF(A991="",0,IF(COUNTIF($A$5:A991,A991)=1,1,0))</x:f>
        <x:v>0</x:v>
      </x:c>
      <x:c r="R991" s="64" t="str">
        <x:f>IF(A991="","",IF(F991="C991成功",IF(AND(J991&lt;&gt;"",K991&lt;&gt;"",N991&gt;0),"有证据","缺C991证据"),IF(F991="C991发货确认中",IF(AND(J991&lt;&gt;"",K991&lt;&gt;""),"有证据","缺C991证据"),IF(F991="手动完结",IF(OR(L991&lt;&gt;"",O991&lt;&gt;"",S991&lt;&gt;""),"有记录","缺手工证据"),IF(OR(F991="卖出待补仓",F991="提交结果待确认",F991="异常待处理"),"持续跟踪","检查状态")))))</x:f>
      </x:c>
      <x:c r="T991" s="64" t="str">
        <x:f>IF(A991="","",IF(COUNTIF($A$5:$A$1204,A991)&gt;1,"重复",""))</x:f>
      </x:c>
      <x:c r="U991" s="64" t="str">
        <x:f>IF(A991="","",IF(T991="重复","检查重复",IF(OR(R991="有证据",R991="有记录",R991="持续跟踪"),"可追踪","检查")))</x:f>
      </x:c>
    </x:row>
    <x:row r="992">
      <x:c r="A992" s="62"/>
      <x:c r="B992" s="62"/>
      <x:c r="C992" s="62"/>
      <x:c r="D992" s="66"/>
      <x:c r="E992" s="68"/>
      <x:c r="F992" s="62"/>
      <x:c r="G992" s="62"/>
      <x:c r="H992" s="62"/>
      <x:c r="I992" s="62"/>
      <x:c r="J992" s="62"/>
      <x:c r="K992" s="62"/>
      <x:c r="L992" s="62"/>
      <x:c r="M992" s="68"/>
      <x:c r="N992" s="68"/>
      <x:c r="O992" s="68"/>
      <x:c r="P992" s="71" t="str">
        <x:f>IF(A992="","",IF(N992&gt;0,N992,M992))</x:f>
      </x:c>
      <x:c r="Q992" s="72" t="n">
        <x:f>IF(A992="",0,IF(COUNTIF($A$5:A992,A992)=1,1,0))</x:f>
        <x:v>0</x:v>
      </x:c>
      <x:c r="R992" s="64" t="str">
        <x:f>IF(A992="","",IF(F992="C992成功",IF(AND(J992&lt;&gt;"",K992&lt;&gt;"",N992&gt;0),"有证据","缺C992证据"),IF(F992="C992发货确认中",IF(AND(J992&lt;&gt;"",K992&lt;&gt;""),"有证据","缺C992证据"),IF(F992="手动完结",IF(OR(L992&lt;&gt;"",O992&lt;&gt;"",S992&lt;&gt;""),"有记录","缺手工证据"),IF(OR(F992="卖出待补仓",F992="提交结果待确认",F992="异常待处理"),"持续跟踪","检查状态")))))</x:f>
      </x:c>
      <x:c r="T992" s="64" t="str">
        <x:f>IF(A992="","",IF(COUNTIF($A$5:$A$1204,A992)&gt;1,"重复",""))</x:f>
      </x:c>
      <x:c r="U992" s="64" t="str">
        <x:f>IF(A992="","",IF(T992="重复","检查重复",IF(OR(R992="有证据",R992="有记录",R992="持续跟踪"),"可追踪","检查")))</x:f>
      </x:c>
    </x:row>
    <x:row r="993">
      <x:c r="A993" s="62"/>
      <x:c r="B993" s="62"/>
      <x:c r="C993" s="62"/>
      <x:c r="D993" s="66"/>
      <x:c r="E993" s="68"/>
      <x:c r="F993" s="62"/>
      <x:c r="G993" s="62"/>
      <x:c r="H993" s="62"/>
      <x:c r="I993" s="62"/>
      <x:c r="J993" s="62"/>
      <x:c r="K993" s="62"/>
      <x:c r="L993" s="62"/>
      <x:c r="M993" s="68"/>
      <x:c r="N993" s="68"/>
      <x:c r="O993" s="68"/>
      <x:c r="P993" s="71" t="str">
        <x:f>IF(A993="","",IF(N993&gt;0,N993,M993))</x:f>
      </x:c>
      <x:c r="Q993" s="72" t="n">
        <x:f>IF(A993="",0,IF(COUNTIF($A$5:A993,A993)=1,1,0))</x:f>
        <x:v>0</x:v>
      </x:c>
      <x:c r="R993" s="64" t="str">
        <x:f>IF(A993="","",IF(F993="C993成功",IF(AND(J993&lt;&gt;"",K993&lt;&gt;"",N993&gt;0),"有证据","缺C993证据"),IF(F993="C993发货确认中",IF(AND(J993&lt;&gt;"",K993&lt;&gt;""),"有证据","缺C993证据"),IF(F993="手动完结",IF(OR(L993&lt;&gt;"",O993&lt;&gt;"",S993&lt;&gt;""),"有记录","缺手工证据"),IF(OR(F993="卖出待补仓",F993="提交结果待确认",F993="异常待处理"),"持续跟踪","检查状态")))))</x:f>
      </x:c>
      <x:c r="T993" s="64" t="str">
        <x:f>IF(A993="","",IF(COUNTIF($A$5:$A$1204,A993)&gt;1,"重复",""))</x:f>
      </x:c>
      <x:c r="U993" s="64" t="str">
        <x:f>IF(A993="","",IF(T993="重复","检查重复",IF(OR(R993="有证据",R993="有记录",R993="持续跟踪"),"可追踪","检查")))</x:f>
      </x:c>
    </x:row>
    <x:row r="994">
      <x:c r="A994" s="62"/>
      <x:c r="B994" s="62"/>
      <x:c r="C994" s="62"/>
      <x:c r="D994" s="66"/>
      <x:c r="E994" s="68"/>
      <x:c r="F994" s="62"/>
      <x:c r="G994" s="62"/>
      <x:c r="H994" s="62"/>
      <x:c r="I994" s="62"/>
      <x:c r="J994" s="62"/>
      <x:c r="K994" s="62"/>
      <x:c r="L994" s="62"/>
      <x:c r="M994" s="68"/>
      <x:c r="N994" s="68"/>
      <x:c r="O994" s="68"/>
      <x:c r="P994" s="71" t="str">
        <x:f>IF(A994="","",IF(N994&gt;0,N994,M994))</x:f>
      </x:c>
      <x:c r="Q994" s="72" t="n">
        <x:f>IF(A994="",0,IF(COUNTIF($A$5:A994,A994)=1,1,0))</x:f>
        <x:v>0</x:v>
      </x:c>
      <x:c r="R994" s="64" t="str">
        <x:f>IF(A994="","",IF(F994="C994成功",IF(AND(J994&lt;&gt;"",K994&lt;&gt;"",N994&gt;0),"有证据","缺C994证据"),IF(F994="C994发货确认中",IF(AND(J994&lt;&gt;"",K994&lt;&gt;""),"有证据","缺C994证据"),IF(F994="手动完结",IF(OR(L994&lt;&gt;"",O994&lt;&gt;"",S994&lt;&gt;""),"有记录","缺手工证据"),IF(OR(F994="卖出待补仓",F994="提交结果待确认",F994="异常待处理"),"持续跟踪","检查状态")))))</x:f>
      </x:c>
      <x:c r="T994" s="64" t="str">
        <x:f>IF(A994="","",IF(COUNTIF($A$5:$A$1204,A994)&gt;1,"重复",""))</x:f>
      </x:c>
      <x:c r="U994" s="64" t="str">
        <x:f>IF(A994="","",IF(T994="重复","检查重复",IF(OR(R994="有证据",R994="有记录",R994="持续跟踪"),"可追踪","检查")))</x:f>
      </x:c>
    </x:row>
    <x:row r="995">
      <x:c r="A995" s="62"/>
      <x:c r="B995" s="62"/>
      <x:c r="C995" s="62"/>
      <x:c r="D995" s="66"/>
      <x:c r="E995" s="68"/>
      <x:c r="F995" s="62"/>
      <x:c r="G995" s="62"/>
      <x:c r="H995" s="62"/>
      <x:c r="I995" s="62"/>
      <x:c r="J995" s="62"/>
      <x:c r="K995" s="62"/>
      <x:c r="L995" s="62"/>
      <x:c r="M995" s="68"/>
      <x:c r="N995" s="68"/>
      <x:c r="O995" s="68"/>
      <x:c r="P995" s="71" t="str">
        <x:f>IF(A995="","",IF(N995&gt;0,N995,M995))</x:f>
      </x:c>
      <x:c r="Q995" s="72" t="n">
        <x:f>IF(A995="",0,IF(COUNTIF($A$5:A995,A995)=1,1,0))</x:f>
        <x:v>0</x:v>
      </x:c>
      <x:c r="R995" s="64" t="str">
        <x:f>IF(A995="","",IF(F995="C995成功",IF(AND(J995&lt;&gt;"",K995&lt;&gt;"",N995&gt;0),"有证据","缺C995证据"),IF(F995="C995发货确认中",IF(AND(J995&lt;&gt;"",K995&lt;&gt;""),"有证据","缺C995证据"),IF(F995="手动完结",IF(OR(L995&lt;&gt;"",O995&lt;&gt;"",S995&lt;&gt;""),"有记录","缺手工证据"),IF(OR(F995="卖出待补仓",F995="提交结果待确认",F995="异常待处理"),"持续跟踪","检查状态")))))</x:f>
      </x:c>
      <x:c r="T995" s="64" t="str">
        <x:f>IF(A995="","",IF(COUNTIF($A$5:$A$1204,A995)&gt;1,"重复",""))</x:f>
      </x:c>
      <x:c r="U995" s="64" t="str">
        <x:f>IF(A995="","",IF(T995="重复","检查重复",IF(OR(R995="有证据",R995="有记录",R995="持续跟踪"),"可追踪","检查")))</x:f>
      </x:c>
    </x:row>
    <x:row r="996">
      <x:c r="A996" s="62"/>
      <x:c r="B996" s="62"/>
      <x:c r="C996" s="62"/>
      <x:c r="D996" s="66"/>
      <x:c r="E996" s="68"/>
      <x:c r="F996" s="62"/>
      <x:c r="G996" s="62"/>
      <x:c r="H996" s="62"/>
      <x:c r="I996" s="62"/>
      <x:c r="J996" s="62"/>
      <x:c r="K996" s="62"/>
      <x:c r="L996" s="62"/>
      <x:c r="M996" s="68"/>
      <x:c r="N996" s="68"/>
      <x:c r="O996" s="68"/>
      <x:c r="P996" s="71" t="str">
        <x:f>IF(A996="","",IF(N996&gt;0,N996,M996))</x:f>
      </x:c>
      <x:c r="Q996" s="72" t="n">
        <x:f>IF(A996="",0,IF(COUNTIF($A$5:A996,A996)=1,1,0))</x:f>
        <x:v>0</x:v>
      </x:c>
      <x:c r="R996" s="64" t="str">
        <x:f>IF(A996="","",IF(F996="C996成功",IF(AND(J996&lt;&gt;"",K996&lt;&gt;"",N996&gt;0),"有证据","缺C996证据"),IF(F996="C996发货确认中",IF(AND(J996&lt;&gt;"",K996&lt;&gt;""),"有证据","缺C996证据"),IF(F996="手动完结",IF(OR(L996&lt;&gt;"",O996&lt;&gt;"",S996&lt;&gt;""),"有记录","缺手工证据"),IF(OR(F996="卖出待补仓",F996="提交结果待确认",F996="异常待处理"),"持续跟踪","检查状态")))))</x:f>
      </x:c>
      <x:c r="T996" s="64" t="str">
        <x:f>IF(A996="","",IF(COUNTIF($A$5:$A$1204,A996)&gt;1,"重复",""))</x:f>
      </x:c>
      <x:c r="U996" s="64" t="str">
        <x:f>IF(A996="","",IF(T996="重复","检查重复",IF(OR(R996="有证据",R996="有记录",R996="持续跟踪"),"可追踪","检查")))</x:f>
      </x:c>
    </x:row>
    <x:row r="997">
      <x:c r="A997" s="62"/>
      <x:c r="B997" s="62"/>
      <x:c r="C997" s="62"/>
      <x:c r="D997" s="66"/>
      <x:c r="E997" s="68"/>
      <x:c r="F997" s="62"/>
      <x:c r="G997" s="62"/>
      <x:c r="H997" s="62"/>
      <x:c r="I997" s="62"/>
      <x:c r="J997" s="62"/>
      <x:c r="K997" s="62"/>
      <x:c r="L997" s="62"/>
      <x:c r="M997" s="68"/>
      <x:c r="N997" s="68"/>
      <x:c r="O997" s="68"/>
      <x:c r="P997" s="71" t="str">
        <x:f>IF(A997="","",IF(N997&gt;0,N997,M997))</x:f>
      </x:c>
      <x:c r="Q997" s="72" t="n">
        <x:f>IF(A997="",0,IF(COUNTIF($A$5:A997,A997)=1,1,0))</x:f>
        <x:v>0</x:v>
      </x:c>
      <x:c r="R997" s="64" t="str">
        <x:f>IF(A997="","",IF(F997="C997成功",IF(AND(J997&lt;&gt;"",K997&lt;&gt;"",N997&gt;0),"有证据","缺C997证据"),IF(F997="C997发货确认中",IF(AND(J997&lt;&gt;"",K997&lt;&gt;""),"有证据","缺C997证据"),IF(F997="手动完结",IF(OR(L997&lt;&gt;"",O997&lt;&gt;"",S997&lt;&gt;""),"有记录","缺手工证据"),IF(OR(F997="卖出待补仓",F997="提交结果待确认",F997="异常待处理"),"持续跟踪","检查状态")))))</x:f>
      </x:c>
      <x:c r="T997" s="64" t="str">
        <x:f>IF(A997="","",IF(COUNTIF($A$5:$A$1204,A997)&gt;1,"重复",""))</x:f>
      </x:c>
      <x:c r="U997" s="64" t="str">
        <x:f>IF(A997="","",IF(T997="重复","检查重复",IF(OR(R997="有证据",R997="有记录",R997="持续跟踪"),"可追踪","检查")))</x:f>
      </x:c>
    </x:row>
    <x:row r="998">
      <x:c r="A998" s="62"/>
      <x:c r="B998" s="62"/>
      <x:c r="C998" s="62"/>
      <x:c r="D998" s="66"/>
      <x:c r="E998" s="68"/>
      <x:c r="F998" s="62"/>
      <x:c r="G998" s="62"/>
      <x:c r="H998" s="62"/>
      <x:c r="I998" s="62"/>
      <x:c r="J998" s="62"/>
      <x:c r="K998" s="62"/>
      <x:c r="L998" s="62"/>
      <x:c r="M998" s="68"/>
      <x:c r="N998" s="68"/>
      <x:c r="O998" s="68"/>
      <x:c r="P998" s="71" t="str">
        <x:f>IF(A998="","",IF(N998&gt;0,N998,M998))</x:f>
      </x:c>
      <x:c r="Q998" s="72" t="n">
        <x:f>IF(A998="",0,IF(COUNTIF($A$5:A998,A998)=1,1,0))</x:f>
        <x:v>0</x:v>
      </x:c>
      <x:c r="R998" s="64" t="str">
        <x:f>IF(A998="","",IF(F998="C998成功",IF(AND(J998&lt;&gt;"",K998&lt;&gt;"",N998&gt;0),"有证据","缺C998证据"),IF(F998="C998发货确认中",IF(AND(J998&lt;&gt;"",K998&lt;&gt;""),"有证据","缺C998证据"),IF(F998="手动完结",IF(OR(L998&lt;&gt;"",O998&lt;&gt;"",S998&lt;&gt;""),"有记录","缺手工证据"),IF(OR(F998="卖出待补仓",F998="提交结果待确认",F998="异常待处理"),"持续跟踪","检查状态")))))</x:f>
      </x:c>
      <x:c r="T998" s="64" t="str">
        <x:f>IF(A998="","",IF(COUNTIF($A$5:$A$1204,A998)&gt;1,"重复",""))</x:f>
      </x:c>
      <x:c r="U998" s="64" t="str">
        <x:f>IF(A998="","",IF(T998="重复","检查重复",IF(OR(R998="有证据",R998="有记录",R998="持续跟踪"),"可追踪","检查")))</x:f>
      </x:c>
    </x:row>
    <x:row r="999">
      <x:c r="A999" s="62"/>
      <x:c r="B999" s="62"/>
      <x:c r="C999" s="62"/>
      <x:c r="D999" s="66"/>
      <x:c r="E999" s="68"/>
      <x:c r="F999" s="62"/>
      <x:c r="G999" s="62"/>
      <x:c r="H999" s="62"/>
      <x:c r="I999" s="62"/>
      <x:c r="J999" s="62"/>
      <x:c r="K999" s="62"/>
      <x:c r="L999" s="62"/>
      <x:c r="M999" s="68"/>
      <x:c r="N999" s="68"/>
      <x:c r="O999" s="68"/>
      <x:c r="P999" s="71" t="str">
        <x:f>IF(A999="","",IF(N999&gt;0,N999,M999))</x:f>
      </x:c>
      <x:c r="Q999" s="72" t="n">
        <x:f>IF(A999="",0,IF(COUNTIF($A$5:A999,A999)=1,1,0))</x:f>
        <x:v>0</x:v>
      </x:c>
      <x:c r="R999" s="64" t="str">
        <x:f>IF(A999="","",IF(F999="C999成功",IF(AND(J999&lt;&gt;"",K999&lt;&gt;"",N999&gt;0),"有证据","缺C999证据"),IF(F999="C999发货确认中",IF(AND(J999&lt;&gt;"",K999&lt;&gt;""),"有证据","缺C999证据"),IF(F999="手动完结",IF(OR(L999&lt;&gt;"",O999&lt;&gt;"",S999&lt;&gt;""),"有记录","缺手工证据"),IF(OR(F999="卖出待补仓",F999="提交结果待确认",F999="异常待处理"),"持续跟踪","检查状态")))))</x:f>
      </x:c>
      <x:c r="T999" s="64" t="str">
        <x:f>IF(A999="","",IF(COUNTIF($A$5:$A$1204,A999)&gt;1,"重复",""))</x:f>
      </x:c>
      <x:c r="U999" s="64" t="str">
        <x:f>IF(A999="","",IF(T999="重复","检查重复",IF(OR(R999="有证据",R999="有记录",R999="持续跟踪"),"可追踪","检查")))</x:f>
      </x:c>
    </x:row>
    <x:row r="1000">
      <x:c r="A1000" s="62"/>
      <x:c r="B1000" s="62"/>
      <x:c r="C1000" s="62"/>
      <x:c r="D1000" s="66"/>
      <x:c r="E1000" s="68"/>
      <x:c r="F1000" s="62"/>
      <x:c r="G1000" s="62"/>
      <x:c r="H1000" s="62"/>
      <x:c r="I1000" s="62"/>
      <x:c r="J1000" s="62"/>
      <x:c r="K1000" s="62"/>
      <x:c r="L1000" s="62"/>
      <x:c r="M1000" s="68"/>
      <x:c r="N1000" s="68"/>
      <x:c r="O1000" s="68"/>
      <x:c r="P1000" s="71" t="str">
        <x:f>IF(A1000="","",IF(N1000&gt;0,N1000,M1000))</x:f>
      </x:c>
      <x:c r="Q1000" s="72" t="n">
        <x:f>IF(A1000="",0,IF(COUNTIF($A$5:A1000,A1000)=1,1,0))</x:f>
        <x:v>0</x:v>
      </x:c>
      <x:c r="R1000" s="64" t="str">
        <x:f>IF(A1000="","",IF(F1000="C1000成功",IF(AND(J1000&lt;&gt;"",K1000&lt;&gt;"",N1000&gt;0),"有证据","缺C1000证据"),IF(F1000="C1000发货确认中",IF(AND(J1000&lt;&gt;"",K1000&lt;&gt;""),"有证据","缺C1000证据"),IF(F1000="手动完结",IF(OR(L1000&lt;&gt;"",O1000&lt;&gt;"",S1000&lt;&gt;""),"有记录","缺手工证据"),IF(OR(F1000="卖出待补仓",F1000="提交结果待确认",F1000="异常待处理"),"持续跟踪","检查状态")))))</x:f>
      </x:c>
      <x:c r="T1000" s="64" t="str">
        <x:f>IF(A1000="","",IF(COUNTIF($A$5:$A$1204,A1000)&gt;1,"重复",""))</x:f>
      </x:c>
      <x:c r="U1000" s="64" t="str">
        <x:f>IF(A1000="","",IF(T1000="重复","检查重复",IF(OR(R1000="有证据",R1000="有记录",R1000="持续跟踪"),"可追踪","检查")))</x:f>
      </x:c>
    </x:row>
    <x:row r="1001">
      <x:c r="A1001" s="62"/>
      <x:c r="B1001" s="62"/>
      <x:c r="C1001" s="62"/>
      <x:c r="D1001" s="66"/>
      <x:c r="E1001" s="68"/>
      <x:c r="F1001" s="62"/>
      <x:c r="G1001" s="62"/>
      <x:c r="H1001" s="62"/>
      <x:c r="I1001" s="62"/>
      <x:c r="J1001" s="62"/>
      <x:c r="K1001" s="62"/>
      <x:c r="L1001" s="62"/>
      <x:c r="M1001" s="68"/>
      <x:c r="N1001" s="68"/>
      <x:c r="O1001" s="68"/>
      <x:c r="P1001" s="71" t="str">
        <x:f>IF(A1001="","",IF(N1001&gt;0,N1001,M1001))</x:f>
      </x:c>
      <x:c r="Q1001" s="72" t="n">
        <x:f>IF(A1001="",0,IF(COUNTIF($A$5:A1001,A1001)=1,1,0))</x:f>
        <x:v>0</x:v>
      </x:c>
      <x:c r="R1001" s="64" t="str">
        <x:f>IF(A1001="","",IF(F1001="C1001成功",IF(AND(J1001&lt;&gt;"",K1001&lt;&gt;"",N1001&gt;0),"有证据","缺C1001证据"),IF(F1001="C1001发货确认中",IF(AND(J1001&lt;&gt;"",K1001&lt;&gt;""),"有证据","缺C1001证据"),IF(F1001="手动完结",IF(OR(L1001&lt;&gt;"",O1001&lt;&gt;"",S1001&lt;&gt;""),"有记录","缺手工证据"),IF(OR(F1001="卖出待补仓",F1001="提交结果待确认",F1001="异常待处理"),"持续跟踪","检查状态")))))</x:f>
      </x:c>
      <x:c r="T1001" s="64" t="str">
        <x:f>IF(A1001="","",IF(COUNTIF($A$5:$A$1204,A1001)&gt;1,"重复",""))</x:f>
      </x:c>
      <x:c r="U1001" s="64" t="str">
        <x:f>IF(A1001="","",IF(T1001="重复","检查重复",IF(OR(R1001="有证据",R1001="有记录",R1001="持续跟踪"),"可追踪","检查")))</x:f>
      </x:c>
    </x:row>
    <x:row r="1002">
      <x:c r="A1002" s="62"/>
      <x:c r="B1002" s="62"/>
      <x:c r="C1002" s="62"/>
      <x:c r="D1002" s="66"/>
      <x:c r="E1002" s="68"/>
      <x:c r="F1002" s="62"/>
      <x:c r="G1002" s="62"/>
      <x:c r="H1002" s="62"/>
      <x:c r="I1002" s="62"/>
      <x:c r="J1002" s="62"/>
      <x:c r="K1002" s="62"/>
      <x:c r="L1002" s="62"/>
      <x:c r="M1002" s="68"/>
      <x:c r="N1002" s="68"/>
      <x:c r="O1002" s="68"/>
      <x:c r="P1002" s="71" t="str">
        <x:f>IF(A1002="","",IF(N1002&gt;0,N1002,M1002))</x:f>
      </x:c>
      <x:c r="Q1002" s="72" t="n">
        <x:f>IF(A1002="",0,IF(COUNTIF($A$5:A1002,A1002)=1,1,0))</x:f>
        <x:v>0</x:v>
      </x:c>
      <x:c r="R1002" s="64" t="str">
        <x:f>IF(A1002="","",IF(F1002="C1002成功",IF(AND(J1002&lt;&gt;"",K1002&lt;&gt;"",N1002&gt;0),"有证据","缺C1002证据"),IF(F1002="C1002发货确认中",IF(AND(J1002&lt;&gt;"",K1002&lt;&gt;""),"有证据","缺C1002证据"),IF(F1002="手动完结",IF(OR(L1002&lt;&gt;"",O1002&lt;&gt;"",S1002&lt;&gt;""),"有记录","缺手工证据"),IF(OR(F1002="卖出待补仓",F1002="提交结果待确认",F1002="异常待处理"),"持续跟踪","检查状态")))))</x:f>
      </x:c>
      <x:c r="T1002" s="64" t="str">
        <x:f>IF(A1002="","",IF(COUNTIF($A$5:$A$1204,A1002)&gt;1,"重复",""))</x:f>
      </x:c>
      <x:c r="U1002" s="64" t="str">
        <x:f>IF(A1002="","",IF(T1002="重复","检查重复",IF(OR(R1002="有证据",R1002="有记录",R1002="持续跟踪"),"可追踪","检查")))</x:f>
      </x:c>
    </x:row>
    <x:row r="1003">
      <x:c r="A1003" s="62"/>
      <x:c r="B1003" s="62"/>
      <x:c r="C1003" s="62"/>
      <x:c r="D1003" s="66"/>
      <x:c r="E1003" s="68"/>
      <x:c r="F1003" s="62"/>
      <x:c r="G1003" s="62"/>
      <x:c r="H1003" s="62"/>
      <x:c r="I1003" s="62"/>
      <x:c r="J1003" s="62"/>
      <x:c r="K1003" s="62"/>
      <x:c r="L1003" s="62"/>
      <x:c r="M1003" s="68"/>
      <x:c r="N1003" s="68"/>
      <x:c r="O1003" s="68"/>
      <x:c r="P1003" s="71" t="str">
        <x:f>IF(A1003="","",IF(N1003&gt;0,N1003,M1003))</x:f>
      </x:c>
      <x:c r="Q1003" s="72" t="n">
        <x:f>IF(A1003="",0,IF(COUNTIF($A$5:A1003,A1003)=1,1,0))</x:f>
        <x:v>0</x:v>
      </x:c>
      <x:c r="R1003" s="64" t="str">
        <x:f>IF(A1003="","",IF(F1003="C1003成功",IF(AND(J1003&lt;&gt;"",K1003&lt;&gt;"",N1003&gt;0),"有证据","缺C1003证据"),IF(F1003="C1003发货确认中",IF(AND(J1003&lt;&gt;"",K1003&lt;&gt;""),"有证据","缺C1003证据"),IF(F1003="手动完结",IF(OR(L1003&lt;&gt;"",O1003&lt;&gt;"",S1003&lt;&gt;""),"有记录","缺手工证据"),IF(OR(F1003="卖出待补仓",F1003="提交结果待确认",F1003="异常待处理"),"持续跟踪","检查状态")))))</x:f>
      </x:c>
      <x:c r="T1003" s="64" t="str">
        <x:f>IF(A1003="","",IF(COUNTIF($A$5:$A$1204,A1003)&gt;1,"重复",""))</x:f>
      </x:c>
      <x:c r="U1003" s="64" t="str">
        <x:f>IF(A1003="","",IF(T1003="重复","检查重复",IF(OR(R1003="有证据",R1003="有记录",R1003="持续跟踪"),"可追踪","检查")))</x:f>
      </x:c>
    </x:row>
    <x:row r="1004">
      <x:c r="A1004" s="62"/>
      <x:c r="B1004" s="62"/>
      <x:c r="C1004" s="62"/>
      <x:c r="D1004" s="66"/>
      <x:c r="E1004" s="68"/>
      <x:c r="F1004" s="62"/>
      <x:c r="G1004" s="62"/>
      <x:c r="H1004" s="62"/>
      <x:c r="I1004" s="62"/>
      <x:c r="J1004" s="62"/>
      <x:c r="K1004" s="62"/>
      <x:c r="L1004" s="62"/>
      <x:c r="M1004" s="68"/>
      <x:c r="N1004" s="68"/>
      <x:c r="O1004" s="68"/>
      <x:c r="P1004" s="71" t="str">
        <x:f>IF(A1004="","",IF(N1004&gt;0,N1004,M1004))</x:f>
      </x:c>
      <x:c r="Q1004" s="72" t="n">
        <x:f>IF(A1004="",0,IF(COUNTIF($A$5:A1004,A1004)=1,1,0))</x:f>
        <x:v>0</x:v>
      </x:c>
      <x:c r="R1004" s="64" t="str">
        <x:f>IF(A1004="","",IF(F1004="C1004成功",IF(AND(J1004&lt;&gt;"",K1004&lt;&gt;"",N1004&gt;0),"有证据","缺C1004证据"),IF(F1004="C1004发货确认中",IF(AND(J1004&lt;&gt;"",K1004&lt;&gt;""),"有证据","缺C1004证据"),IF(F1004="手动完结",IF(OR(L1004&lt;&gt;"",O1004&lt;&gt;"",S1004&lt;&gt;""),"有记录","缺手工证据"),IF(OR(F1004="卖出待补仓",F1004="提交结果待确认",F1004="异常待处理"),"持续跟踪","检查状态")))))</x:f>
      </x:c>
      <x:c r="T1004" s="64" t="str">
        <x:f>IF(A1004="","",IF(COUNTIF($A$5:$A$1204,A1004)&gt;1,"重复",""))</x:f>
      </x:c>
      <x:c r="U1004" s="64" t="str">
        <x:f>IF(A1004="","",IF(T1004="重复","检查重复",IF(OR(R1004="有证据",R1004="有记录",R1004="持续跟踪"),"可追踪","检查")))</x:f>
      </x:c>
    </x:row>
    <x:row r="1005">
      <x:c r="A1005" s="62"/>
      <x:c r="B1005" s="62"/>
      <x:c r="C1005" s="62"/>
      <x:c r="D1005" s="66"/>
      <x:c r="E1005" s="68"/>
      <x:c r="F1005" s="62"/>
      <x:c r="G1005" s="62"/>
      <x:c r="H1005" s="62"/>
      <x:c r="I1005" s="62"/>
      <x:c r="J1005" s="62"/>
      <x:c r="K1005" s="62"/>
      <x:c r="L1005" s="62"/>
      <x:c r="M1005" s="68"/>
      <x:c r="N1005" s="68"/>
      <x:c r="O1005" s="68"/>
      <x:c r="P1005" s="71" t="str">
        <x:f>IF(A1005="","",IF(N1005&gt;0,N1005,M1005))</x:f>
      </x:c>
      <x:c r="Q1005" s="72" t="n">
        <x:f>IF(A1005="",0,IF(COUNTIF($A$5:A1005,A1005)=1,1,0))</x:f>
        <x:v>0</x:v>
      </x:c>
      <x:c r="R1005" s="64" t="str">
        <x:f>IF(A1005="","",IF(F1005="C1005成功",IF(AND(J1005&lt;&gt;"",K1005&lt;&gt;"",N1005&gt;0),"有证据","缺C1005证据"),IF(F1005="C1005发货确认中",IF(AND(J1005&lt;&gt;"",K1005&lt;&gt;""),"有证据","缺C1005证据"),IF(F1005="手动完结",IF(OR(L1005&lt;&gt;"",O1005&lt;&gt;"",S1005&lt;&gt;""),"有记录","缺手工证据"),IF(OR(F1005="卖出待补仓",F1005="提交结果待确认",F1005="异常待处理"),"持续跟踪","检查状态")))))</x:f>
      </x:c>
      <x:c r="T1005" s="64" t="str">
        <x:f>IF(A1005="","",IF(COUNTIF($A$5:$A$1204,A1005)&gt;1,"重复",""))</x:f>
      </x:c>
      <x:c r="U1005" s="64" t="str">
        <x:f>IF(A1005="","",IF(T1005="重复","检查重复",IF(OR(R1005="有证据",R1005="有记录",R1005="持续跟踪"),"可追踪","检查")))</x:f>
      </x:c>
    </x:row>
    <x:row r="1006">
      <x:c r="A1006" s="62"/>
      <x:c r="B1006" s="62"/>
      <x:c r="C1006" s="62"/>
      <x:c r="D1006" s="66"/>
      <x:c r="E1006" s="68"/>
      <x:c r="F1006" s="62"/>
      <x:c r="G1006" s="62"/>
      <x:c r="H1006" s="62"/>
      <x:c r="I1006" s="62"/>
      <x:c r="J1006" s="62"/>
      <x:c r="K1006" s="62"/>
      <x:c r="L1006" s="62"/>
      <x:c r="M1006" s="68"/>
      <x:c r="N1006" s="68"/>
      <x:c r="O1006" s="68"/>
      <x:c r="P1006" s="71" t="str">
        <x:f>IF(A1006="","",IF(N1006&gt;0,N1006,M1006))</x:f>
      </x:c>
      <x:c r="Q1006" s="72" t="n">
        <x:f>IF(A1006="",0,IF(COUNTIF($A$5:A1006,A1006)=1,1,0))</x:f>
        <x:v>0</x:v>
      </x:c>
      <x:c r="R1006" s="64" t="str">
        <x:f>IF(A1006="","",IF(F1006="C1006成功",IF(AND(J1006&lt;&gt;"",K1006&lt;&gt;"",N1006&gt;0),"有证据","缺C1006证据"),IF(F1006="C1006发货确认中",IF(AND(J1006&lt;&gt;"",K1006&lt;&gt;""),"有证据","缺C1006证据"),IF(F1006="手动完结",IF(OR(L1006&lt;&gt;"",O1006&lt;&gt;"",S1006&lt;&gt;""),"有记录","缺手工证据"),IF(OR(F1006="卖出待补仓",F1006="提交结果待确认",F1006="异常待处理"),"持续跟踪","检查状态")))))</x:f>
      </x:c>
      <x:c r="T1006" s="64" t="str">
        <x:f>IF(A1006="","",IF(COUNTIF($A$5:$A$1204,A1006)&gt;1,"重复",""))</x:f>
      </x:c>
      <x:c r="U1006" s="64" t="str">
        <x:f>IF(A1006="","",IF(T1006="重复","检查重复",IF(OR(R1006="有证据",R1006="有记录",R1006="持续跟踪"),"可追踪","检查")))</x:f>
      </x:c>
    </x:row>
    <x:row r="1007">
      <x:c r="A1007" s="62"/>
      <x:c r="B1007" s="62"/>
      <x:c r="C1007" s="62"/>
      <x:c r="D1007" s="66"/>
      <x:c r="E1007" s="68"/>
      <x:c r="F1007" s="62"/>
      <x:c r="G1007" s="62"/>
      <x:c r="H1007" s="62"/>
      <x:c r="I1007" s="62"/>
      <x:c r="J1007" s="62"/>
      <x:c r="K1007" s="62"/>
      <x:c r="L1007" s="62"/>
      <x:c r="M1007" s="68"/>
      <x:c r="N1007" s="68"/>
      <x:c r="O1007" s="68"/>
      <x:c r="P1007" s="71" t="str">
        <x:f>IF(A1007="","",IF(N1007&gt;0,N1007,M1007))</x:f>
      </x:c>
      <x:c r="Q1007" s="72" t="n">
        <x:f>IF(A1007="",0,IF(COUNTIF($A$5:A1007,A1007)=1,1,0))</x:f>
        <x:v>0</x:v>
      </x:c>
      <x:c r="R1007" s="64" t="str">
        <x:f>IF(A1007="","",IF(F1007="C1007成功",IF(AND(J1007&lt;&gt;"",K1007&lt;&gt;"",N1007&gt;0),"有证据","缺C1007证据"),IF(F1007="C1007发货确认中",IF(AND(J1007&lt;&gt;"",K1007&lt;&gt;""),"有证据","缺C1007证据"),IF(F1007="手动完结",IF(OR(L1007&lt;&gt;"",O1007&lt;&gt;"",S1007&lt;&gt;""),"有记录","缺手工证据"),IF(OR(F1007="卖出待补仓",F1007="提交结果待确认",F1007="异常待处理"),"持续跟踪","检查状态")))))</x:f>
      </x:c>
      <x:c r="T1007" s="64" t="str">
        <x:f>IF(A1007="","",IF(COUNTIF($A$5:$A$1204,A1007)&gt;1,"重复",""))</x:f>
      </x:c>
      <x:c r="U1007" s="64" t="str">
        <x:f>IF(A1007="","",IF(T1007="重复","检查重复",IF(OR(R1007="有证据",R1007="有记录",R1007="持续跟踪"),"可追踪","检查")))</x:f>
      </x:c>
    </x:row>
    <x:row r="1008">
      <x:c r="A1008" s="62"/>
      <x:c r="B1008" s="62"/>
      <x:c r="C1008" s="62"/>
      <x:c r="D1008" s="66"/>
      <x:c r="E1008" s="68"/>
      <x:c r="F1008" s="62"/>
      <x:c r="G1008" s="62"/>
      <x:c r="H1008" s="62"/>
      <x:c r="I1008" s="62"/>
      <x:c r="J1008" s="62"/>
      <x:c r="K1008" s="62"/>
      <x:c r="L1008" s="62"/>
      <x:c r="M1008" s="68"/>
      <x:c r="N1008" s="68"/>
      <x:c r="O1008" s="68"/>
      <x:c r="P1008" s="71" t="str">
        <x:f>IF(A1008="","",IF(N1008&gt;0,N1008,M1008))</x:f>
      </x:c>
      <x:c r="Q1008" s="72" t="n">
        <x:f>IF(A1008="",0,IF(COUNTIF($A$5:A1008,A1008)=1,1,0))</x:f>
        <x:v>0</x:v>
      </x:c>
      <x:c r="R1008" s="64" t="str">
        <x:f>IF(A1008="","",IF(F1008="C1008成功",IF(AND(J1008&lt;&gt;"",K1008&lt;&gt;"",N1008&gt;0),"有证据","缺C1008证据"),IF(F1008="C1008发货确认中",IF(AND(J1008&lt;&gt;"",K1008&lt;&gt;""),"有证据","缺C1008证据"),IF(F1008="手动完结",IF(OR(L1008&lt;&gt;"",O1008&lt;&gt;"",S1008&lt;&gt;""),"有记录","缺手工证据"),IF(OR(F1008="卖出待补仓",F1008="提交结果待确认",F1008="异常待处理"),"持续跟踪","检查状态")))))</x:f>
      </x:c>
      <x:c r="T1008" s="64" t="str">
        <x:f>IF(A1008="","",IF(COUNTIF($A$5:$A$1204,A1008)&gt;1,"重复",""))</x:f>
      </x:c>
      <x:c r="U1008" s="64" t="str">
        <x:f>IF(A1008="","",IF(T1008="重复","检查重复",IF(OR(R1008="有证据",R1008="有记录",R1008="持续跟踪"),"可追踪","检查")))</x:f>
      </x:c>
    </x:row>
    <x:row r="1009">
      <x:c r="A1009" s="62"/>
      <x:c r="B1009" s="62"/>
      <x:c r="C1009" s="62"/>
      <x:c r="D1009" s="66"/>
      <x:c r="E1009" s="68"/>
      <x:c r="F1009" s="62"/>
      <x:c r="G1009" s="62"/>
      <x:c r="H1009" s="62"/>
      <x:c r="I1009" s="62"/>
      <x:c r="J1009" s="62"/>
      <x:c r="K1009" s="62"/>
      <x:c r="L1009" s="62"/>
      <x:c r="M1009" s="68"/>
      <x:c r="N1009" s="68"/>
      <x:c r="O1009" s="68"/>
      <x:c r="P1009" s="71" t="str">
        <x:f>IF(A1009="","",IF(N1009&gt;0,N1009,M1009))</x:f>
      </x:c>
      <x:c r="Q1009" s="72" t="n">
        <x:f>IF(A1009="",0,IF(COUNTIF($A$5:A1009,A1009)=1,1,0))</x:f>
        <x:v>0</x:v>
      </x:c>
      <x:c r="R1009" s="64" t="str">
        <x:f>IF(A1009="","",IF(F1009="C1009成功",IF(AND(J1009&lt;&gt;"",K1009&lt;&gt;"",N1009&gt;0),"有证据","缺C1009证据"),IF(F1009="C1009发货确认中",IF(AND(J1009&lt;&gt;"",K1009&lt;&gt;""),"有证据","缺C1009证据"),IF(F1009="手动完结",IF(OR(L1009&lt;&gt;"",O1009&lt;&gt;"",S1009&lt;&gt;""),"有记录","缺手工证据"),IF(OR(F1009="卖出待补仓",F1009="提交结果待确认",F1009="异常待处理"),"持续跟踪","检查状态")))))</x:f>
      </x:c>
      <x:c r="T1009" s="64" t="str">
        <x:f>IF(A1009="","",IF(COUNTIF($A$5:$A$1204,A1009)&gt;1,"重复",""))</x:f>
      </x:c>
      <x:c r="U1009" s="64" t="str">
        <x:f>IF(A1009="","",IF(T1009="重复","检查重复",IF(OR(R1009="有证据",R1009="有记录",R1009="持续跟踪"),"可追踪","检查")))</x:f>
      </x:c>
    </x:row>
    <x:row r="1010">
      <x:c r="A1010" s="62"/>
      <x:c r="B1010" s="62"/>
      <x:c r="C1010" s="62"/>
      <x:c r="D1010" s="66"/>
      <x:c r="E1010" s="68"/>
      <x:c r="F1010" s="62"/>
      <x:c r="G1010" s="62"/>
      <x:c r="H1010" s="62"/>
      <x:c r="I1010" s="62"/>
      <x:c r="J1010" s="62"/>
      <x:c r="K1010" s="62"/>
      <x:c r="L1010" s="62"/>
      <x:c r="M1010" s="68"/>
      <x:c r="N1010" s="68"/>
      <x:c r="O1010" s="68"/>
      <x:c r="P1010" s="71" t="str">
        <x:f>IF(A1010="","",IF(N1010&gt;0,N1010,M1010))</x:f>
      </x:c>
      <x:c r="Q1010" s="72" t="n">
        <x:f>IF(A1010="",0,IF(COUNTIF($A$5:A1010,A1010)=1,1,0))</x:f>
        <x:v>0</x:v>
      </x:c>
      <x:c r="R1010" s="64" t="str">
        <x:f>IF(A1010="","",IF(F1010="C1010成功",IF(AND(J1010&lt;&gt;"",K1010&lt;&gt;"",N1010&gt;0),"有证据","缺C1010证据"),IF(F1010="C1010发货确认中",IF(AND(J1010&lt;&gt;"",K1010&lt;&gt;""),"有证据","缺C1010证据"),IF(F1010="手动完结",IF(OR(L1010&lt;&gt;"",O1010&lt;&gt;"",S1010&lt;&gt;""),"有记录","缺手工证据"),IF(OR(F1010="卖出待补仓",F1010="提交结果待确认",F1010="异常待处理"),"持续跟踪","检查状态")))))</x:f>
      </x:c>
      <x:c r="T1010" s="64" t="str">
        <x:f>IF(A1010="","",IF(COUNTIF($A$5:$A$1204,A1010)&gt;1,"重复",""))</x:f>
      </x:c>
      <x:c r="U1010" s="64" t="str">
        <x:f>IF(A1010="","",IF(T1010="重复","检查重复",IF(OR(R1010="有证据",R1010="有记录",R1010="持续跟踪"),"可追踪","检查")))</x:f>
      </x:c>
    </x:row>
    <x:row r="1011">
      <x:c r="A1011" s="62"/>
      <x:c r="B1011" s="62"/>
      <x:c r="C1011" s="62"/>
      <x:c r="D1011" s="66"/>
      <x:c r="E1011" s="68"/>
      <x:c r="F1011" s="62"/>
      <x:c r="G1011" s="62"/>
      <x:c r="H1011" s="62"/>
      <x:c r="I1011" s="62"/>
      <x:c r="J1011" s="62"/>
      <x:c r="K1011" s="62"/>
      <x:c r="L1011" s="62"/>
      <x:c r="M1011" s="68"/>
      <x:c r="N1011" s="68"/>
      <x:c r="O1011" s="68"/>
      <x:c r="P1011" s="71" t="str">
        <x:f>IF(A1011="","",IF(N1011&gt;0,N1011,M1011))</x:f>
      </x:c>
      <x:c r="Q1011" s="72" t="n">
        <x:f>IF(A1011="",0,IF(COUNTIF($A$5:A1011,A1011)=1,1,0))</x:f>
        <x:v>0</x:v>
      </x:c>
      <x:c r="R1011" s="64" t="str">
        <x:f>IF(A1011="","",IF(F1011="C1011成功",IF(AND(J1011&lt;&gt;"",K1011&lt;&gt;"",N1011&gt;0),"有证据","缺C1011证据"),IF(F1011="C1011发货确认中",IF(AND(J1011&lt;&gt;"",K1011&lt;&gt;""),"有证据","缺C1011证据"),IF(F1011="手动完结",IF(OR(L1011&lt;&gt;"",O1011&lt;&gt;"",S1011&lt;&gt;""),"有记录","缺手工证据"),IF(OR(F1011="卖出待补仓",F1011="提交结果待确认",F1011="异常待处理"),"持续跟踪","检查状态")))))</x:f>
      </x:c>
      <x:c r="T1011" s="64" t="str">
        <x:f>IF(A1011="","",IF(COUNTIF($A$5:$A$1204,A1011)&gt;1,"重复",""))</x:f>
      </x:c>
      <x:c r="U1011" s="64" t="str">
        <x:f>IF(A1011="","",IF(T1011="重复","检查重复",IF(OR(R1011="有证据",R1011="有记录",R1011="持续跟踪"),"可追踪","检查")))</x:f>
      </x:c>
    </x:row>
    <x:row r="1012">
      <x:c r="A1012" s="62"/>
      <x:c r="B1012" s="62"/>
      <x:c r="C1012" s="62"/>
      <x:c r="D1012" s="66"/>
      <x:c r="E1012" s="68"/>
      <x:c r="F1012" s="62"/>
      <x:c r="G1012" s="62"/>
      <x:c r="H1012" s="62"/>
      <x:c r="I1012" s="62"/>
      <x:c r="J1012" s="62"/>
      <x:c r="K1012" s="62"/>
      <x:c r="L1012" s="62"/>
      <x:c r="M1012" s="68"/>
      <x:c r="N1012" s="68"/>
      <x:c r="O1012" s="68"/>
      <x:c r="P1012" s="71" t="str">
        <x:f>IF(A1012="","",IF(N1012&gt;0,N1012,M1012))</x:f>
      </x:c>
      <x:c r="Q1012" s="72" t="n">
        <x:f>IF(A1012="",0,IF(COUNTIF($A$5:A1012,A1012)=1,1,0))</x:f>
        <x:v>0</x:v>
      </x:c>
      <x:c r="R1012" s="64" t="str">
        <x:f>IF(A1012="","",IF(F1012="C1012成功",IF(AND(J1012&lt;&gt;"",K1012&lt;&gt;"",N1012&gt;0),"有证据","缺C1012证据"),IF(F1012="C1012发货确认中",IF(AND(J1012&lt;&gt;"",K1012&lt;&gt;""),"有证据","缺C1012证据"),IF(F1012="手动完结",IF(OR(L1012&lt;&gt;"",O1012&lt;&gt;"",S1012&lt;&gt;""),"有记录","缺手工证据"),IF(OR(F1012="卖出待补仓",F1012="提交结果待确认",F1012="异常待处理"),"持续跟踪","检查状态")))))</x:f>
      </x:c>
      <x:c r="T1012" s="64" t="str">
        <x:f>IF(A1012="","",IF(COUNTIF($A$5:$A$1204,A1012)&gt;1,"重复",""))</x:f>
      </x:c>
      <x:c r="U1012" s="64" t="str">
        <x:f>IF(A1012="","",IF(T1012="重复","检查重复",IF(OR(R1012="有证据",R1012="有记录",R1012="持续跟踪"),"可追踪","检查")))</x:f>
      </x:c>
    </x:row>
    <x:row r="1013">
      <x:c r="A1013" s="62"/>
      <x:c r="B1013" s="62"/>
      <x:c r="C1013" s="62"/>
      <x:c r="D1013" s="66"/>
      <x:c r="E1013" s="68"/>
      <x:c r="F1013" s="62"/>
      <x:c r="G1013" s="62"/>
      <x:c r="H1013" s="62"/>
      <x:c r="I1013" s="62"/>
      <x:c r="J1013" s="62"/>
      <x:c r="K1013" s="62"/>
      <x:c r="L1013" s="62"/>
      <x:c r="M1013" s="68"/>
      <x:c r="N1013" s="68"/>
      <x:c r="O1013" s="68"/>
      <x:c r="P1013" s="71" t="str">
        <x:f>IF(A1013="","",IF(N1013&gt;0,N1013,M1013))</x:f>
      </x:c>
      <x:c r="Q1013" s="72" t="n">
        <x:f>IF(A1013="",0,IF(COUNTIF($A$5:A1013,A1013)=1,1,0))</x:f>
        <x:v>0</x:v>
      </x:c>
      <x:c r="R1013" s="64" t="str">
        <x:f>IF(A1013="","",IF(F1013="C1013成功",IF(AND(J1013&lt;&gt;"",K1013&lt;&gt;"",N1013&gt;0),"有证据","缺C1013证据"),IF(F1013="C1013发货确认中",IF(AND(J1013&lt;&gt;"",K1013&lt;&gt;""),"有证据","缺C1013证据"),IF(F1013="手动完结",IF(OR(L1013&lt;&gt;"",O1013&lt;&gt;"",S1013&lt;&gt;""),"有记录","缺手工证据"),IF(OR(F1013="卖出待补仓",F1013="提交结果待确认",F1013="异常待处理"),"持续跟踪","检查状态")))))</x:f>
      </x:c>
      <x:c r="T1013" s="64" t="str">
        <x:f>IF(A1013="","",IF(COUNTIF($A$5:$A$1204,A1013)&gt;1,"重复",""))</x:f>
      </x:c>
      <x:c r="U1013" s="64" t="str">
        <x:f>IF(A1013="","",IF(T1013="重复","检查重复",IF(OR(R1013="有证据",R1013="有记录",R1013="持续跟踪"),"可追踪","检查")))</x:f>
      </x:c>
    </x:row>
    <x:row r="1014">
      <x:c r="A1014" s="62"/>
      <x:c r="B1014" s="62"/>
      <x:c r="C1014" s="62"/>
      <x:c r="D1014" s="66"/>
      <x:c r="E1014" s="68"/>
      <x:c r="F1014" s="62"/>
      <x:c r="G1014" s="62"/>
      <x:c r="H1014" s="62"/>
      <x:c r="I1014" s="62"/>
      <x:c r="J1014" s="62"/>
      <x:c r="K1014" s="62"/>
      <x:c r="L1014" s="62"/>
      <x:c r="M1014" s="68"/>
      <x:c r="N1014" s="68"/>
      <x:c r="O1014" s="68"/>
      <x:c r="P1014" s="71" t="str">
        <x:f>IF(A1014="","",IF(N1014&gt;0,N1014,M1014))</x:f>
      </x:c>
      <x:c r="Q1014" s="72" t="n">
        <x:f>IF(A1014="",0,IF(COUNTIF($A$5:A1014,A1014)=1,1,0))</x:f>
        <x:v>0</x:v>
      </x:c>
      <x:c r="R1014" s="64" t="str">
        <x:f>IF(A1014="","",IF(F1014="C1014成功",IF(AND(J1014&lt;&gt;"",K1014&lt;&gt;"",N1014&gt;0),"有证据","缺C1014证据"),IF(F1014="C1014发货确认中",IF(AND(J1014&lt;&gt;"",K1014&lt;&gt;""),"有证据","缺C1014证据"),IF(F1014="手动完结",IF(OR(L1014&lt;&gt;"",O1014&lt;&gt;"",S1014&lt;&gt;""),"有记录","缺手工证据"),IF(OR(F1014="卖出待补仓",F1014="提交结果待确认",F1014="异常待处理"),"持续跟踪","检查状态")))))</x:f>
      </x:c>
      <x:c r="T1014" s="64" t="str">
        <x:f>IF(A1014="","",IF(COUNTIF($A$5:$A$1204,A1014)&gt;1,"重复",""))</x:f>
      </x:c>
      <x:c r="U1014" s="64" t="str">
        <x:f>IF(A1014="","",IF(T1014="重复","检查重复",IF(OR(R1014="有证据",R1014="有记录",R1014="持续跟踪"),"可追踪","检查")))</x:f>
      </x:c>
    </x:row>
    <x:row r="1015">
      <x:c r="A1015" s="62"/>
      <x:c r="B1015" s="62"/>
      <x:c r="C1015" s="62"/>
      <x:c r="D1015" s="66"/>
      <x:c r="E1015" s="68"/>
      <x:c r="F1015" s="62"/>
      <x:c r="G1015" s="62"/>
      <x:c r="H1015" s="62"/>
      <x:c r="I1015" s="62"/>
      <x:c r="J1015" s="62"/>
      <x:c r="K1015" s="62"/>
      <x:c r="L1015" s="62"/>
      <x:c r="M1015" s="68"/>
      <x:c r="N1015" s="68"/>
      <x:c r="O1015" s="68"/>
      <x:c r="P1015" s="71" t="str">
        <x:f>IF(A1015="","",IF(N1015&gt;0,N1015,M1015))</x:f>
      </x:c>
      <x:c r="Q1015" s="72" t="n">
        <x:f>IF(A1015="",0,IF(COUNTIF($A$5:A1015,A1015)=1,1,0))</x:f>
        <x:v>0</x:v>
      </x:c>
      <x:c r="R1015" s="64" t="str">
        <x:f>IF(A1015="","",IF(F1015="C1015成功",IF(AND(J1015&lt;&gt;"",K1015&lt;&gt;"",N1015&gt;0),"有证据","缺C1015证据"),IF(F1015="C1015发货确认中",IF(AND(J1015&lt;&gt;"",K1015&lt;&gt;""),"有证据","缺C1015证据"),IF(F1015="手动完结",IF(OR(L1015&lt;&gt;"",O1015&lt;&gt;"",S1015&lt;&gt;""),"有记录","缺手工证据"),IF(OR(F1015="卖出待补仓",F1015="提交结果待确认",F1015="异常待处理"),"持续跟踪","检查状态")))))</x:f>
      </x:c>
      <x:c r="T1015" s="64" t="str">
        <x:f>IF(A1015="","",IF(COUNTIF($A$5:$A$1204,A1015)&gt;1,"重复",""))</x:f>
      </x:c>
      <x:c r="U1015" s="64" t="str">
        <x:f>IF(A1015="","",IF(T1015="重复","检查重复",IF(OR(R1015="有证据",R1015="有记录",R1015="持续跟踪"),"可追踪","检查")))</x:f>
      </x:c>
    </x:row>
    <x:row r="1016">
      <x:c r="A1016" s="62"/>
      <x:c r="B1016" s="62"/>
      <x:c r="C1016" s="62"/>
      <x:c r="D1016" s="66"/>
      <x:c r="E1016" s="68"/>
      <x:c r="F1016" s="62"/>
      <x:c r="G1016" s="62"/>
      <x:c r="H1016" s="62"/>
      <x:c r="I1016" s="62"/>
      <x:c r="J1016" s="62"/>
      <x:c r="K1016" s="62"/>
      <x:c r="L1016" s="62"/>
      <x:c r="M1016" s="68"/>
      <x:c r="N1016" s="68"/>
      <x:c r="O1016" s="68"/>
      <x:c r="P1016" s="71" t="str">
        <x:f>IF(A1016="","",IF(N1016&gt;0,N1016,M1016))</x:f>
      </x:c>
      <x:c r="Q1016" s="72" t="n">
        <x:f>IF(A1016="",0,IF(COUNTIF($A$5:A1016,A1016)=1,1,0))</x:f>
        <x:v>0</x:v>
      </x:c>
      <x:c r="R1016" s="64" t="str">
        <x:f>IF(A1016="","",IF(F1016="C1016成功",IF(AND(J1016&lt;&gt;"",K1016&lt;&gt;"",N1016&gt;0),"有证据","缺C1016证据"),IF(F1016="C1016发货确认中",IF(AND(J1016&lt;&gt;"",K1016&lt;&gt;""),"有证据","缺C1016证据"),IF(F1016="手动完结",IF(OR(L1016&lt;&gt;"",O1016&lt;&gt;"",S1016&lt;&gt;""),"有记录","缺手工证据"),IF(OR(F1016="卖出待补仓",F1016="提交结果待确认",F1016="异常待处理"),"持续跟踪","检查状态")))))</x:f>
      </x:c>
      <x:c r="T1016" s="64" t="str">
        <x:f>IF(A1016="","",IF(COUNTIF($A$5:$A$1204,A1016)&gt;1,"重复",""))</x:f>
      </x:c>
      <x:c r="U1016" s="64" t="str">
        <x:f>IF(A1016="","",IF(T1016="重复","检查重复",IF(OR(R1016="有证据",R1016="有记录",R1016="持续跟踪"),"可追踪","检查")))</x:f>
      </x:c>
    </x:row>
    <x:row r="1017">
      <x:c r="A1017" s="62"/>
      <x:c r="B1017" s="62"/>
      <x:c r="C1017" s="62"/>
      <x:c r="D1017" s="66"/>
      <x:c r="E1017" s="68"/>
      <x:c r="F1017" s="62"/>
      <x:c r="G1017" s="62"/>
      <x:c r="H1017" s="62"/>
      <x:c r="I1017" s="62"/>
      <x:c r="J1017" s="62"/>
      <x:c r="K1017" s="62"/>
      <x:c r="L1017" s="62"/>
      <x:c r="M1017" s="68"/>
      <x:c r="N1017" s="68"/>
      <x:c r="O1017" s="68"/>
      <x:c r="P1017" s="71" t="str">
        <x:f>IF(A1017="","",IF(N1017&gt;0,N1017,M1017))</x:f>
      </x:c>
      <x:c r="Q1017" s="72" t="n">
        <x:f>IF(A1017="",0,IF(COUNTIF($A$5:A1017,A1017)=1,1,0))</x:f>
        <x:v>0</x:v>
      </x:c>
      <x:c r="R1017" s="64" t="str">
        <x:f>IF(A1017="","",IF(F1017="C1017成功",IF(AND(J1017&lt;&gt;"",K1017&lt;&gt;"",N1017&gt;0),"有证据","缺C1017证据"),IF(F1017="C1017发货确认中",IF(AND(J1017&lt;&gt;"",K1017&lt;&gt;""),"有证据","缺C1017证据"),IF(F1017="手动完结",IF(OR(L1017&lt;&gt;"",O1017&lt;&gt;"",S1017&lt;&gt;""),"有记录","缺手工证据"),IF(OR(F1017="卖出待补仓",F1017="提交结果待确认",F1017="异常待处理"),"持续跟踪","检查状态")))))</x:f>
      </x:c>
      <x:c r="T1017" s="64" t="str">
        <x:f>IF(A1017="","",IF(COUNTIF($A$5:$A$1204,A1017)&gt;1,"重复",""))</x:f>
      </x:c>
      <x:c r="U1017" s="64" t="str">
        <x:f>IF(A1017="","",IF(T1017="重复","检查重复",IF(OR(R1017="有证据",R1017="有记录",R1017="持续跟踪"),"可追踪","检查")))</x:f>
      </x:c>
    </x:row>
    <x:row r="1018">
      <x:c r="A1018" s="62"/>
      <x:c r="B1018" s="62"/>
      <x:c r="C1018" s="62"/>
      <x:c r="D1018" s="66"/>
      <x:c r="E1018" s="68"/>
      <x:c r="F1018" s="62"/>
      <x:c r="G1018" s="62"/>
      <x:c r="H1018" s="62"/>
      <x:c r="I1018" s="62"/>
      <x:c r="J1018" s="62"/>
      <x:c r="K1018" s="62"/>
      <x:c r="L1018" s="62"/>
      <x:c r="M1018" s="68"/>
      <x:c r="N1018" s="68"/>
      <x:c r="O1018" s="68"/>
      <x:c r="P1018" s="71" t="str">
        <x:f>IF(A1018="","",IF(N1018&gt;0,N1018,M1018))</x:f>
      </x:c>
      <x:c r="Q1018" s="72" t="n">
        <x:f>IF(A1018="",0,IF(COUNTIF($A$5:A1018,A1018)=1,1,0))</x:f>
        <x:v>0</x:v>
      </x:c>
      <x:c r="R1018" s="64" t="str">
        <x:f>IF(A1018="","",IF(F1018="C1018成功",IF(AND(J1018&lt;&gt;"",K1018&lt;&gt;"",N1018&gt;0),"有证据","缺C1018证据"),IF(F1018="C1018发货确认中",IF(AND(J1018&lt;&gt;"",K1018&lt;&gt;""),"有证据","缺C1018证据"),IF(F1018="手动完结",IF(OR(L1018&lt;&gt;"",O1018&lt;&gt;"",S1018&lt;&gt;""),"有记录","缺手工证据"),IF(OR(F1018="卖出待补仓",F1018="提交结果待确认",F1018="异常待处理"),"持续跟踪","检查状态")))))</x:f>
      </x:c>
      <x:c r="T1018" s="64" t="str">
        <x:f>IF(A1018="","",IF(COUNTIF($A$5:$A$1204,A1018)&gt;1,"重复",""))</x:f>
      </x:c>
      <x:c r="U1018" s="64" t="str">
        <x:f>IF(A1018="","",IF(T1018="重复","检查重复",IF(OR(R1018="有证据",R1018="有记录",R1018="持续跟踪"),"可追踪","检查")))</x:f>
      </x:c>
    </x:row>
    <x:row r="1019">
      <x:c r="A1019" s="62"/>
      <x:c r="B1019" s="62"/>
      <x:c r="C1019" s="62"/>
      <x:c r="D1019" s="66"/>
      <x:c r="E1019" s="68"/>
      <x:c r="F1019" s="62"/>
      <x:c r="G1019" s="62"/>
      <x:c r="H1019" s="62"/>
      <x:c r="I1019" s="62"/>
      <x:c r="J1019" s="62"/>
      <x:c r="K1019" s="62"/>
      <x:c r="L1019" s="62"/>
      <x:c r="M1019" s="68"/>
      <x:c r="N1019" s="68"/>
      <x:c r="O1019" s="68"/>
      <x:c r="P1019" s="71" t="str">
        <x:f>IF(A1019="","",IF(N1019&gt;0,N1019,M1019))</x:f>
      </x:c>
      <x:c r="Q1019" s="72" t="n">
        <x:f>IF(A1019="",0,IF(COUNTIF($A$5:A1019,A1019)=1,1,0))</x:f>
        <x:v>0</x:v>
      </x:c>
      <x:c r="R1019" s="64" t="str">
        <x:f>IF(A1019="","",IF(F1019="C1019成功",IF(AND(J1019&lt;&gt;"",K1019&lt;&gt;"",N1019&gt;0),"有证据","缺C1019证据"),IF(F1019="C1019发货确认中",IF(AND(J1019&lt;&gt;"",K1019&lt;&gt;""),"有证据","缺C1019证据"),IF(F1019="手动完结",IF(OR(L1019&lt;&gt;"",O1019&lt;&gt;"",S1019&lt;&gt;""),"有记录","缺手工证据"),IF(OR(F1019="卖出待补仓",F1019="提交结果待确认",F1019="异常待处理"),"持续跟踪","检查状态")))))</x:f>
      </x:c>
      <x:c r="T1019" s="64" t="str">
        <x:f>IF(A1019="","",IF(COUNTIF($A$5:$A$1204,A1019)&gt;1,"重复",""))</x:f>
      </x:c>
      <x:c r="U1019" s="64" t="str">
        <x:f>IF(A1019="","",IF(T1019="重复","检查重复",IF(OR(R1019="有证据",R1019="有记录",R1019="持续跟踪"),"可追踪","检查")))</x:f>
      </x:c>
    </x:row>
    <x:row r="1020">
      <x:c r="A1020" s="62"/>
      <x:c r="B1020" s="62"/>
      <x:c r="C1020" s="62"/>
      <x:c r="D1020" s="66"/>
      <x:c r="E1020" s="68"/>
      <x:c r="F1020" s="62"/>
      <x:c r="G1020" s="62"/>
      <x:c r="H1020" s="62"/>
      <x:c r="I1020" s="62"/>
      <x:c r="J1020" s="62"/>
      <x:c r="K1020" s="62"/>
      <x:c r="L1020" s="62"/>
      <x:c r="M1020" s="68"/>
      <x:c r="N1020" s="68"/>
      <x:c r="O1020" s="68"/>
      <x:c r="P1020" s="71" t="str">
        <x:f>IF(A1020="","",IF(N1020&gt;0,N1020,M1020))</x:f>
      </x:c>
      <x:c r="Q1020" s="72" t="n">
        <x:f>IF(A1020="",0,IF(COUNTIF($A$5:A1020,A1020)=1,1,0))</x:f>
        <x:v>0</x:v>
      </x:c>
      <x:c r="R1020" s="64" t="str">
        <x:f>IF(A1020="","",IF(F1020="C1020成功",IF(AND(J1020&lt;&gt;"",K1020&lt;&gt;"",N1020&gt;0),"有证据","缺C1020证据"),IF(F1020="C1020发货确认中",IF(AND(J1020&lt;&gt;"",K1020&lt;&gt;""),"有证据","缺C1020证据"),IF(F1020="手动完结",IF(OR(L1020&lt;&gt;"",O1020&lt;&gt;"",S1020&lt;&gt;""),"有记录","缺手工证据"),IF(OR(F1020="卖出待补仓",F1020="提交结果待确认",F1020="异常待处理"),"持续跟踪","检查状态")))))</x:f>
      </x:c>
      <x:c r="T1020" s="64" t="str">
        <x:f>IF(A1020="","",IF(COUNTIF($A$5:$A$1204,A1020)&gt;1,"重复",""))</x:f>
      </x:c>
      <x:c r="U1020" s="64" t="str">
        <x:f>IF(A1020="","",IF(T1020="重复","检查重复",IF(OR(R1020="有证据",R1020="有记录",R1020="持续跟踪"),"可追踪","检查")))</x:f>
      </x:c>
    </x:row>
    <x:row r="1021">
      <x:c r="A1021" s="62"/>
      <x:c r="B1021" s="62"/>
      <x:c r="C1021" s="62"/>
      <x:c r="D1021" s="66"/>
      <x:c r="E1021" s="68"/>
      <x:c r="F1021" s="62"/>
      <x:c r="G1021" s="62"/>
      <x:c r="H1021" s="62"/>
      <x:c r="I1021" s="62"/>
      <x:c r="J1021" s="62"/>
      <x:c r="K1021" s="62"/>
      <x:c r="L1021" s="62"/>
      <x:c r="M1021" s="68"/>
      <x:c r="N1021" s="68"/>
      <x:c r="O1021" s="68"/>
      <x:c r="P1021" s="71" t="str">
        <x:f>IF(A1021="","",IF(N1021&gt;0,N1021,M1021))</x:f>
      </x:c>
      <x:c r="Q1021" s="72" t="n">
        <x:f>IF(A1021="",0,IF(COUNTIF($A$5:A1021,A1021)=1,1,0))</x:f>
        <x:v>0</x:v>
      </x:c>
      <x:c r="R1021" s="64" t="str">
        <x:f>IF(A1021="","",IF(F1021="C1021成功",IF(AND(J1021&lt;&gt;"",K1021&lt;&gt;"",N1021&gt;0),"有证据","缺C1021证据"),IF(F1021="C1021发货确认中",IF(AND(J1021&lt;&gt;"",K1021&lt;&gt;""),"有证据","缺C1021证据"),IF(F1021="手动完结",IF(OR(L1021&lt;&gt;"",O1021&lt;&gt;"",S1021&lt;&gt;""),"有记录","缺手工证据"),IF(OR(F1021="卖出待补仓",F1021="提交结果待确认",F1021="异常待处理"),"持续跟踪","检查状态")))))</x:f>
      </x:c>
      <x:c r="T1021" s="64" t="str">
        <x:f>IF(A1021="","",IF(COUNTIF($A$5:$A$1204,A1021)&gt;1,"重复",""))</x:f>
      </x:c>
      <x:c r="U1021" s="64" t="str">
        <x:f>IF(A1021="","",IF(T1021="重复","检查重复",IF(OR(R1021="有证据",R1021="有记录",R1021="持续跟踪"),"可追踪","检查")))</x:f>
      </x:c>
    </x:row>
    <x:row r="1022">
      <x:c r="A1022" s="62"/>
      <x:c r="B1022" s="62"/>
      <x:c r="C1022" s="62"/>
      <x:c r="D1022" s="66"/>
      <x:c r="E1022" s="68"/>
      <x:c r="F1022" s="62"/>
      <x:c r="G1022" s="62"/>
      <x:c r="H1022" s="62"/>
      <x:c r="I1022" s="62"/>
      <x:c r="J1022" s="62"/>
      <x:c r="K1022" s="62"/>
      <x:c r="L1022" s="62"/>
      <x:c r="M1022" s="68"/>
      <x:c r="N1022" s="68"/>
      <x:c r="O1022" s="68"/>
      <x:c r="P1022" s="71" t="str">
        <x:f>IF(A1022="","",IF(N1022&gt;0,N1022,M1022))</x:f>
      </x:c>
      <x:c r="Q1022" s="72" t="n">
        <x:f>IF(A1022="",0,IF(COUNTIF($A$5:A1022,A1022)=1,1,0))</x:f>
        <x:v>0</x:v>
      </x:c>
      <x:c r="R1022" s="64" t="str">
        <x:f>IF(A1022="","",IF(F1022="C1022成功",IF(AND(J1022&lt;&gt;"",K1022&lt;&gt;"",N1022&gt;0),"有证据","缺C1022证据"),IF(F1022="C1022发货确认中",IF(AND(J1022&lt;&gt;"",K1022&lt;&gt;""),"有证据","缺C1022证据"),IF(F1022="手动完结",IF(OR(L1022&lt;&gt;"",O1022&lt;&gt;"",S1022&lt;&gt;""),"有记录","缺手工证据"),IF(OR(F1022="卖出待补仓",F1022="提交结果待确认",F1022="异常待处理"),"持续跟踪","检查状态")))))</x:f>
      </x:c>
      <x:c r="T1022" s="64" t="str">
        <x:f>IF(A1022="","",IF(COUNTIF($A$5:$A$1204,A1022)&gt;1,"重复",""))</x:f>
      </x:c>
      <x:c r="U1022" s="64" t="str">
        <x:f>IF(A1022="","",IF(T1022="重复","检查重复",IF(OR(R1022="有证据",R1022="有记录",R1022="持续跟踪"),"可追踪","检查")))</x:f>
      </x:c>
    </x:row>
    <x:row r="1023">
      <x:c r="A1023" s="62"/>
      <x:c r="B1023" s="62"/>
      <x:c r="C1023" s="62"/>
      <x:c r="D1023" s="66"/>
      <x:c r="E1023" s="68"/>
      <x:c r="F1023" s="62"/>
      <x:c r="G1023" s="62"/>
      <x:c r="H1023" s="62"/>
      <x:c r="I1023" s="62"/>
      <x:c r="J1023" s="62"/>
      <x:c r="K1023" s="62"/>
      <x:c r="L1023" s="62"/>
      <x:c r="M1023" s="68"/>
      <x:c r="N1023" s="68"/>
      <x:c r="O1023" s="68"/>
      <x:c r="P1023" s="71" t="str">
        <x:f>IF(A1023="","",IF(N1023&gt;0,N1023,M1023))</x:f>
      </x:c>
      <x:c r="Q1023" s="72" t="n">
        <x:f>IF(A1023="",0,IF(COUNTIF($A$5:A1023,A1023)=1,1,0))</x:f>
        <x:v>0</x:v>
      </x:c>
      <x:c r="R1023" s="64" t="str">
        <x:f>IF(A1023="","",IF(F1023="C1023成功",IF(AND(J1023&lt;&gt;"",K1023&lt;&gt;"",N1023&gt;0),"有证据","缺C1023证据"),IF(F1023="C1023发货确认中",IF(AND(J1023&lt;&gt;"",K1023&lt;&gt;""),"有证据","缺C1023证据"),IF(F1023="手动完结",IF(OR(L1023&lt;&gt;"",O1023&lt;&gt;"",S1023&lt;&gt;""),"有记录","缺手工证据"),IF(OR(F1023="卖出待补仓",F1023="提交结果待确认",F1023="异常待处理"),"持续跟踪","检查状态")))))</x:f>
      </x:c>
      <x:c r="T1023" s="64" t="str">
        <x:f>IF(A1023="","",IF(COUNTIF($A$5:$A$1204,A1023)&gt;1,"重复",""))</x:f>
      </x:c>
      <x:c r="U1023" s="64" t="str">
        <x:f>IF(A1023="","",IF(T1023="重复","检查重复",IF(OR(R1023="有证据",R1023="有记录",R1023="持续跟踪"),"可追踪","检查")))</x:f>
      </x:c>
    </x:row>
    <x:row r="1024">
      <x:c r="A1024" s="62"/>
      <x:c r="B1024" s="62"/>
      <x:c r="C1024" s="62"/>
      <x:c r="D1024" s="66"/>
      <x:c r="E1024" s="68"/>
      <x:c r="F1024" s="62"/>
      <x:c r="G1024" s="62"/>
      <x:c r="H1024" s="62"/>
      <x:c r="I1024" s="62"/>
      <x:c r="J1024" s="62"/>
      <x:c r="K1024" s="62"/>
      <x:c r="L1024" s="62"/>
      <x:c r="M1024" s="68"/>
      <x:c r="N1024" s="68"/>
      <x:c r="O1024" s="68"/>
      <x:c r="P1024" s="71" t="str">
        <x:f>IF(A1024="","",IF(N1024&gt;0,N1024,M1024))</x:f>
      </x:c>
      <x:c r="Q1024" s="72" t="n">
        <x:f>IF(A1024="",0,IF(COUNTIF($A$5:A1024,A1024)=1,1,0))</x:f>
        <x:v>0</x:v>
      </x:c>
      <x:c r="R1024" s="64" t="str">
        <x:f>IF(A1024="","",IF(F1024="C1024成功",IF(AND(J1024&lt;&gt;"",K1024&lt;&gt;"",N1024&gt;0),"有证据","缺C1024证据"),IF(F1024="C1024发货确认中",IF(AND(J1024&lt;&gt;"",K1024&lt;&gt;""),"有证据","缺C1024证据"),IF(F1024="手动完结",IF(OR(L1024&lt;&gt;"",O1024&lt;&gt;"",S1024&lt;&gt;""),"有记录","缺手工证据"),IF(OR(F1024="卖出待补仓",F1024="提交结果待确认",F1024="异常待处理"),"持续跟踪","检查状态")))))</x:f>
      </x:c>
      <x:c r="T1024" s="64" t="str">
        <x:f>IF(A1024="","",IF(COUNTIF($A$5:$A$1204,A1024)&gt;1,"重复",""))</x:f>
      </x:c>
      <x:c r="U1024" s="64" t="str">
        <x:f>IF(A1024="","",IF(T1024="重复","检查重复",IF(OR(R1024="有证据",R1024="有记录",R1024="持续跟踪"),"可追踪","检查")))</x:f>
      </x:c>
    </x:row>
    <x:row r="1025">
      <x:c r="A1025" s="62"/>
      <x:c r="B1025" s="62"/>
      <x:c r="C1025" s="62"/>
      <x:c r="D1025" s="66"/>
      <x:c r="E1025" s="68"/>
      <x:c r="F1025" s="62"/>
      <x:c r="G1025" s="62"/>
      <x:c r="H1025" s="62"/>
      <x:c r="I1025" s="62"/>
      <x:c r="J1025" s="62"/>
      <x:c r="K1025" s="62"/>
      <x:c r="L1025" s="62"/>
      <x:c r="M1025" s="68"/>
      <x:c r="N1025" s="68"/>
      <x:c r="O1025" s="68"/>
      <x:c r="P1025" s="71" t="str">
        <x:f>IF(A1025="","",IF(N1025&gt;0,N1025,M1025))</x:f>
      </x:c>
      <x:c r="Q1025" s="72" t="n">
        <x:f>IF(A1025="",0,IF(COUNTIF($A$5:A1025,A1025)=1,1,0))</x:f>
        <x:v>0</x:v>
      </x:c>
      <x:c r="R1025" s="64" t="str">
        <x:f>IF(A1025="","",IF(F1025="C1025成功",IF(AND(J1025&lt;&gt;"",K1025&lt;&gt;"",N1025&gt;0),"有证据","缺C1025证据"),IF(F1025="C1025发货确认中",IF(AND(J1025&lt;&gt;"",K1025&lt;&gt;""),"有证据","缺C1025证据"),IF(F1025="手动完结",IF(OR(L1025&lt;&gt;"",O1025&lt;&gt;"",S1025&lt;&gt;""),"有记录","缺手工证据"),IF(OR(F1025="卖出待补仓",F1025="提交结果待确认",F1025="异常待处理"),"持续跟踪","检查状态")))))</x:f>
      </x:c>
      <x:c r="T1025" s="64" t="str">
        <x:f>IF(A1025="","",IF(COUNTIF($A$5:$A$1204,A1025)&gt;1,"重复",""))</x:f>
      </x:c>
      <x:c r="U1025" s="64" t="str">
        <x:f>IF(A1025="","",IF(T1025="重复","检查重复",IF(OR(R1025="有证据",R1025="有记录",R1025="持续跟踪"),"可追踪","检查")))</x:f>
      </x:c>
    </x:row>
    <x:row r="1026">
      <x:c r="A1026" s="62"/>
      <x:c r="B1026" s="62"/>
      <x:c r="C1026" s="62"/>
      <x:c r="D1026" s="66"/>
      <x:c r="E1026" s="68"/>
      <x:c r="F1026" s="62"/>
      <x:c r="G1026" s="62"/>
      <x:c r="H1026" s="62"/>
      <x:c r="I1026" s="62"/>
      <x:c r="J1026" s="62"/>
      <x:c r="K1026" s="62"/>
      <x:c r="L1026" s="62"/>
      <x:c r="M1026" s="68"/>
      <x:c r="N1026" s="68"/>
      <x:c r="O1026" s="68"/>
      <x:c r="P1026" s="71" t="str">
        <x:f>IF(A1026="","",IF(N1026&gt;0,N1026,M1026))</x:f>
      </x:c>
      <x:c r="Q1026" s="72" t="n">
        <x:f>IF(A1026="",0,IF(COUNTIF($A$5:A1026,A1026)=1,1,0))</x:f>
        <x:v>0</x:v>
      </x:c>
      <x:c r="R1026" s="64" t="str">
        <x:f>IF(A1026="","",IF(F1026="C1026成功",IF(AND(J1026&lt;&gt;"",K1026&lt;&gt;"",N1026&gt;0),"有证据","缺C1026证据"),IF(F1026="C1026发货确认中",IF(AND(J1026&lt;&gt;"",K1026&lt;&gt;""),"有证据","缺C1026证据"),IF(F1026="手动完结",IF(OR(L1026&lt;&gt;"",O1026&lt;&gt;"",S1026&lt;&gt;""),"有记录","缺手工证据"),IF(OR(F1026="卖出待补仓",F1026="提交结果待确认",F1026="异常待处理"),"持续跟踪","检查状态")))))</x:f>
      </x:c>
      <x:c r="T1026" s="64" t="str">
        <x:f>IF(A1026="","",IF(COUNTIF($A$5:$A$1204,A1026)&gt;1,"重复",""))</x:f>
      </x:c>
      <x:c r="U1026" s="64" t="str">
        <x:f>IF(A1026="","",IF(T1026="重复","检查重复",IF(OR(R1026="有证据",R1026="有记录",R1026="持续跟踪"),"可追踪","检查")))</x:f>
      </x:c>
    </x:row>
    <x:row r="1027">
      <x:c r="A1027" s="62"/>
      <x:c r="B1027" s="62"/>
      <x:c r="C1027" s="62"/>
      <x:c r="D1027" s="66"/>
      <x:c r="E1027" s="68"/>
      <x:c r="F1027" s="62"/>
      <x:c r="G1027" s="62"/>
      <x:c r="H1027" s="62"/>
      <x:c r="I1027" s="62"/>
      <x:c r="J1027" s="62"/>
      <x:c r="K1027" s="62"/>
      <x:c r="L1027" s="62"/>
      <x:c r="M1027" s="68"/>
      <x:c r="N1027" s="68"/>
      <x:c r="O1027" s="68"/>
      <x:c r="P1027" s="71" t="str">
        <x:f>IF(A1027="","",IF(N1027&gt;0,N1027,M1027))</x:f>
      </x:c>
      <x:c r="Q1027" s="72" t="n">
        <x:f>IF(A1027="",0,IF(COUNTIF($A$5:A1027,A1027)=1,1,0))</x:f>
        <x:v>0</x:v>
      </x:c>
      <x:c r="R1027" s="64" t="str">
        <x:f>IF(A1027="","",IF(F1027="C1027成功",IF(AND(J1027&lt;&gt;"",K1027&lt;&gt;"",N1027&gt;0),"有证据","缺C1027证据"),IF(F1027="C1027发货确认中",IF(AND(J1027&lt;&gt;"",K1027&lt;&gt;""),"有证据","缺C1027证据"),IF(F1027="手动完结",IF(OR(L1027&lt;&gt;"",O1027&lt;&gt;"",S1027&lt;&gt;""),"有记录","缺手工证据"),IF(OR(F1027="卖出待补仓",F1027="提交结果待确认",F1027="异常待处理"),"持续跟踪","检查状态")))))</x:f>
      </x:c>
      <x:c r="T1027" s="64" t="str">
        <x:f>IF(A1027="","",IF(COUNTIF($A$5:$A$1204,A1027)&gt;1,"重复",""))</x:f>
      </x:c>
      <x:c r="U1027" s="64" t="str">
        <x:f>IF(A1027="","",IF(T1027="重复","检查重复",IF(OR(R1027="有证据",R1027="有记录",R1027="持续跟踪"),"可追踪","检查")))</x:f>
      </x:c>
    </x:row>
    <x:row r="1028">
      <x:c r="A1028" s="62"/>
      <x:c r="B1028" s="62"/>
      <x:c r="C1028" s="62"/>
      <x:c r="D1028" s="66"/>
      <x:c r="E1028" s="68"/>
      <x:c r="F1028" s="62"/>
      <x:c r="G1028" s="62"/>
      <x:c r="H1028" s="62"/>
      <x:c r="I1028" s="62"/>
      <x:c r="J1028" s="62"/>
      <x:c r="K1028" s="62"/>
      <x:c r="L1028" s="62"/>
      <x:c r="M1028" s="68"/>
      <x:c r="N1028" s="68"/>
      <x:c r="O1028" s="68"/>
      <x:c r="P1028" s="71" t="str">
        <x:f>IF(A1028="","",IF(N1028&gt;0,N1028,M1028))</x:f>
      </x:c>
      <x:c r="Q1028" s="72" t="n">
        <x:f>IF(A1028="",0,IF(COUNTIF($A$5:A1028,A1028)=1,1,0))</x:f>
        <x:v>0</x:v>
      </x:c>
      <x:c r="R1028" s="64" t="str">
        <x:f>IF(A1028="","",IF(F1028="C1028成功",IF(AND(J1028&lt;&gt;"",K1028&lt;&gt;"",N1028&gt;0),"有证据","缺C1028证据"),IF(F1028="C1028发货确认中",IF(AND(J1028&lt;&gt;"",K1028&lt;&gt;""),"有证据","缺C1028证据"),IF(F1028="手动完结",IF(OR(L1028&lt;&gt;"",O1028&lt;&gt;"",S1028&lt;&gt;""),"有记录","缺手工证据"),IF(OR(F1028="卖出待补仓",F1028="提交结果待确认",F1028="异常待处理"),"持续跟踪","检查状态")))))</x:f>
      </x:c>
      <x:c r="T1028" s="64" t="str">
        <x:f>IF(A1028="","",IF(COUNTIF($A$5:$A$1204,A1028)&gt;1,"重复",""))</x:f>
      </x:c>
      <x:c r="U1028" s="64" t="str">
        <x:f>IF(A1028="","",IF(T1028="重复","检查重复",IF(OR(R1028="有证据",R1028="有记录",R1028="持续跟踪"),"可追踪","检查")))</x:f>
      </x:c>
    </x:row>
    <x:row r="1029">
      <x:c r="A1029" s="62"/>
      <x:c r="B1029" s="62"/>
      <x:c r="C1029" s="62"/>
      <x:c r="D1029" s="66"/>
      <x:c r="E1029" s="68"/>
      <x:c r="F1029" s="62"/>
      <x:c r="G1029" s="62"/>
      <x:c r="H1029" s="62"/>
      <x:c r="I1029" s="62"/>
      <x:c r="J1029" s="62"/>
      <x:c r="K1029" s="62"/>
      <x:c r="L1029" s="62"/>
      <x:c r="M1029" s="68"/>
      <x:c r="N1029" s="68"/>
      <x:c r="O1029" s="68"/>
      <x:c r="P1029" s="71" t="str">
        <x:f>IF(A1029="","",IF(N1029&gt;0,N1029,M1029))</x:f>
      </x:c>
      <x:c r="Q1029" s="72" t="n">
        <x:f>IF(A1029="",0,IF(COUNTIF($A$5:A1029,A1029)=1,1,0))</x:f>
        <x:v>0</x:v>
      </x:c>
      <x:c r="R1029" s="64" t="str">
        <x:f>IF(A1029="","",IF(F1029="C1029成功",IF(AND(J1029&lt;&gt;"",K1029&lt;&gt;"",N1029&gt;0),"有证据","缺C1029证据"),IF(F1029="C1029发货确认中",IF(AND(J1029&lt;&gt;"",K1029&lt;&gt;""),"有证据","缺C1029证据"),IF(F1029="手动完结",IF(OR(L1029&lt;&gt;"",O1029&lt;&gt;"",S1029&lt;&gt;""),"有记录","缺手工证据"),IF(OR(F1029="卖出待补仓",F1029="提交结果待确认",F1029="异常待处理"),"持续跟踪","检查状态")))))</x:f>
      </x:c>
      <x:c r="T1029" s="64" t="str">
        <x:f>IF(A1029="","",IF(COUNTIF($A$5:$A$1204,A1029)&gt;1,"重复",""))</x:f>
      </x:c>
      <x:c r="U1029" s="64" t="str">
        <x:f>IF(A1029="","",IF(T1029="重复","检查重复",IF(OR(R1029="有证据",R1029="有记录",R1029="持续跟踪"),"可追踪","检查")))</x:f>
      </x:c>
    </x:row>
    <x:row r="1030">
      <x:c r="A1030" s="62"/>
      <x:c r="B1030" s="62"/>
      <x:c r="C1030" s="62"/>
      <x:c r="D1030" s="66"/>
      <x:c r="E1030" s="68"/>
      <x:c r="F1030" s="62"/>
      <x:c r="G1030" s="62"/>
      <x:c r="H1030" s="62"/>
      <x:c r="I1030" s="62"/>
      <x:c r="J1030" s="62"/>
      <x:c r="K1030" s="62"/>
      <x:c r="L1030" s="62"/>
      <x:c r="M1030" s="68"/>
      <x:c r="N1030" s="68"/>
      <x:c r="O1030" s="68"/>
      <x:c r="P1030" s="71" t="str">
        <x:f>IF(A1030="","",IF(N1030&gt;0,N1030,M1030))</x:f>
      </x:c>
      <x:c r="Q1030" s="72" t="n">
        <x:f>IF(A1030="",0,IF(COUNTIF($A$5:A1030,A1030)=1,1,0))</x:f>
        <x:v>0</x:v>
      </x:c>
      <x:c r="R1030" s="64" t="str">
        <x:f>IF(A1030="","",IF(F1030="C1030成功",IF(AND(J1030&lt;&gt;"",K1030&lt;&gt;"",N1030&gt;0),"有证据","缺C1030证据"),IF(F1030="C1030发货确认中",IF(AND(J1030&lt;&gt;"",K1030&lt;&gt;""),"有证据","缺C1030证据"),IF(F1030="手动完结",IF(OR(L1030&lt;&gt;"",O1030&lt;&gt;"",S1030&lt;&gt;""),"有记录","缺手工证据"),IF(OR(F1030="卖出待补仓",F1030="提交结果待确认",F1030="异常待处理"),"持续跟踪","检查状态")))))</x:f>
      </x:c>
      <x:c r="T1030" s="64" t="str">
        <x:f>IF(A1030="","",IF(COUNTIF($A$5:$A$1204,A1030)&gt;1,"重复",""))</x:f>
      </x:c>
      <x:c r="U1030" s="64" t="str">
        <x:f>IF(A1030="","",IF(T1030="重复","检查重复",IF(OR(R1030="有证据",R1030="有记录",R1030="持续跟踪"),"可追踪","检查")))</x:f>
      </x:c>
    </x:row>
    <x:row r="1031">
      <x:c r="A1031" s="62"/>
      <x:c r="B1031" s="62"/>
      <x:c r="C1031" s="62"/>
      <x:c r="D1031" s="66"/>
      <x:c r="E1031" s="68"/>
      <x:c r="F1031" s="62"/>
      <x:c r="G1031" s="62"/>
      <x:c r="H1031" s="62"/>
      <x:c r="I1031" s="62"/>
      <x:c r="J1031" s="62"/>
      <x:c r="K1031" s="62"/>
      <x:c r="L1031" s="62"/>
      <x:c r="M1031" s="68"/>
      <x:c r="N1031" s="68"/>
      <x:c r="O1031" s="68"/>
      <x:c r="P1031" s="71" t="str">
        <x:f>IF(A1031="","",IF(N1031&gt;0,N1031,M1031))</x:f>
      </x:c>
      <x:c r="Q1031" s="72" t="n">
        <x:f>IF(A1031="",0,IF(COUNTIF($A$5:A1031,A1031)=1,1,0))</x:f>
        <x:v>0</x:v>
      </x:c>
      <x:c r="R1031" s="64" t="str">
        <x:f>IF(A1031="","",IF(F1031="C1031成功",IF(AND(J1031&lt;&gt;"",K1031&lt;&gt;"",N1031&gt;0),"有证据","缺C1031证据"),IF(F1031="C1031发货确认中",IF(AND(J1031&lt;&gt;"",K1031&lt;&gt;""),"有证据","缺C1031证据"),IF(F1031="手动完结",IF(OR(L1031&lt;&gt;"",O1031&lt;&gt;"",S1031&lt;&gt;""),"有记录","缺手工证据"),IF(OR(F1031="卖出待补仓",F1031="提交结果待确认",F1031="异常待处理"),"持续跟踪","检查状态")))))</x:f>
      </x:c>
      <x:c r="T1031" s="64" t="str">
        <x:f>IF(A1031="","",IF(COUNTIF($A$5:$A$1204,A1031)&gt;1,"重复",""))</x:f>
      </x:c>
      <x:c r="U1031" s="64" t="str">
        <x:f>IF(A1031="","",IF(T1031="重复","检查重复",IF(OR(R1031="有证据",R1031="有记录",R1031="持续跟踪"),"可追踪","检查")))</x:f>
      </x:c>
    </x:row>
    <x:row r="1032">
      <x:c r="A1032" s="62"/>
      <x:c r="B1032" s="62"/>
      <x:c r="C1032" s="62"/>
      <x:c r="D1032" s="66"/>
      <x:c r="E1032" s="68"/>
      <x:c r="F1032" s="62"/>
      <x:c r="G1032" s="62"/>
      <x:c r="H1032" s="62"/>
      <x:c r="I1032" s="62"/>
      <x:c r="J1032" s="62"/>
      <x:c r="K1032" s="62"/>
      <x:c r="L1032" s="62"/>
      <x:c r="M1032" s="68"/>
      <x:c r="N1032" s="68"/>
      <x:c r="O1032" s="68"/>
      <x:c r="P1032" s="71" t="str">
        <x:f>IF(A1032="","",IF(N1032&gt;0,N1032,M1032))</x:f>
      </x:c>
      <x:c r="Q1032" s="72" t="n">
        <x:f>IF(A1032="",0,IF(COUNTIF($A$5:A1032,A1032)=1,1,0))</x:f>
        <x:v>0</x:v>
      </x:c>
      <x:c r="R1032" s="64" t="str">
        <x:f>IF(A1032="","",IF(F1032="C1032成功",IF(AND(J1032&lt;&gt;"",K1032&lt;&gt;"",N1032&gt;0),"有证据","缺C1032证据"),IF(F1032="C1032发货确认中",IF(AND(J1032&lt;&gt;"",K1032&lt;&gt;""),"有证据","缺C1032证据"),IF(F1032="手动完结",IF(OR(L1032&lt;&gt;"",O1032&lt;&gt;"",S1032&lt;&gt;""),"有记录","缺手工证据"),IF(OR(F1032="卖出待补仓",F1032="提交结果待确认",F1032="异常待处理"),"持续跟踪","检查状态")))))</x:f>
      </x:c>
      <x:c r="T1032" s="64" t="str">
        <x:f>IF(A1032="","",IF(COUNTIF($A$5:$A$1204,A1032)&gt;1,"重复",""))</x:f>
      </x:c>
      <x:c r="U1032" s="64" t="str">
        <x:f>IF(A1032="","",IF(T1032="重复","检查重复",IF(OR(R1032="有证据",R1032="有记录",R1032="持续跟踪"),"可追踪","检查")))</x:f>
      </x:c>
    </x:row>
    <x:row r="1033">
      <x:c r="A1033" s="62"/>
      <x:c r="B1033" s="62"/>
      <x:c r="C1033" s="62"/>
      <x:c r="D1033" s="66"/>
      <x:c r="E1033" s="68"/>
      <x:c r="F1033" s="62"/>
      <x:c r="G1033" s="62"/>
      <x:c r="H1033" s="62"/>
      <x:c r="I1033" s="62"/>
      <x:c r="J1033" s="62"/>
      <x:c r="K1033" s="62"/>
      <x:c r="L1033" s="62"/>
      <x:c r="M1033" s="68"/>
      <x:c r="N1033" s="68"/>
      <x:c r="O1033" s="68"/>
      <x:c r="P1033" s="71" t="str">
        <x:f>IF(A1033="","",IF(N1033&gt;0,N1033,M1033))</x:f>
      </x:c>
      <x:c r="Q1033" s="72" t="n">
        <x:f>IF(A1033="",0,IF(COUNTIF($A$5:A1033,A1033)=1,1,0))</x:f>
        <x:v>0</x:v>
      </x:c>
      <x:c r="R1033" s="64" t="str">
        <x:f>IF(A1033="","",IF(F1033="C1033成功",IF(AND(J1033&lt;&gt;"",K1033&lt;&gt;"",N1033&gt;0),"有证据","缺C1033证据"),IF(F1033="C1033发货确认中",IF(AND(J1033&lt;&gt;"",K1033&lt;&gt;""),"有证据","缺C1033证据"),IF(F1033="手动完结",IF(OR(L1033&lt;&gt;"",O1033&lt;&gt;"",S1033&lt;&gt;""),"有记录","缺手工证据"),IF(OR(F1033="卖出待补仓",F1033="提交结果待确认",F1033="异常待处理"),"持续跟踪","检查状态")))))</x:f>
      </x:c>
      <x:c r="T1033" s="64" t="str">
        <x:f>IF(A1033="","",IF(COUNTIF($A$5:$A$1204,A1033)&gt;1,"重复",""))</x:f>
      </x:c>
      <x:c r="U1033" s="64" t="str">
        <x:f>IF(A1033="","",IF(T1033="重复","检查重复",IF(OR(R1033="有证据",R1033="有记录",R1033="持续跟踪"),"可追踪","检查")))</x:f>
      </x:c>
    </x:row>
    <x:row r="1034">
      <x:c r="A1034" s="62"/>
      <x:c r="B1034" s="62"/>
      <x:c r="C1034" s="62"/>
      <x:c r="D1034" s="66"/>
      <x:c r="E1034" s="68"/>
      <x:c r="F1034" s="62"/>
      <x:c r="G1034" s="62"/>
      <x:c r="H1034" s="62"/>
      <x:c r="I1034" s="62"/>
      <x:c r="J1034" s="62"/>
      <x:c r="K1034" s="62"/>
      <x:c r="L1034" s="62"/>
      <x:c r="M1034" s="68"/>
      <x:c r="N1034" s="68"/>
      <x:c r="O1034" s="68"/>
      <x:c r="P1034" s="71" t="str">
        <x:f>IF(A1034="","",IF(N1034&gt;0,N1034,M1034))</x:f>
      </x:c>
      <x:c r="Q1034" s="72" t="n">
        <x:f>IF(A1034="",0,IF(COUNTIF($A$5:A1034,A1034)=1,1,0))</x:f>
        <x:v>0</x:v>
      </x:c>
      <x:c r="R1034" s="64" t="str">
        <x:f>IF(A1034="","",IF(F1034="C1034成功",IF(AND(J1034&lt;&gt;"",K1034&lt;&gt;"",N1034&gt;0),"有证据","缺C1034证据"),IF(F1034="C1034发货确认中",IF(AND(J1034&lt;&gt;"",K1034&lt;&gt;""),"有证据","缺C1034证据"),IF(F1034="手动完结",IF(OR(L1034&lt;&gt;"",O1034&lt;&gt;"",S1034&lt;&gt;""),"有记录","缺手工证据"),IF(OR(F1034="卖出待补仓",F1034="提交结果待确认",F1034="异常待处理"),"持续跟踪","检查状态")))))</x:f>
      </x:c>
      <x:c r="T1034" s="64" t="str">
        <x:f>IF(A1034="","",IF(COUNTIF($A$5:$A$1204,A1034)&gt;1,"重复",""))</x:f>
      </x:c>
      <x:c r="U1034" s="64" t="str">
        <x:f>IF(A1034="","",IF(T1034="重复","检查重复",IF(OR(R1034="有证据",R1034="有记录",R1034="持续跟踪"),"可追踪","检查")))</x:f>
      </x:c>
    </x:row>
    <x:row r="1035">
      <x:c r="A1035" s="62"/>
      <x:c r="B1035" s="62"/>
      <x:c r="C1035" s="62"/>
      <x:c r="D1035" s="66"/>
      <x:c r="E1035" s="68"/>
      <x:c r="F1035" s="62"/>
      <x:c r="G1035" s="62"/>
      <x:c r="H1035" s="62"/>
      <x:c r="I1035" s="62"/>
      <x:c r="J1035" s="62"/>
      <x:c r="K1035" s="62"/>
      <x:c r="L1035" s="62"/>
      <x:c r="M1035" s="68"/>
      <x:c r="N1035" s="68"/>
      <x:c r="O1035" s="68"/>
      <x:c r="P1035" s="71" t="str">
        <x:f>IF(A1035="","",IF(N1035&gt;0,N1035,M1035))</x:f>
      </x:c>
      <x:c r="Q1035" s="72" t="n">
        <x:f>IF(A1035="",0,IF(COUNTIF($A$5:A1035,A1035)=1,1,0))</x:f>
        <x:v>0</x:v>
      </x:c>
      <x:c r="R1035" s="64" t="str">
        <x:f>IF(A1035="","",IF(F1035="C1035成功",IF(AND(J1035&lt;&gt;"",K1035&lt;&gt;"",N1035&gt;0),"有证据","缺C1035证据"),IF(F1035="C1035发货确认中",IF(AND(J1035&lt;&gt;"",K1035&lt;&gt;""),"有证据","缺C1035证据"),IF(F1035="手动完结",IF(OR(L1035&lt;&gt;"",O1035&lt;&gt;"",S1035&lt;&gt;""),"有记录","缺手工证据"),IF(OR(F1035="卖出待补仓",F1035="提交结果待确认",F1035="异常待处理"),"持续跟踪","检查状态")))))</x:f>
      </x:c>
      <x:c r="T1035" s="64" t="str">
        <x:f>IF(A1035="","",IF(COUNTIF($A$5:$A$1204,A1035)&gt;1,"重复",""))</x:f>
      </x:c>
      <x:c r="U1035" s="64" t="str">
        <x:f>IF(A1035="","",IF(T1035="重复","检查重复",IF(OR(R1035="有证据",R1035="有记录",R1035="持续跟踪"),"可追踪","检查")))</x:f>
      </x:c>
    </x:row>
    <x:row r="1036">
      <x:c r="A1036" s="62"/>
      <x:c r="B1036" s="62"/>
      <x:c r="C1036" s="62"/>
      <x:c r="D1036" s="66"/>
      <x:c r="E1036" s="68"/>
      <x:c r="F1036" s="62"/>
      <x:c r="G1036" s="62"/>
      <x:c r="H1036" s="62"/>
      <x:c r="I1036" s="62"/>
      <x:c r="J1036" s="62"/>
      <x:c r="K1036" s="62"/>
      <x:c r="L1036" s="62"/>
      <x:c r="M1036" s="68"/>
      <x:c r="N1036" s="68"/>
      <x:c r="O1036" s="68"/>
      <x:c r="P1036" s="71" t="str">
        <x:f>IF(A1036="","",IF(N1036&gt;0,N1036,M1036))</x:f>
      </x:c>
      <x:c r="Q1036" s="72" t="n">
        <x:f>IF(A1036="",0,IF(COUNTIF($A$5:A1036,A1036)=1,1,0))</x:f>
        <x:v>0</x:v>
      </x:c>
      <x:c r="R1036" s="64" t="str">
        <x:f>IF(A1036="","",IF(F1036="C1036成功",IF(AND(J1036&lt;&gt;"",K1036&lt;&gt;"",N1036&gt;0),"有证据","缺C1036证据"),IF(F1036="C1036发货确认中",IF(AND(J1036&lt;&gt;"",K1036&lt;&gt;""),"有证据","缺C1036证据"),IF(F1036="手动完结",IF(OR(L1036&lt;&gt;"",O1036&lt;&gt;"",S1036&lt;&gt;""),"有记录","缺手工证据"),IF(OR(F1036="卖出待补仓",F1036="提交结果待确认",F1036="异常待处理"),"持续跟踪","检查状态")))))</x:f>
      </x:c>
      <x:c r="T1036" s="64" t="str">
        <x:f>IF(A1036="","",IF(COUNTIF($A$5:$A$1204,A1036)&gt;1,"重复",""))</x:f>
      </x:c>
      <x:c r="U1036" s="64" t="str">
        <x:f>IF(A1036="","",IF(T1036="重复","检查重复",IF(OR(R1036="有证据",R1036="有记录",R1036="持续跟踪"),"可追踪","检查")))</x:f>
      </x:c>
    </x:row>
    <x:row r="1037">
      <x:c r="A1037" s="62"/>
      <x:c r="B1037" s="62"/>
      <x:c r="C1037" s="62"/>
      <x:c r="D1037" s="66"/>
      <x:c r="E1037" s="68"/>
      <x:c r="F1037" s="62"/>
      <x:c r="G1037" s="62"/>
      <x:c r="H1037" s="62"/>
      <x:c r="I1037" s="62"/>
      <x:c r="J1037" s="62"/>
      <x:c r="K1037" s="62"/>
      <x:c r="L1037" s="62"/>
      <x:c r="M1037" s="68"/>
      <x:c r="N1037" s="68"/>
      <x:c r="O1037" s="68"/>
      <x:c r="P1037" s="71" t="str">
        <x:f>IF(A1037="","",IF(N1037&gt;0,N1037,M1037))</x:f>
      </x:c>
      <x:c r="Q1037" s="72" t="n">
        <x:f>IF(A1037="",0,IF(COUNTIF($A$5:A1037,A1037)=1,1,0))</x:f>
        <x:v>0</x:v>
      </x:c>
      <x:c r="R1037" s="64" t="str">
        <x:f>IF(A1037="","",IF(F1037="C1037成功",IF(AND(J1037&lt;&gt;"",K1037&lt;&gt;"",N1037&gt;0),"有证据","缺C1037证据"),IF(F1037="C1037发货确认中",IF(AND(J1037&lt;&gt;"",K1037&lt;&gt;""),"有证据","缺C1037证据"),IF(F1037="手动完结",IF(OR(L1037&lt;&gt;"",O1037&lt;&gt;"",S1037&lt;&gt;""),"有记录","缺手工证据"),IF(OR(F1037="卖出待补仓",F1037="提交结果待确认",F1037="异常待处理"),"持续跟踪","检查状态")))))</x:f>
      </x:c>
      <x:c r="T1037" s="64" t="str">
        <x:f>IF(A1037="","",IF(COUNTIF($A$5:$A$1204,A1037)&gt;1,"重复",""))</x:f>
      </x:c>
      <x:c r="U1037" s="64" t="str">
        <x:f>IF(A1037="","",IF(T1037="重复","检查重复",IF(OR(R1037="有证据",R1037="有记录",R1037="持续跟踪"),"可追踪","检查")))</x:f>
      </x:c>
    </x:row>
    <x:row r="1038">
      <x:c r="A1038" s="62"/>
      <x:c r="B1038" s="62"/>
      <x:c r="C1038" s="62"/>
      <x:c r="D1038" s="66"/>
      <x:c r="E1038" s="68"/>
      <x:c r="F1038" s="62"/>
      <x:c r="G1038" s="62"/>
      <x:c r="H1038" s="62"/>
      <x:c r="I1038" s="62"/>
      <x:c r="J1038" s="62"/>
      <x:c r="K1038" s="62"/>
      <x:c r="L1038" s="62"/>
      <x:c r="M1038" s="68"/>
      <x:c r="N1038" s="68"/>
      <x:c r="O1038" s="68"/>
      <x:c r="P1038" s="71" t="str">
        <x:f>IF(A1038="","",IF(N1038&gt;0,N1038,M1038))</x:f>
      </x:c>
      <x:c r="Q1038" s="72" t="n">
        <x:f>IF(A1038="",0,IF(COUNTIF($A$5:A1038,A1038)=1,1,0))</x:f>
        <x:v>0</x:v>
      </x:c>
      <x:c r="R1038" s="64" t="str">
        <x:f>IF(A1038="","",IF(F1038="C1038成功",IF(AND(J1038&lt;&gt;"",K1038&lt;&gt;"",N1038&gt;0),"有证据","缺C1038证据"),IF(F1038="C1038发货确认中",IF(AND(J1038&lt;&gt;"",K1038&lt;&gt;""),"有证据","缺C1038证据"),IF(F1038="手动完结",IF(OR(L1038&lt;&gt;"",O1038&lt;&gt;"",S1038&lt;&gt;""),"有记录","缺手工证据"),IF(OR(F1038="卖出待补仓",F1038="提交结果待确认",F1038="异常待处理"),"持续跟踪","检查状态")))))</x:f>
      </x:c>
      <x:c r="T1038" s="64" t="str">
        <x:f>IF(A1038="","",IF(COUNTIF($A$5:$A$1204,A1038)&gt;1,"重复",""))</x:f>
      </x:c>
      <x:c r="U1038" s="64" t="str">
        <x:f>IF(A1038="","",IF(T1038="重复","检查重复",IF(OR(R1038="有证据",R1038="有记录",R1038="持续跟踪"),"可追踪","检查")))</x:f>
      </x:c>
    </x:row>
    <x:row r="1039">
      <x:c r="A1039" s="62"/>
      <x:c r="B1039" s="62"/>
      <x:c r="C1039" s="62"/>
      <x:c r="D1039" s="66"/>
      <x:c r="E1039" s="68"/>
      <x:c r="F1039" s="62"/>
      <x:c r="G1039" s="62"/>
      <x:c r="H1039" s="62"/>
      <x:c r="I1039" s="62"/>
      <x:c r="J1039" s="62"/>
      <x:c r="K1039" s="62"/>
      <x:c r="L1039" s="62"/>
      <x:c r="M1039" s="68"/>
      <x:c r="N1039" s="68"/>
      <x:c r="O1039" s="68"/>
      <x:c r="P1039" s="71" t="str">
        <x:f>IF(A1039="","",IF(N1039&gt;0,N1039,M1039))</x:f>
      </x:c>
      <x:c r="Q1039" s="72" t="n">
        <x:f>IF(A1039="",0,IF(COUNTIF($A$5:A1039,A1039)=1,1,0))</x:f>
        <x:v>0</x:v>
      </x:c>
      <x:c r="R1039" s="64" t="str">
        <x:f>IF(A1039="","",IF(F1039="C1039成功",IF(AND(J1039&lt;&gt;"",K1039&lt;&gt;"",N1039&gt;0),"有证据","缺C1039证据"),IF(F1039="C1039发货确认中",IF(AND(J1039&lt;&gt;"",K1039&lt;&gt;""),"有证据","缺C1039证据"),IF(F1039="手动完结",IF(OR(L1039&lt;&gt;"",O1039&lt;&gt;"",S1039&lt;&gt;""),"有记录","缺手工证据"),IF(OR(F1039="卖出待补仓",F1039="提交结果待确认",F1039="异常待处理"),"持续跟踪","检查状态")))))</x:f>
      </x:c>
      <x:c r="T1039" s="64" t="str">
        <x:f>IF(A1039="","",IF(COUNTIF($A$5:$A$1204,A1039)&gt;1,"重复",""))</x:f>
      </x:c>
      <x:c r="U1039" s="64" t="str">
        <x:f>IF(A1039="","",IF(T1039="重复","检查重复",IF(OR(R1039="有证据",R1039="有记录",R1039="持续跟踪"),"可追踪","检查")))</x:f>
      </x:c>
    </x:row>
    <x:row r="1040">
      <x:c r="A1040" s="62"/>
      <x:c r="B1040" s="62"/>
      <x:c r="C1040" s="62"/>
      <x:c r="D1040" s="66"/>
      <x:c r="E1040" s="68"/>
      <x:c r="F1040" s="62"/>
      <x:c r="G1040" s="62"/>
      <x:c r="H1040" s="62"/>
      <x:c r="I1040" s="62"/>
      <x:c r="J1040" s="62"/>
      <x:c r="K1040" s="62"/>
      <x:c r="L1040" s="62"/>
      <x:c r="M1040" s="68"/>
      <x:c r="N1040" s="68"/>
      <x:c r="O1040" s="68"/>
      <x:c r="P1040" s="71" t="str">
        <x:f>IF(A1040="","",IF(N1040&gt;0,N1040,M1040))</x:f>
      </x:c>
      <x:c r="Q1040" s="72" t="n">
        <x:f>IF(A1040="",0,IF(COUNTIF($A$5:A1040,A1040)=1,1,0))</x:f>
        <x:v>0</x:v>
      </x:c>
      <x:c r="R1040" s="64" t="str">
        <x:f>IF(A1040="","",IF(F1040="C1040成功",IF(AND(J1040&lt;&gt;"",K1040&lt;&gt;"",N1040&gt;0),"有证据","缺C1040证据"),IF(F1040="C1040发货确认中",IF(AND(J1040&lt;&gt;"",K1040&lt;&gt;""),"有证据","缺C1040证据"),IF(F1040="手动完结",IF(OR(L1040&lt;&gt;"",O1040&lt;&gt;"",S1040&lt;&gt;""),"有记录","缺手工证据"),IF(OR(F1040="卖出待补仓",F1040="提交结果待确认",F1040="异常待处理"),"持续跟踪","检查状态")))))</x:f>
      </x:c>
      <x:c r="T1040" s="64" t="str">
        <x:f>IF(A1040="","",IF(COUNTIF($A$5:$A$1204,A1040)&gt;1,"重复",""))</x:f>
      </x:c>
      <x:c r="U1040" s="64" t="str">
        <x:f>IF(A1040="","",IF(T1040="重复","检查重复",IF(OR(R1040="有证据",R1040="有记录",R1040="持续跟踪"),"可追踪","检查")))</x:f>
      </x:c>
    </x:row>
    <x:row r="1041">
      <x:c r="A1041" s="62"/>
      <x:c r="B1041" s="62"/>
      <x:c r="C1041" s="62"/>
      <x:c r="D1041" s="66"/>
      <x:c r="E1041" s="68"/>
      <x:c r="F1041" s="62"/>
      <x:c r="G1041" s="62"/>
      <x:c r="H1041" s="62"/>
      <x:c r="I1041" s="62"/>
      <x:c r="J1041" s="62"/>
      <x:c r="K1041" s="62"/>
      <x:c r="L1041" s="62"/>
      <x:c r="M1041" s="68"/>
      <x:c r="N1041" s="68"/>
      <x:c r="O1041" s="68"/>
      <x:c r="P1041" s="71" t="str">
        <x:f>IF(A1041="","",IF(N1041&gt;0,N1041,M1041))</x:f>
      </x:c>
      <x:c r="Q1041" s="72" t="n">
        <x:f>IF(A1041="",0,IF(COUNTIF($A$5:A1041,A1041)=1,1,0))</x:f>
        <x:v>0</x:v>
      </x:c>
      <x:c r="R1041" s="64" t="str">
        <x:f>IF(A1041="","",IF(F1041="C1041成功",IF(AND(J1041&lt;&gt;"",K1041&lt;&gt;"",N1041&gt;0),"有证据","缺C1041证据"),IF(F1041="C1041发货确认中",IF(AND(J1041&lt;&gt;"",K1041&lt;&gt;""),"有证据","缺C1041证据"),IF(F1041="手动完结",IF(OR(L1041&lt;&gt;"",O1041&lt;&gt;"",S1041&lt;&gt;""),"有记录","缺手工证据"),IF(OR(F1041="卖出待补仓",F1041="提交结果待确认",F1041="异常待处理"),"持续跟踪","检查状态")))))</x:f>
      </x:c>
      <x:c r="T1041" s="64" t="str">
        <x:f>IF(A1041="","",IF(COUNTIF($A$5:$A$1204,A1041)&gt;1,"重复",""))</x:f>
      </x:c>
      <x:c r="U1041" s="64" t="str">
        <x:f>IF(A1041="","",IF(T1041="重复","检查重复",IF(OR(R1041="有证据",R1041="有记录",R1041="持续跟踪"),"可追踪","检查")))</x:f>
      </x:c>
    </x:row>
    <x:row r="1042">
      <x:c r="A1042" s="62"/>
      <x:c r="B1042" s="62"/>
      <x:c r="C1042" s="62"/>
      <x:c r="D1042" s="66"/>
      <x:c r="E1042" s="68"/>
      <x:c r="F1042" s="62"/>
      <x:c r="G1042" s="62"/>
      <x:c r="H1042" s="62"/>
      <x:c r="I1042" s="62"/>
      <x:c r="J1042" s="62"/>
      <x:c r="K1042" s="62"/>
      <x:c r="L1042" s="62"/>
      <x:c r="M1042" s="68"/>
      <x:c r="N1042" s="68"/>
      <x:c r="O1042" s="68"/>
      <x:c r="P1042" s="71" t="str">
        <x:f>IF(A1042="","",IF(N1042&gt;0,N1042,M1042))</x:f>
      </x:c>
      <x:c r="Q1042" s="72" t="n">
        <x:f>IF(A1042="",0,IF(COUNTIF($A$5:A1042,A1042)=1,1,0))</x:f>
        <x:v>0</x:v>
      </x:c>
      <x:c r="R1042" s="64" t="str">
        <x:f>IF(A1042="","",IF(F1042="C1042成功",IF(AND(J1042&lt;&gt;"",K1042&lt;&gt;"",N1042&gt;0),"有证据","缺C1042证据"),IF(F1042="C1042发货确认中",IF(AND(J1042&lt;&gt;"",K1042&lt;&gt;""),"有证据","缺C1042证据"),IF(F1042="手动完结",IF(OR(L1042&lt;&gt;"",O1042&lt;&gt;"",S1042&lt;&gt;""),"有记录","缺手工证据"),IF(OR(F1042="卖出待补仓",F1042="提交结果待确认",F1042="异常待处理"),"持续跟踪","检查状态")))))</x:f>
      </x:c>
      <x:c r="T1042" s="64" t="str">
        <x:f>IF(A1042="","",IF(COUNTIF($A$5:$A$1204,A1042)&gt;1,"重复",""))</x:f>
      </x:c>
      <x:c r="U1042" s="64" t="str">
        <x:f>IF(A1042="","",IF(T1042="重复","检查重复",IF(OR(R1042="有证据",R1042="有记录",R1042="持续跟踪"),"可追踪","检查")))</x:f>
      </x:c>
    </x:row>
    <x:row r="1043">
      <x:c r="A1043" s="62"/>
      <x:c r="B1043" s="62"/>
      <x:c r="C1043" s="62"/>
      <x:c r="D1043" s="66"/>
      <x:c r="E1043" s="68"/>
      <x:c r="F1043" s="62"/>
      <x:c r="G1043" s="62"/>
      <x:c r="H1043" s="62"/>
      <x:c r="I1043" s="62"/>
      <x:c r="J1043" s="62"/>
      <x:c r="K1043" s="62"/>
      <x:c r="L1043" s="62"/>
      <x:c r="M1043" s="68"/>
      <x:c r="N1043" s="68"/>
      <x:c r="O1043" s="68"/>
      <x:c r="P1043" s="71" t="str">
        <x:f>IF(A1043="","",IF(N1043&gt;0,N1043,M1043))</x:f>
      </x:c>
      <x:c r="Q1043" s="72" t="n">
        <x:f>IF(A1043="",0,IF(COUNTIF($A$5:A1043,A1043)=1,1,0))</x:f>
        <x:v>0</x:v>
      </x:c>
      <x:c r="R1043" s="64" t="str">
        <x:f>IF(A1043="","",IF(F1043="C1043成功",IF(AND(J1043&lt;&gt;"",K1043&lt;&gt;"",N1043&gt;0),"有证据","缺C1043证据"),IF(F1043="C1043发货确认中",IF(AND(J1043&lt;&gt;"",K1043&lt;&gt;""),"有证据","缺C1043证据"),IF(F1043="手动完结",IF(OR(L1043&lt;&gt;"",O1043&lt;&gt;"",S1043&lt;&gt;""),"有记录","缺手工证据"),IF(OR(F1043="卖出待补仓",F1043="提交结果待确认",F1043="异常待处理"),"持续跟踪","检查状态")))))</x:f>
      </x:c>
      <x:c r="T1043" s="64" t="str">
        <x:f>IF(A1043="","",IF(COUNTIF($A$5:$A$1204,A1043)&gt;1,"重复",""))</x:f>
      </x:c>
      <x:c r="U1043" s="64" t="str">
        <x:f>IF(A1043="","",IF(T1043="重复","检查重复",IF(OR(R1043="有证据",R1043="有记录",R1043="持续跟踪"),"可追踪","检查")))</x:f>
      </x:c>
    </x:row>
    <x:row r="1044">
      <x:c r="A1044" s="62"/>
      <x:c r="B1044" s="62"/>
      <x:c r="C1044" s="62"/>
      <x:c r="D1044" s="66"/>
      <x:c r="E1044" s="68"/>
      <x:c r="F1044" s="62"/>
      <x:c r="G1044" s="62"/>
      <x:c r="H1044" s="62"/>
      <x:c r="I1044" s="62"/>
      <x:c r="J1044" s="62"/>
      <x:c r="K1044" s="62"/>
      <x:c r="L1044" s="62"/>
      <x:c r="M1044" s="68"/>
      <x:c r="N1044" s="68"/>
      <x:c r="O1044" s="68"/>
      <x:c r="P1044" s="71" t="str">
        <x:f>IF(A1044="","",IF(N1044&gt;0,N1044,M1044))</x:f>
      </x:c>
      <x:c r="Q1044" s="72" t="n">
        <x:f>IF(A1044="",0,IF(COUNTIF($A$5:A1044,A1044)=1,1,0))</x:f>
        <x:v>0</x:v>
      </x:c>
      <x:c r="R1044" s="64" t="str">
        <x:f>IF(A1044="","",IF(F1044="C1044成功",IF(AND(J1044&lt;&gt;"",K1044&lt;&gt;"",N1044&gt;0),"有证据","缺C1044证据"),IF(F1044="C1044发货确认中",IF(AND(J1044&lt;&gt;"",K1044&lt;&gt;""),"有证据","缺C1044证据"),IF(F1044="手动完结",IF(OR(L1044&lt;&gt;"",O1044&lt;&gt;"",S1044&lt;&gt;""),"有记录","缺手工证据"),IF(OR(F1044="卖出待补仓",F1044="提交结果待确认",F1044="异常待处理"),"持续跟踪","检查状态")))))</x:f>
      </x:c>
      <x:c r="T1044" s="64" t="str">
        <x:f>IF(A1044="","",IF(COUNTIF($A$5:$A$1204,A1044)&gt;1,"重复",""))</x:f>
      </x:c>
      <x:c r="U1044" s="64" t="str">
        <x:f>IF(A1044="","",IF(T1044="重复","检查重复",IF(OR(R1044="有证据",R1044="有记录",R1044="持续跟踪"),"可追踪","检查")))</x:f>
      </x:c>
    </x:row>
    <x:row r="1045">
      <x:c r="A1045" s="62"/>
      <x:c r="B1045" s="62"/>
      <x:c r="C1045" s="62"/>
      <x:c r="D1045" s="66"/>
      <x:c r="E1045" s="68"/>
      <x:c r="F1045" s="62"/>
      <x:c r="G1045" s="62"/>
      <x:c r="H1045" s="62"/>
      <x:c r="I1045" s="62"/>
      <x:c r="J1045" s="62"/>
      <x:c r="K1045" s="62"/>
      <x:c r="L1045" s="62"/>
      <x:c r="M1045" s="68"/>
      <x:c r="N1045" s="68"/>
      <x:c r="O1045" s="68"/>
      <x:c r="P1045" s="71" t="str">
        <x:f>IF(A1045="","",IF(N1045&gt;0,N1045,M1045))</x:f>
      </x:c>
      <x:c r="Q1045" s="72" t="n">
        <x:f>IF(A1045="",0,IF(COUNTIF($A$5:A1045,A1045)=1,1,0))</x:f>
        <x:v>0</x:v>
      </x:c>
      <x:c r="R1045" s="64" t="str">
        <x:f>IF(A1045="","",IF(F1045="C1045成功",IF(AND(J1045&lt;&gt;"",K1045&lt;&gt;"",N1045&gt;0),"有证据","缺C1045证据"),IF(F1045="C1045发货确认中",IF(AND(J1045&lt;&gt;"",K1045&lt;&gt;""),"有证据","缺C1045证据"),IF(F1045="手动完结",IF(OR(L1045&lt;&gt;"",O1045&lt;&gt;"",S1045&lt;&gt;""),"有记录","缺手工证据"),IF(OR(F1045="卖出待补仓",F1045="提交结果待确认",F1045="异常待处理"),"持续跟踪","检查状态")))))</x:f>
      </x:c>
      <x:c r="T1045" s="64" t="str">
        <x:f>IF(A1045="","",IF(COUNTIF($A$5:$A$1204,A1045)&gt;1,"重复",""))</x:f>
      </x:c>
      <x:c r="U1045" s="64" t="str">
        <x:f>IF(A1045="","",IF(T1045="重复","检查重复",IF(OR(R1045="有证据",R1045="有记录",R1045="持续跟踪"),"可追踪","检查")))</x:f>
      </x:c>
    </x:row>
    <x:row r="1046">
      <x:c r="A1046" s="62"/>
      <x:c r="B1046" s="62"/>
      <x:c r="C1046" s="62"/>
      <x:c r="D1046" s="66"/>
      <x:c r="E1046" s="68"/>
      <x:c r="F1046" s="62"/>
      <x:c r="G1046" s="62"/>
      <x:c r="H1046" s="62"/>
      <x:c r="I1046" s="62"/>
      <x:c r="J1046" s="62"/>
      <x:c r="K1046" s="62"/>
      <x:c r="L1046" s="62"/>
      <x:c r="M1046" s="68"/>
      <x:c r="N1046" s="68"/>
      <x:c r="O1046" s="68"/>
      <x:c r="P1046" s="71" t="str">
        <x:f>IF(A1046="","",IF(N1046&gt;0,N1046,M1046))</x:f>
      </x:c>
      <x:c r="Q1046" s="72" t="n">
        <x:f>IF(A1046="",0,IF(COUNTIF($A$5:A1046,A1046)=1,1,0))</x:f>
        <x:v>0</x:v>
      </x:c>
      <x:c r="R1046" s="64" t="str">
        <x:f>IF(A1046="","",IF(F1046="C1046成功",IF(AND(J1046&lt;&gt;"",K1046&lt;&gt;"",N1046&gt;0),"有证据","缺C1046证据"),IF(F1046="C1046发货确认中",IF(AND(J1046&lt;&gt;"",K1046&lt;&gt;""),"有证据","缺C1046证据"),IF(F1046="手动完结",IF(OR(L1046&lt;&gt;"",O1046&lt;&gt;"",S1046&lt;&gt;""),"有记录","缺手工证据"),IF(OR(F1046="卖出待补仓",F1046="提交结果待确认",F1046="异常待处理"),"持续跟踪","检查状态")))))</x:f>
      </x:c>
      <x:c r="T1046" s="64" t="str">
        <x:f>IF(A1046="","",IF(COUNTIF($A$5:$A$1204,A1046)&gt;1,"重复",""))</x:f>
      </x:c>
      <x:c r="U1046" s="64" t="str">
        <x:f>IF(A1046="","",IF(T1046="重复","检查重复",IF(OR(R1046="有证据",R1046="有记录",R1046="持续跟踪"),"可追踪","检查")))</x:f>
      </x:c>
    </x:row>
    <x:row r="1047">
      <x:c r="A1047" s="62"/>
      <x:c r="B1047" s="62"/>
      <x:c r="C1047" s="62"/>
      <x:c r="D1047" s="66"/>
      <x:c r="E1047" s="68"/>
      <x:c r="F1047" s="62"/>
      <x:c r="G1047" s="62"/>
      <x:c r="H1047" s="62"/>
      <x:c r="I1047" s="62"/>
      <x:c r="J1047" s="62"/>
      <x:c r="K1047" s="62"/>
      <x:c r="L1047" s="62"/>
      <x:c r="M1047" s="68"/>
      <x:c r="N1047" s="68"/>
      <x:c r="O1047" s="68"/>
      <x:c r="P1047" s="71" t="str">
        <x:f>IF(A1047="","",IF(N1047&gt;0,N1047,M1047))</x:f>
      </x:c>
      <x:c r="Q1047" s="72" t="n">
        <x:f>IF(A1047="",0,IF(COUNTIF($A$5:A1047,A1047)=1,1,0))</x:f>
        <x:v>0</x:v>
      </x:c>
      <x:c r="R1047" s="64" t="str">
        <x:f>IF(A1047="","",IF(F1047="C1047成功",IF(AND(J1047&lt;&gt;"",K1047&lt;&gt;"",N1047&gt;0),"有证据","缺C1047证据"),IF(F1047="C1047发货确认中",IF(AND(J1047&lt;&gt;"",K1047&lt;&gt;""),"有证据","缺C1047证据"),IF(F1047="手动完结",IF(OR(L1047&lt;&gt;"",O1047&lt;&gt;"",S1047&lt;&gt;""),"有记录","缺手工证据"),IF(OR(F1047="卖出待补仓",F1047="提交结果待确认",F1047="异常待处理"),"持续跟踪","检查状态")))))</x:f>
      </x:c>
      <x:c r="T1047" s="64" t="str">
        <x:f>IF(A1047="","",IF(COUNTIF($A$5:$A$1204,A1047)&gt;1,"重复",""))</x:f>
      </x:c>
      <x:c r="U1047" s="64" t="str">
        <x:f>IF(A1047="","",IF(T1047="重复","检查重复",IF(OR(R1047="有证据",R1047="有记录",R1047="持续跟踪"),"可追踪","检查")))</x:f>
      </x:c>
    </x:row>
    <x:row r="1048">
      <x:c r="A1048" s="62"/>
      <x:c r="B1048" s="62"/>
      <x:c r="C1048" s="62"/>
      <x:c r="D1048" s="66"/>
      <x:c r="E1048" s="68"/>
      <x:c r="F1048" s="62"/>
      <x:c r="G1048" s="62"/>
      <x:c r="H1048" s="62"/>
      <x:c r="I1048" s="62"/>
      <x:c r="J1048" s="62"/>
      <x:c r="K1048" s="62"/>
      <x:c r="L1048" s="62"/>
      <x:c r="M1048" s="68"/>
      <x:c r="N1048" s="68"/>
      <x:c r="O1048" s="68"/>
      <x:c r="P1048" s="71" t="str">
        <x:f>IF(A1048="","",IF(N1048&gt;0,N1048,M1048))</x:f>
      </x:c>
      <x:c r="Q1048" s="72" t="n">
        <x:f>IF(A1048="",0,IF(COUNTIF($A$5:A1048,A1048)=1,1,0))</x:f>
        <x:v>0</x:v>
      </x:c>
      <x:c r="R1048" s="64" t="str">
        <x:f>IF(A1048="","",IF(F1048="C1048成功",IF(AND(J1048&lt;&gt;"",K1048&lt;&gt;"",N1048&gt;0),"有证据","缺C1048证据"),IF(F1048="C1048发货确认中",IF(AND(J1048&lt;&gt;"",K1048&lt;&gt;""),"有证据","缺C1048证据"),IF(F1048="手动完结",IF(OR(L1048&lt;&gt;"",O1048&lt;&gt;"",S1048&lt;&gt;""),"有记录","缺手工证据"),IF(OR(F1048="卖出待补仓",F1048="提交结果待确认",F1048="异常待处理"),"持续跟踪","检查状态")))))</x:f>
      </x:c>
      <x:c r="T1048" s="64" t="str">
        <x:f>IF(A1048="","",IF(COUNTIF($A$5:$A$1204,A1048)&gt;1,"重复",""))</x:f>
      </x:c>
      <x:c r="U1048" s="64" t="str">
        <x:f>IF(A1048="","",IF(T1048="重复","检查重复",IF(OR(R1048="有证据",R1048="有记录",R1048="持续跟踪"),"可追踪","检查")))</x:f>
      </x:c>
    </x:row>
    <x:row r="1049">
      <x:c r="A1049" s="62"/>
      <x:c r="B1049" s="62"/>
      <x:c r="C1049" s="62"/>
      <x:c r="D1049" s="66"/>
      <x:c r="E1049" s="68"/>
      <x:c r="F1049" s="62"/>
      <x:c r="G1049" s="62"/>
      <x:c r="H1049" s="62"/>
      <x:c r="I1049" s="62"/>
      <x:c r="J1049" s="62"/>
      <x:c r="K1049" s="62"/>
      <x:c r="L1049" s="62"/>
      <x:c r="M1049" s="68"/>
      <x:c r="N1049" s="68"/>
      <x:c r="O1049" s="68"/>
      <x:c r="P1049" s="71" t="str">
        <x:f>IF(A1049="","",IF(N1049&gt;0,N1049,M1049))</x:f>
      </x:c>
      <x:c r="Q1049" s="72" t="n">
        <x:f>IF(A1049="",0,IF(COUNTIF($A$5:A1049,A1049)=1,1,0))</x:f>
        <x:v>0</x:v>
      </x:c>
      <x:c r="R1049" s="64" t="str">
        <x:f>IF(A1049="","",IF(F1049="C1049成功",IF(AND(J1049&lt;&gt;"",K1049&lt;&gt;"",N1049&gt;0),"有证据","缺C1049证据"),IF(F1049="C1049发货确认中",IF(AND(J1049&lt;&gt;"",K1049&lt;&gt;""),"有证据","缺C1049证据"),IF(F1049="手动完结",IF(OR(L1049&lt;&gt;"",O1049&lt;&gt;"",S1049&lt;&gt;""),"有记录","缺手工证据"),IF(OR(F1049="卖出待补仓",F1049="提交结果待确认",F1049="异常待处理"),"持续跟踪","检查状态")))))</x:f>
      </x:c>
      <x:c r="T1049" s="64" t="str">
        <x:f>IF(A1049="","",IF(COUNTIF($A$5:$A$1204,A1049)&gt;1,"重复",""))</x:f>
      </x:c>
      <x:c r="U1049" s="64" t="str">
        <x:f>IF(A1049="","",IF(T1049="重复","检查重复",IF(OR(R1049="有证据",R1049="有记录",R1049="持续跟踪"),"可追踪","检查")))</x:f>
      </x:c>
    </x:row>
    <x:row r="1050">
      <x:c r="A1050" s="62"/>
      <x:c r="B1050" s="62"/>
      <x:c r="C1050" s="62"/>
      <x:c r="D1050" s="66"/>
      <x:c r="E1050" s="68"/>
      <x:c r="F1050" s="62"/>
      <x:c r="G1050" s="62"/>
      <x:c r="H1050" s="62"/>
      <x:c r="I1050" s="62"/>
      <x:c r="J1050" s="62"/>
      <x:c r="K1050" s="62"/>
      <x:c r="L1050" s="62"/>
      <x:c r="M1050" s="68"/>
      <x:c r="N1050" s="68"/>
      <x:c r="O1050" s="68"/>
      <x:c r="P1050" s="71" t="str">
        <x:f>IF(A1050="","",IF(N1050&gt;0,N1050,M1050))</x:f>
      </x:c>
      <x:c r="Q1050" s="72" t="n">
        <x:f>IF(A1050="",0,IF(COUNTIF($A$5:A1050,A1050)=1,1,0))</x:f>
        <x:v>0</x:v>
      </x:c>
      <x:c r="R1050" s="64" t="str">
        <x:f>IF(A1050="","",IF(F1050="C1050成功",IF(AND(J1050&lt;&gt;"",K1050&lt;&gt;"",N1050&gt;0),"有证据","缺C1050证据"),IF(F1050="C1050发货确认中",IF(AND(J1050&lt;&gt;"",K1050&lt;&gt;""),"有证据","缺C1050证据"),IF(F1050="手动完结",IF(OR(L1050&lt;&gt;"",O1050&lt;&gt;"",S1050&lt;&gt;""),"有记录","缺手工证据"),IF(OR(F1050="卖出待补仓",F1050="提交结果待确认",F1050="异常待处理"),"持续跟踪","检查状态")))))</x:f>
      </x:c>
      <x:c r="T1050" s="64" t="str">
        <x:f>IF(A1050="","",IF(COUNTIF($A$5:$A$1204,A1050)&gt;1,"重复",""))</x:f>
      </x:c>
      <x:c r="U1050" s="64" t="str">
        <x:f>IF(A1050="","",IF(T1050="重复","检查重复",IF(OR(R1050="有证据",R1050="有记录",R1050="持续跟踪"),"可追踪","检查")))</x:f>
      </x:c>
    </x:row>
    <x:row r="1051">
      <x:c r="A1051" s="62"/>
      <x:c r="B1051" s="62"/>
      <x:c r="C1051" s="62"/>
      <x:c r="D1051" s="66"/>
      <x:c r="E1051" s="68"/>
      <x:c r="F1051" s="62"/>
      <x:c r="G1051" s="62"/>
      <x:c r="H1051" s="62"/>
      <x:c r="I1051" s="62"/>
      <x:c r="J1051" s="62"/>
      <x:c r="K1051" s="62"/>
      <x:c r="L1051" s="62"/>
      <x:c r="M1051" s="68"/>
      <x:c r="N1051" s="68"/>
      <x:c r="O1051" s="68"/>
      <x:c r="P1051" s="71" t="str">
        <x:f>IF(A1051="","",IF(N1051&gt;0,N1051,M1051))</x:f>
      </x:c>
      <x:c r="Q1051" s="72" t="n">
        <x:f>IF(A1051="",0,IF(COUNTIF($A$5:A1051,A1051)=1,1,0))</x:f>
        <x:v>0</x:v>
      </x:c>
      <x:c r="R1051" s="64" t="str">
        <x:f>IF(A1051="","",IF(F1051="C1051成功",IF(AND(J1051&lt;&gt;"",K1051&lt;&gt;"",N1051&gt;0),"有证据","缺C1051证据"),IF(F1051="C1051发货确认中",IF(AND(J1051&lt;&gt;"",K1051&lt;&gt;""),"有证据","缺C1051证据"),IF(F1051="手动完结",IF(OR(L1051&lt;&gt;"",O1051&lt;&gt;"",S1051&lt;&gt;""),"有记录","缺手工证据"),IF(OR(F1051="卖出待补仓",F1051="提交结果待确认",F1051="异常待处理"),"持续跟踪","检查状态")))))</x:f>
      </x:c>
      <x:c r="T1051" s="64" t="str">
        <x:f>IF(A1051="","",IF(COUNTIF($A$5:$A$1204,A1051)&gt;1,"重复",""))</x:f>
      </x:c>
      <x:c r="U1051" s="64" t="str">
        <x:f>IF(A1051="","",IF(T1051="重复","检查重复",IF(OR(R1051="有证据",R1051="有记录",R1051="持续跟踪"),"可追踪","检查")))</x:f>
      </x:c>
    </x:row>
    <x:row r="1052">
      <x:c r="A1052" s="62"/>
      <x:c r="B1052" s="62"/>
      <x:c r="C1052" s="62"/>
      <x:c r="D1052" s="66"/>
      <x:c r="E1052" s="68"/>
      <x:c r="F1052" s="62"/>
      <x:c r="G1052" s="62"/>
      <x:c r="H1052" s="62"/>
      <x:c r="I1052" s="62"/>
      <x:c r="J1052" s="62"/>
      <x:c r="K1052" s="62"/>
      <x:c r="L1052" s="62"/>
      <x:c r="M1052" s="68"/>
      <x:c r="N1052" s="68"/>
      <x:c r="O1052" s="68"/>
      <x:c r="P1052" s="71" t="str">
        <x:f>IF(A1052="","",IF(N1052&gt;0,N1052,M1052))</x:f>
      </x:c>
      <x:c r="Q1052" s="72" t="n">
        <x:f>IF(A1052="",0,IF(COUNTIF($A$5:A1052,A1052)=1,1,0))</x:f>
        <x:v>0</x:v>
      </x:c>
      <x:c r="R1052" s="64" t="str">
        <x:f>IF(A1052="","",IF(F1052="C1052成功",IF(AND(J1052&lt;&gt;"",K1052&lt;&gt;"",N1052&gt;0),"有证据","缺C1052证据"),IF(F1052="C1052发货确认中",IF(AND(J1052&lt;&gt;"",K1052&lt;&gt;""),"有证据","缺C1052证据"),IF(F1052="手动完结",IF(OR(L1052&lt;&gt;"",O1052&lt;&gt;"",S1052&lt;&gt;""),"有记录","缺手工证据"),IF(OR(F1052="卖出待补仓",F1052="提交结果待确认",F1052="异常待处理"),"持续跟踪","检查状态")))))</x:f>
      </x:c>
      <x:c r="T1052" s="64" t="str">
        <x:f>IF(A1052="","",IF(COUNTIF($A$5:$A$1204,A1052)&gt;1,"重复",""))</x:f>
      </x:c>
      <x:c r="U1052" s="64" t="str">
        <x:f>IF(A1052="","",IF(T1052="重复","检查重复",IF(OR(R1052="有证据",R1052="有记录",R1052="持续跟踪"),"可追踪","检查")))</x:f>
      </x:c>
    </x:row>
    <x:row r="1053">
      <x:c r="A1053" s="62"/>
      <x:c r="B1053" s="62"/>
      <x:c r="C1053" s="62"/>
      <x:c r="D1053" s="66"/>
      <x:c r="E1053" s="68"/>
      <x:c r="F1053" s="62"/>
      <x:c r="G1053" s="62"/>
      <x:c r="H1053" s="62"/>
      <x:c r="I1053" s="62"/>
      <x:c r="J1053" s="62"/>
      <x:c r="K1053" s="62"/>
      <x:c r="L1053" s="62"/>
      <x:c r="M1053" s="68"/>
      <x:c r="N1053" s="68"/>
      <x:c r="O1053" s="68"/>
      <x:c r="P1053" s="71" t="str">
        <x:f>IF(A1053="","",IF(N1053&gt;0,N1053,M1053))</x:f>
      </x:c>
      <x:c r="Q1053" s="72" t="n">
        <x:f>IF(A1053="",0,IF(COUNTIF($A$5:A1053,A1053)=1,1,0))</x:f>
        <x:v>0</x:v>
      </x:c>
      <x:c r="R1053" s="64" t="str">
        <x:f>IF(A1053="","",IF(F1053="C1053成功",IF(AND(J1053&lt;&gt;"",K1053&lt;&gt;"",N1053&gt;0),"有证据","缺C1053证据"),IF(F1053="C1053发货确认中",IF(AND(J1053&lt;&gt;"",K1053&lt;&gt;""),"有证据","缺C1053证据"),IF(F1053="手动完结",IF(OR(L1053&lt;&gt;"",O1053&lt;&gt;"",S1053&lt;&gt;""),"有记录","缺手工证据"),IF(OR(F1053="卖出待补仓",F1053="提交结果待确认",F1053="异常待处理"),"持续跟踪","检查状态")))))</x:f>
      </x:c>
      <x:c r="T1053" s="64" t="str">
        <x:f>IF(A1053="","",IF(COUNTIF($A$5:$A$1204,A1053)&gt;1,"重复",""))</x:f>
      </x:c>
      <x:c r="U1053" s="64" t="str">
        <x:f>IF(A1053="","",IF(T1053="重复","检查重复",IF(OR(R1053="有证据",R1053="有记录",R1053="持续跟踪"),"可追踪","检查")))</x:f>
      </x:c>
    </x:row>
    <x:row r="1054">
      <x:c r="A1054" s="62"/>
      <x:c r="B1054" s="62"/>
      <x:c r="C1054" s="62"/>
      <x:c r="D1054" s="66"/>
      <x:c r="E1054" s="68"/>
      <x:c r="F1054" s="62"/>
      <x:c r="G1054" s="62"/>
      <x:c r="H1054" s="62"/>
      <x:c r="I1054" s="62"/>
      <x:c r="J1054" s="62"/>
      <x:c r="K1054" s="62"/>
      <x:c r="L1054" s="62"/>
      <x:c r="M1054" s="68"/>
      <x:c r="N1054" s="68"/>
      <x:c r="O1054" s="68"/>
      <x:c r="P1054" s="71" t="str">
        <x:f>IF(A1054="","",IF(N1054&gt;0,N1054,M1054))</x:f>
      </x:c>
      <x:c r="Q1054" s="72" t="n">
        <x:f>IF(A1054="",0,IF(COUNTIF($A$5:A1054,A1054)=1,1,0))</x:f>
        <x:v>0</x:v>
      </x:c>
      <x:c r="R1054" s="64" t="str">
        <x:f>IF(A1054="","",IF(F1054="C1054成功",IF(AND(J1054&lt;&gt;"",K1054&lt;&gt;"",N1054&gt;0),"有证据","缺C1054证据"),IF(F1054="C1054发货确认中",IF(AND(J1054&lt;&gt;"",K1054&lt;&gt;""),"有证据","缺C1054证据"),IF(F1054="手动完结",IF(OR(L1054&lt;&gt;"",O1054&lt;&gt;"",S1054&lt;&gt;""),"有记录","缺手工证据"),IF(OR(F1054="卖出待补仓",F1054="提交结果待确认",F1054="异常待处理"),"持续跟踪","检查状态")))))</x:f>
      </x:c>
      <x:c r="T1054" s="64" t="str">
        <x:f>IF(A1054="","",IF(COUNTIF($A$5:$A$1204,A1054)&gt;1,"重复",""))</x:f>
      </x:c>
      <x:c r="U1054" s="64" t="str">
        <x:f>IF(A1054="","",IF(T1054="重复","检查重复",IF(OR(R1054="有证据",R1054="有记录",R1054="持续跟踪"),"可追踪","检查")))</x:f>
      </x:c>
    </x:row>
    <x:row r="1055">
      <x:c r="A1055" s="62"/>
      <x:c r="B1055" s="62"/>
      <x:c r="C1055" s="62"/>
      <x:c r="D1055" s="66"/>
      <x:c r="E1055" s="68"/>
      <x:c r="F1055" s="62"/>
      <x:c r="G1055" s="62"/>
      <x:c r="H1055" s="62"/>
      <x:c r="I1055" s="62"/>
      <x:c r="J1055" s="62"/>
      <x:c r="K1055" s="62"/>
      <x:c r="L1055" s="62"/>
      <x:c r="M1055" s="68"/>
      <x:c r="N1055" s="68"/>
      <x:c r="O1055" s="68"/>
      <x:c r="P1055" s="71" t="str">
        <x:f>IF(A1055="","",IF(N1055&gt;0,N1055,M1055))</x:f>
      </x:c>
      <x:c r="Q1055" s="72" t="n">
        <x:f>IF(A1055="",0,IF(COUNTIF($A$5:A1055,A1055)=1,1,0))</x:f>
        <x:v>0</x:v>
      </x:c>
      <x:c r="R1055" s="64" t="str">
        <x:f>IF(A1055="","",IF(F1055="C1055成功",IF(AND(J1055&lt;&gt;"",K1055&lt;&gt;"",N1055&gt;0),"有证据","缺C1055证据"),IF(F1055="C1055发货确认中",IF(AND(J1055&lt;&gt;"",K1055&lt;&gt;""),"有证据","缺C1055证据"),IF(F1055="手动完结",IF(OR(L1055&lt;&gt;"",O1055&lt;&gt;"",S1055&lt;&gt;""),"有记录","缺手工证据"),IF(OR(F1055="卖出待补仓",F1055="提交结果待确认",F1055="异常待处理"),"持续跟踪","检查状态")))))</x:f>
      </x:c>
      <x:c r="T1055" s="64" t="str">
        <x:f>IF(A1055="","",IF(COUNTIF($A$5:$A$1204,A1055)&gt;1,"重复",""))</x:f>
      </x:c>
      <x:c r="U1055" s="64" t="str">
        <x:f>IF(A1055="","",IF(T1055="重复","检查重复",IF(OR(R1055="有证据",R1055="有记录",R1055="持续跟踪"),"可追踪","检查")))</x:f>
      </x:c>
    </x:row>
    <x:row r="1056">
      <x:c r="A1056" s="62"/>
      <x:c r="B1056" s="62"/>
      <x:c r="C1056" s="62"/>
      <x:c r="D1056" s="66"/>
      <x:c r="E1056" s="68"/>
      <x:c r="F1056" s="62"/>
      <x:c r="G1056" s="62"/>
      <x:c r="H1056" s="62"/>
      <x:c r="I1056" s="62"/>
      <x:c r="J1056" s="62"/>
      <x:c r="K1056" s="62"/>
      <x:c r="L1056" s="62"/>
      <x:c r="M1056" s="68"/>
      <x:c r="N1056" s="68"/>
      <x:c r="O1056" s="68"/>
      <x:c r="P1056" s="71" t="str">
        <x:f>IF(A1056="","",IF(N1056&gt;0,N1056,M1056))</x:f>
      </x:c>
      <x:c r="Q1056" s="72" t="n">
        <x:f>IF(A1056="",0,IF(COUNTIF($A$5:A1056,A1056)=1,1,0))</x:f>
        <x:v>0</x:v>
      </x:c>
      <x:c r="R1056" s="64" t="str">
        <x:f>IF(A1056="","",IF(F1056="C1056成功",IF(AND(J1056&lt;&gt;"",K1056&lt;&gt;"",N1056&gt;0),"有证据","缺C1056证据"),IF(F1056="C1056发货确认中",IF(AND(J1056&lt;&gt;"",K1056&lt;&gt;""),"有证据","缺C1056证据"),IF(F1056="手动完结",IF(OR(L1056&lt;&gt;"",O1056&lt;&gt;"",S1056&lt;&gt;""),"有记录","缺手工证据"),IF(OR(F1056="卖出待补仓",F1056="提交结果待确认",F1056="异常待处理"),"持续跟踪","检查状态")))))</x:f>
      </x:c>
      <x:c r="T1056" s="64" t="str">
        <x:f>IF(A1056="","",IF(COUNTIF($A$5:$A$1204,A1056)&gt;1,"重复",""))</x:f>
      </x:c>
      <x:c r="U1056" s="64" t="str">
        <x:f>IF(A1056="","",IF(T1056="重复","检查重复",IF(OR(R1056="有证据",R1056="有记录",R1056="持续跟踪"),"可追踪","检查")))</x:f>
      </x:c>
    </x:row>
    <x:row r="1057">
      <x:c r="A1057" s="62"/>
      <x:c r="B1057" s="62"/>
      <x:c r="C1057" s="62"/>
      <x:c r="D1057" s="66"/>
      <x:c r="E1057" s="68"/>
      <x:c r="F1057" s="62"/>
      <x:c r="G1057" s="62"/>
      <x:c r="H1057" s="62"/>
      <x:c r="I1057" s="62"/>
      <x:c r="J1057" s="62"/>
      <x:c r="K1057" s="62"/>
      <x:c r="L1057" s="62"/>
      <x:c r="M1057" s="68"/>
      <x:c r="N1057" s="68"/>
      <x:c r="O1057" s="68"/>
      <x:c r="P1057" s="71" t="str">
        <x:f>IF(A1057="","",IF(N1057&gt;0,N1057,M1057))</x:f>
      </x:c>
      <x:c r="Q1057" s="72" t="n">
        <x:f>IF(A1057="",0,IF(COUNTIF($A$5:A1057,A1057)=1,1,0))</x:f>
        <x:v>0</x:v>
      </x:c>
      <x:c r="R1057" s="64" t="str">
        <x:f>IF(A1057="","",IF(F1057="C1057成功",IF(AND(J1057&lt;&gt;"",K1057&lt;&gt;"",N1057&gt;0),"有证据","缺C1057证据"),IF(F1057="C1057发货确认中",IF(AND(J1057&lt;&gt;"",K1057&lt;&gt;""),"有证据","缺C1057证据"),IF(F1057="手动完结",IF(OR(L1057&lt;&gt;"",O1057&lt;&gt;"",S1057&lt;&gt;""),"有记录","缺手工证据"),IF(OR(F1057="卖出待补仓",F1057="提交结果待确认",F1057="异常待处理"),"持续跟踪","检查状态")))))</x:f>
      </x:c>
      <x:c r="T1057" s="64" t="str">
        <x:f>IF(A1057="","",IF(COUNTIF($A$5:$A$1204,A1057)&gt;1,"重复",""))</x:f>
      </x:c>
      <x:c r="U1057" s="64" t="str">
        <x:f>IF(A1057="","",IF(T1057="重复","检查重复",IF(OR(R1057="有证据",R1057="有记录",R1057="持续跟踪"),"可追踪","检查")))</x:f>
      </x:c>
    </x:row>
    <x:row r="1058">
      <x:c r="A1058" s="62"/>
      <x:c r="B1058" s="62"/>
      <x:c r="C1058" s="62"/>
      <x:c r="D1058" s="66"/>
      <x:c r="E1058" s="68"/>
      <x:c r="F1058" s="62"/>
      <x:c r="G1058" s="62"/>
      <x:c r="H1058" s="62"/>
      <x:c r="I1058" s="62"/>
      <x:c r="J1058" s="62"/>
      <x:c r="K1058" s="62"/>
      <x:c r="L1058" s="62"/>
      <x:c r="M1058" s="68"/>
      <x:c r="N1058" s="68"/>
      <x:c r="O1058" s="68"/>
      <x:c r="P1058" s="71" t="str">
        <x:f>IF(A1058="","",IF(N1058&gt;0,N1058,M1058))</x:f>
      </x:c>
      <x:c r="Q1058" s="72" t="n">
        <x:f>IF(A1058="",0,IF(COUNTIF($A$5:A1058,A1058)=1,1,0))</x:f>
        <x:v>0</x:v>
      </x:c>
      <x:c r="R1058" s="64" t="str">
        <x:f>IF(A1058="","",IF(F1058="C1058成功",IF(AND(J1058&lt;&gt;"",K1058&lt;&gt;"",N1058&gt;0),"有证据","缺C1058证据"),IF(F1058="C1058发货确认中",IF(AND(J1058&lt;&gt;"",K1058&lt;&gt;""),"有证据","缺C1058证据"),IF(F1058="手动完结",IF(OR(L1058&lt;&gt;"",O1058&lt;&gt;"",S1058&lt;&gt;""),"有记录","缺手工证据"),IF(OR(F1058="卖出待补仓",F1058="提交结果待确认",F1058="异常待处理"),"持续跟踪","检查状态")))))</x:f>
      </x:c>
      <x:c r="T1058" s="64" t="str">
        <x:f>IF(A1058="","",IF(COUNTIF($A$5:$A$1204,A1058)&gt;1,"重复",""))</x:f>
      </x:c>
      <x:c r="U1058" s="64" t="str">
        <x:f>IF(A1058="","",IF(T1058="重复","检查重复",IF(OR(R1058="有证据",R1058="有记录",R1058="持续跟踪"),"可追踪","检查")))</x:f>
      </x:c>
    </x:row>
    <x:row r="1059">
      <x:c r="A1059" s="62"/>
      <x:c r="B1059" s="62"/>
      <x:c r="C1059" s="62"/>
      <x:c r="D1059" s="66"/>
      <x:c r="E1059" s="68"/>
      <x:c r="F1059" s="62"/>
      <x:c r="G1059" s="62"/>
      <x:c r="H1059" s="62"/>
      <x:c r="I1059" s="62"/>
      <x:c r="J1059" s="62"/>
      <x:c r="K1059" s="62"/>
      <x:c r="L1059" s="62"/>
      <x:c r="M1059" s="68"/>
      <x:c r="N1059" s="68"/>
      <x:c r="O1059" s="68"/>
      <x:c r="P1059" s="71" t="str">
        <x:f>IF(A1059="","",IF(N1059&gt;0,N1059,M1059))</x:f>
      </x:c>
      <x:c r="Q1059" s="72" t="n">
        <x:f>IF(A1059="",0,IF(COUNTIF($A$5:A1059,A1059)=1,1,0))</x:f>
        <x:v>0</x:v>
      </x:c>
      <x:c r="R1059" s="64" t="str">
        <x:f>IF(A1059="","",IF(F1059="C1059成功",IF(AND(J1059&lt;&gt;"",K1059&lt;&gt;"",N1059&gt;0),"有证据","缺C1059证据"),IF(F1059="C1059发货确认中",IF(AND(J1059&lt;&gt;"",K1059&lt;&gt;""),"有证据","缺C1059证据"),IF(F1059="手动完结",IF(OR(L1059&lt;&gt;"",O1059&lt;&gt;"",S1059&lt;&gt;""),"有记录","缺手工证据"),IF(OR(F1059="卖出待补仓",F1059="提交结果待确认",F1059="异常待处理"),"持续跟踪","检查状态")))))</x:f>
      </x:c>
      <x:c r="T1059" s="64" t="str">
        <x:f>IF(A1059="","",IF(COUNTIF($A$5:$A$1204,A1059)&gt;1,"重复",""))</x:f>
      </x:c>
      <x:c r="U1059" s="64" t="str">
        <x:f>IF(A1059="","",IF(T1059="重复","检查重复",IF(OR(R1059="有证据",R1059="有记录",R1059="持续跟踪"),"可追踪","检查")))</x:f>
      </x:c>
    </x:row>
    <x:row r="1060">
      <x:c r="A1060" s="62"/>
      <x:c r="B1060" s="62"/>
      <x:c r="C1060" s="62"/>
      <x:c r="D1060" s="66"/>
      <x:c r="E1060" s="68"/>
      <x:c r="F1060" s="62"/>
      <x:c r="G1060" s="62"/>
      <x:c r="H1060" s="62"/>
      <x:c r="I1060" s="62"/>
      <x:c r="J1060" s="62"/>
      <x:c r="K1060" s="62"/>
      <x:c r="L1060" s="62"/>
      <x:c r="M1060" s="68"/>
      <x:c r="N1060" s="68"/>
      <x:c r="O1060" s="68"/>
      <x:c r="P1060" s="71" t="str">
        <x:f>IF(A1060="","",IF(N1060&gt;0,N1060,M1060))</x:f>
      </x:c>
      <x:c r="Q1060" s="72" t="n">
        <x:f>IF(A1060="",0,IF(COUNTIF($A$5:A1060,A1060)=1,1,0))</x:f>
        <x:v>0</x:v>
      </x:c>
      <x:c r="R1060" s="64" t="str">
        <x:f>IF(A1060="","",IF(F1060="C1060成功",IF(AND(J1060&lt;&gt;"",K1060&lt;&gt;"",N1060&gt;0),"有证据","缺C1060证据"),IF(F1060="C1060发货确认中",IF(AND(J1060&lt;&gt;"",K1060&lt;&gt;""),"有证据","缺C1060证据"),IF(F1060="手动完结",IF(OR(L1060&lt;&gt;"",O1060&lt;&gt;"",S1060&lt;&gt;""),"有记录","缺手工证据"),IF(OR(F1060="卖出待补仓",F1060="提交结果待确认",F1060="异常待处理"),"持续跟踪","检查状态")))))</x:f>
      </x:c>
      <x:c r="T1060" s="64" t="str">
        <x:f>IF(A1060="","",IF(COUNTIF($A$5:$A$1204,A1060)&gt;1,"重复",""))</x:f>
      </x:c>
      <x:c r="U1060" s="64" t="str">
        <x:f>IF(A1060="","",IF(T1060="重复","检查重复",IF(OR(R1060="有证据",R1060="有记录",R1060="持续跟踪"),"可追踪","检查")))</x:f>
      </x:c>
    </x:row>
    <x:row r="1061">
      <x:c r="A1061" s="62"/>
      <x:c r="B1061" s="62"/>
      <x:c r="C1061" s="62"/>
      <x:c r="D1061" s="66"/>
      <x:c r="E1061" s="68"/>
      <x:c r="F1061" s="62"/>
      <x:c r="G1061" s="62"/>
      <x:c r="H1061" s="62"/>
      <x:c r="I1061" s="62"/>
      <x:c r="J1061" s="62"/>
      <x:c r="K1061" s="62"/>
      <x:c r="L1061" s="62"/>
      <x:c r="M1061" s="68"/>
      <x:c r="N1061" s="68"/>
      <x:c r="O1061" s="68"/>
      <x:c r="P1061" s="71" t="str">
        <x:f>IF(A1061="","",IF(N1061&gt;0,N1061,M1061))</x:f>
      </x:c>
      <x:c r="Q1061" s="72" t="n">
        <x:f>IF(A1061="",0,IF(COUNTIF($A$5:A1061,A1061)=1,1,0))</x:f>
        <x:v>0</x:v>
      </x:c>
      <x:c r="R1061" s="64" t="str">
        <x:f>IF(A1061="","",IF(F1061="C1061成功",IF(AND(J1061&lt;&gt;"",K1061&lt;&gt;"",N1061&gt;0),"有证据","缺C1061证据"),IF(F1061="C1061发货确认中",IF(AND(J1061&lt;&gt;"",K1061&lt;&gt;""),"有证据","缺C1061证据"),IF(F1061="手动完结",IF(OR(L1061&lt;&gt;"",O1061&lt;&gt;"",S1061&lt;&gt;""),"有记录","缺手工证据"),IF(OR(F1061="卖出待补仓",F1061="提交结果待确认",F1061="异常待处理"),"持续跟踪","检查状态")))))</x:f>
      </x:c>
      <x:c r="T1061" s="64" t="str">
        <x:f>IF(A1061="","",IF(COUNTIF($A$5:$A$1204,A1061)&gt;1,"重复",""))</x:f>
      </x:c>
      <x:c r="U1061" s="64" t="str">
        <x:f>IF(A1061="","",IF(T1061="重复","检查重复",IF(OR(R1061="有证据",R1061="有记录",R1061="持续跟踪"),"可追踪","检查")))</x:f>
      </x:c>
    </x:row>
    <x:row r="1062">
      <x:c r="A1062" s="62"/>
      <x:c r="B1062" s="62"/>
      <x:c r="C1062" s="62"/>
      <x:c r="D1062" s="66"/>
      <x:c r="E1062" s="68"/>
      <x:c r="F1062" s="62"/>
      <x:c r="G1062" s="62"/>
      <x:c r="H1062" s="62"/>
      <x:c r="I1062" s="62"/>
      <x:c r="J1062" s="62"/>
      <x:c r="K1062" s="62"/>
      <x:c r="L1062" s="62"/>
      <x:c r="M1062" s="68"/>
      <x:c r="N1062" s="68"/>
      <x:c r="O1062" s="68"/>
      <x:c r="P1062" s="71" t="str">
        <x:f>IF(A1062="","",IF(N1062&gt;0,N1062,M1062))</x:f>
      </x:c>
      <x:c r="Q1062" s="72" t="n">
        <x:f>IF(A1062="",0,IF(COUNTIF($A$5:A1062,A1062)=1,1,0))</x:f>
        <x:v>0</x:v>
      </x:c>
      <x:c r="R1062" s="64" t="str">
        <x:f>IF(A1062="","",IF(F1062="C1062成功",IF(AND(J1062&lt;&gt;"",K1062&lt;&gt;"",N1062&gt;0),"有证据","缺C1062证据"),IF(F1062="C1062发货确认中",IF(AND(J1062&lt;&gt;"",K1062&lt;&gt;""),"有证据","缺C1062证据"),IF(F1062="手动完结",IF(OR(L1062&lt;&gt;"",O1062&lt;&gt;"",S1062&lt;&gt;""),"有记录","缺手工证据"),IF(OR(F1062="卖出待补仓",F1062="提交结果待确认",F1062="异常待处理"),"持续跟踪","检查状态")))))</x:f>
      </x:c>
      <x:c r="T1062" s="64" t="str">
        <x:f>IF(A1062="","",IF(COUNTIF($A$5:$A$1204,A1062)&gt;1,"重复",""))</x:f>
      </x:c>
      <x:c r="U1062" s="64" t="str">
        <x:f>IF(A1062="","",IF(T1062="重复","检查重复",IF(OR(R1062="有证据",R1062="有记录",R1062="持续跟踪"),"可追踪","检查")))</x:f>
      </x:c>
    </x:row>
    <x:row r="1063">
      <x:c r="A1063" s="62"/>
      <x:c r="B1063" s="62"/>
      <x:c r="C1063" s="62"/>
      <x:c r="D1063" s="66"/>
      <x:c r="E1063" s="68"/>
      <x:c r="F1063" s="62"/>
      <x:c r="G1063" s="62"/>
      <x:c r="H1063" s="62"/>
      <x:c r="I1063" s="62"/>
      <x:c r="J1063" s="62"/>
      <x:c r="K1063" s="62"/>
      <x:c r="L1063" s="62"/>
      <x:c r="M1063" s="68"/>
      <x:c r="N1063" s="68"/>
      <x:c r="O1063" s="68"/>
      <x:c r="P1063" s="71" t="str">
        <x:f>IF(A1063="","",IF(N1063&gt;0,N1063,M1063))</x:f>
      </x:c>
      <x:c r="Q1063" s="72" t="n">
        <x:f>IF(A1063="",0,IF(COUNTIF($A$5:A1063,A1063)=1,1,0))</x:f>
        <x:v>0</x:v>
      </x:c>
      <x:c r="R1063" s="64" t="str">
        <x:f>IF(A1063="","",IF(F1063="C1063成功",IF(AND(J1063&lt;&gt;"",K1063&lt;&gt;"",N1063&gt;0),"有证据","缺C1063证据"),IF(F1063="C1063发货确认中",IF(AND(J1063&lt;&gt;"",K1063&lt;&gt;""),"有证据","缺C1063证据"),IF(F1063="手动完结",IF(OR(L1063&lt;&gt;"",O1063&lt;&gt;"",S1063&lt;&gt;""),"有记录","缺手工证据"),IF(OR(F1063="卖出待补仓",F1063="提交结果待确认",F1063="异常待处理"),"持续跟踪","检查状态")))))</x:f>
      </x:c>
      <x:c r="T1063" s="64" t="str">
        <x:f>IF(A1063="","",IF(COUNTIF($A$5:$A$1204,A1063)&gt;1,"重复",""))</x:f>
      </x:c>
      <x:c r="U1063" s="64" t="str">
        <x:f>IF(A1063="","",IF(T1063="重复","检查重复",IF(OR(R1063="有证据",R1063="有记录",R1063="持续跟踪"),"可追踪","检查")))</x:f>
      </x:c>
    </x:row>
    <x:row r="1064">
      <x:c r="A1064" s="62"/>
      <x:c r="B1064" s="62"/>
      <x:c r="C1064" s="62"/>
      <x:c r="D1064" s="66"/>
      <x:c r="E1064" s="68"/>
      <x:c r="F1064" s="62"/>
      <x:c r="G1064" s="62"/>
      <x:c r="H1064" s="62"/>
      <x:c r="I1064" s="62"/>
      <x:c r="J1064" s="62"/>
      <x:c r="K1064" s="62"/>
      <x:c r="L1064" s="62"/>
      <x:c r="M1064" s="68"/>
      <x:c r="N1064" s="68"/>
      <x:c r="O1064" s="68"/>
      <x:c r="P1064" s="71" t="str">
        <x:f>IF(A1064="","",IF(N1064&gt;0,N1064,M1064))</x:f>
      </x:c>
      <x:c r="Q1064" s="72" t="n">
        <x:f>IF(A1064="",0,IF(COUNTIF($A$5:A1064,A1064)=1,1,0))</x:f>
        <x:v>0</x:v>
      </x:c>
      <x:c r="R1064" s="64" t="str">
        <x:f>IF(A1064="","",IF(F1064="C1064成功",IF(AND(J1064&lt;&gt;"",K1064&lt;&gt;"",N1064&gt;0),"有证据","缺C1064证据"),IF(F1064="C1064发货确认中",IF(AND(J1064&lt;&gt;"",K1064&lt;&gt;""),"有证据","缺C1064证据"),IF(F1064="手动完结",IF(OR(L1064&lt;&gt;"",O1064&lt;&gt;"",S1064&lt;&gt;""),"有记录","缺手工证据"),IF(OR(F1064="卖出待补仓",F1064="提交结果待确认",F1064="异常待处理"),"持续跟踪","检查状态")))))</x:f>
      </x:c>
      <x:c r="T1064" s="64" t="str">
        <x:f>IF(A1064="","",IF(COUNTIF($A$5:$A$1204,A1064)&gt;1,"重复",""))</x:f>
      </x:c>
      <x:c r="U1064" s="64" t="str">
        <x:f>IF(A1064="","",IF(T1064="重复","检查重复",IF(OR(R1064="有证据",R1064="有记录",R1064="持续跟踪"),"可追踪","检查")))</x:f>
      </x:c>
    </x:row>
    <x:row r="1065">
      <x:c r="A1065" s="62"/>
      <x:c r="B1065" s="62"/>
      <x:c r="C1065" s="62"/>
      <x:c r="D1065" s="66"/>
      <x:c r="E1065" s="68"/>
      <x:c r="F1065" s="62"/>
      <x:c r="G1065" s="62"/>
      <x:c r="H1065" s="62"/>
      <x:c r="I1065" s="62"/>
      <x:c r="J1065" s="62"/>
      <x:c r="K1065" s="62"/>
      <x:c r="L1065" s="62"/>
      <x:c r="M1065" s="68"/>
      <x:c r="N1065" s="68"/>
      <x:c r="O1065" s="68"/>
      <x:c r="P1065" s="71" t="str">
        <x:f>IF(A1065="","",IF(N1065&gt;0,N1065,M1065))</x:f>
      </x:c>
      <x:c r="Q1065" s="72" t="n">
        <x:f>IF(A1065="",0,IF(COUNTIF($A$5:A1065,A1065)=1,1,0))</x:f>
        <x:v>0</x:v>
      </x:c>
      <x:c r="R1065" s="64" t="str">
        <x:f>IF(A1065="","",IF(F1065="C1065成功",IF(AND(J1065&lt;&gt;"",K1065&lt;&gt;"",N1065&gt;0),"有证据","缺C1065证据"),IF(F1065="C1065发货确认中",IF(AND(J1065&lt;&gt;"",K1065&lt;&gt;""),"有证据","缺C1065证据"),IF(F1065="手动完结",IF(OR(L1065&lt;&gt;"",O1065&lt;&gt;"",S1065&lt;&gt;""),"有记录","缺手工证据"),IF(OR(F1065="卖出待补仓",F1065="提交结果待确认",F1065="异常待处理"),"持续跟踪","检查状态")))))</x:f>
      </x:c>
      <x:c r="T1065" s="64" t="str">
        <x:f>IF(A1065="","",IF(COUNTIF($A$5:$A$1204,A1065)&gt;1,"重复",""))</x:f>
      </x:c>
      <x:c r="U1065" s="64" t="str">
        <x:f>IF(A1065="","",IF(T1065="重复","检查重复",IF(OR(R1065="有证据",R1065="有记录",R1065="持续跟踪"),"可追踪","检查")))</x:f>
      </x:c>
    </x:row>
    <x:row r="1066">
      <x:c r="A1066" s="62"/>
      <x:c r="B1066" s="62"/>
      <x:c r="C1066" s="62"/>
      <x:c r="D1066" s="66"/>
      <x:c r="E1066" s="68"/>
      <x:c r="F1066" s="62"/>
      <x:c r="G1066" s="62"/>
      <x:c r="H1066" s="62"/>
      <x:c r="I1066" s="62"/>
      <x:c r="J1066" s="62"/>
      <x:c r="K1066" s="62"/>
      <x:c r="L1066" s="62"/>
      <x:c r="M1066" s="68"/>
      <x:c r="N1066" s="68"/>
      <x:c r="O1066" s="68"/>
      <x:c r="P1066" s="71" t="str">
        <x:f>IF(A1066="","",IF(N1066&gt;0,N1066,M1066))</x:f>
      </x:c>
      <x:c r="Q1066" s="72" t="n">
        <x:f>IF(A1066="",0,IF(COUNTIF($A$5:A1066,A1066)=1,1,0))</x:f>
        <x:v>0</x:v>
      </x:c>
      <x:c r="R1066" s="64" t="str">
        <x:f>IF(A1066="","",IF(F1066="C1066成功",IF(AND(J1066&lt;&gt;"",K1066&lt;&gt;"",N1066&gt;0),"有证据","缺C1066证据"),IF(F1066="C1066发货确认中",IF(AND(J1066&lt;&gt;"",K1066&lt;&gt;""),"有证据","缺C1066证据"),IF(F1066="手动完结",IF(OR(L1066&lt;&gt;"",O1066&lt;&gt;"",S1066&lt;&gt;""),"有记录","缺手工证据"),IF(OR(F1066="卖出待补仓",F1066="提交结果待确认",F1066="异常待处理"),"持续跟踪","检查状态")))))</x:f>
      </x:c>
      <x:c r="T1066" s="64" t="str">
        <x:f>IF(A1066="","",IF(COUNTIF($A$5:$A$1204,A1066)&gt;1,"重复",""))</x:f>
      </x:c>
      <x:c r="U1066" s="64" t="str">
        <x:f>IF(A1066="","",IF(T1066="重复","检查重复",IF(OR(R1066="有证据",R1066="有记录",R1066="持续跟踪"),"可追踪","检查")))</x:f>
      </x:c>
    </x:row>
    <x:row r="1067">
      <x:c r="A1067" s="62"/>
      <x:c r="B1067" s="62"/>
      <x:c r="C1067" s="62"/>
      <x:c r="D1067" s="66"/>
      <x:c r="E1067" s="68"/>
      <x:c r="F1067" s="62"/>
      <x:c r="G1067" s="62"/>
      <x:c r="H1067" s="62"/>
      <x:c r="I1067" s="62"/>
      <x:c r="J1067" s="62"/>
      <x:c r="K1067" s="62"/>
      <x:c r="L1067" s="62"/>
      <x:c r="M1067" s="68"/>
      <x:c r="N1067" s="68"/>
      <x:c r="O1067" s="68"/>
      <x:c r="P1067" s="71" t="str">
        <x:f>IF(A1067="","",IF(N1067&gt;0,N1067,M1067))</x:f>
      </x:c>
      <x:c r="Q1067" s="72" t="n">
        <x:f>IF(A1067="",0,IF(COUNTIF($A$5:A1067,A1067)=1,1,0))</x:f>
        <x:v>0</x:v>
      </x:c>
      <x:c r="R1067" s="64" t="str">
        <x:f>IF(A1067="","",IF(F1067="C1067成功",IF(AND(J1067&lt;&gt;"",K1067&lt;&gt;"",N1067&gt;0),"有证据","缺C1067证据"),IF(F1067="C1067发货确认中",IF(AND(J1067&lt;&gt;"",K1067&lt;&gt;""),"有证据","缺C1067证据"),IF(F1067="手动完结",IF(OR(L1067&lt;&gt;"",O1067&lt;&gt;"",S1067&lt;&gt;""),"有记录","缺手工证据"),IF(OR(F1067="卖出待补仓",F1067="提交结果待确认",F1067="异常待处理"),"持续跟踪","检查状态")))))</x:f>
      </x:c>
      <x:c r="T1067" s="64" t="str">
        <x:f>IF(A1067="","",IF(COUNTIF($A$5:$A$1204,A1067)&gt;1,"重复",""))</x:f>
      </x:c>
      <x:c r="U1067" s="64" t="str">
        <x:f>IF(A1067="","",IF(T1067="重复","检查重复",IF(OR(R1067="有证据",R1067="有记录",R1067="持续跟踪"),"可追踪","检查")))</x:f>
      </x:c>
    </x:row>
    <x:row r="1068">
      <x:c r="A1068" s="62"/>
      <x:c r="B1068" s="62"/>
      <x:c r="C1068" s="62"/>
      <x:c r="D1068" s="66"/>
      <x:c r="E1068" s="68"/>
      <x:c r="F1068" s="62"/>
      <x:c r="G1068" s="62"/>
      <x:c r="H1068" s="62"/>
      <x:c r="I1068" s="62"/>
      <x:c r="J1068" s="62"/>
      <x:c r="K1068" s="62"/>
      <x:c r="L1068" s="62"/>
      <x:c r="M1068" s="68"/>
      <x:c r="N1068" s="68"/>
      <x:c r="O1068" s="68"/>
      <x:c r="P1068" s="71" t="str">
        <x:f>IF(A1068="","",IF(N1068&gt;0,N1068,M1068))</x:f>
      </x:c>
      <x:c r="Q1068" s="72" t="n">
        <x:f>IF(A1068="",0,IF(COUNTIF($A$5:A1068,A1068)=1,1,0))</x:f>
        <x:v>0</x:v>
      </x:c>
      <x:c r="R1068" s="64" t="str">
        <x:f>IF(A1068="","",IF(F1068="C1068成功",IF(AND(J1068&lt;&gt;"",K1068&lt;&gt;"",N1068&gt;0),"有证据","缺C1068证据"),IF(F1068="C1068发货确认中",IF(AND(J1068&lt;&gt;"",K1068&lt;&gt;""),"有证据","缺C1068证据"),IF(F1068="手动完结",IF(OR(L1068&lt;&gt;"",O1068&lt;&gt;"",S1068&lt;&gt;""),"有记录","缺手工证据"),IF(OR(F1068="卖出待补仓",F1068="提交结果待确认",F1068="异常待处理"),"持续跟踪","检查状态")))))</x:f>
      </x:c>
      <x:c r="T1068" s="64" t="str">
        <x:f>IF(A1068="","",IF(COUNTIF($A$5:$A$1204,A1068)&gt;1,"重复",""))</x:f>
      </x:c>
      <x:c r="U1068" s="64" t="str">
        <x:f>IF(A1068="","",IF(T1068="重复","检查重复",IF(OR(R1068="有证据",R1068="有记录",R1068="持续跟踪"),"可追踪","检查")))</x:f>
      </x:c>
    </x:row>
    <x:row r="1069">
      <x:c r="A1069" s="62"/>
      <x:c r="B1069" s="62"/>
      <x:c r="C1069" s="62"/>
      <x:c r="D1069" s="66"/>
      <x:c r="E1069" s="68"/>
      <x:c r="F1069" s="62"/>
      <x:c r="G1069" s="62"/>
      <x:c r="H1069" s="62"/>
      <x:c r="I1069" s="62"/>
      <x:c r="J1069" s="62"/>
      <x:c r="K1069" s="62"/>
      <x:c r="L1069" s="62"/>
      <x:c r="M1069" s="68"/>
      <x:c r="N1069" s="68"/>
      <x:c r="O1069" s="68"/>
      <x:c r="P1069" s="71" t="str">
        <x:f>IF(A1069="","",IF(N1069&gt;0,N1069,M1069))</x:f>
      </x:c>
      <x:c r="Q1069" s="72" t="n">
        <x:f>IF(A1069="",0,IF(COUNTIF($A$5:A1069,A1069)=1,1,0))</x:f>
        <x:v>0</x:v>
      </x:c>
      <x:c r="R1069" s="64" t="str">
        <x:f>IF(A1069="","",IF(F1069="C1069成功",IF(AND(J1069&lt;&gt;"",K1069&lt;&gt;"",N1069&gt;0),"有证据","缺C1069证据"),IF(F1069="C1069发货确认中",IF(AND(J1069&lt;&gt;"",K1069&lt;&gt;""),"有证据","缺C1069证据"),IF(F1069="手动完结",IF(OR(L1069&lt;&gt;"",O1069&lt;&gt;"",S1069&lt;&gt;""),"有记录","缺手工证据"),IF(OR(F1069="卖出待补仓",F1069="提交结果待确认",F1069="异常待处理"),"持续跟踪","检查状态")))))</x:f>
      </x:c>
      <x:c r="T1069" s="64" t="str">
        <x:f>IF(A1069="","",IF(COUNTIF($A$5:$A$1204,A1069)&gt;1,"重复",""))</x:f>
      </x:c>
      <x:c r="U1069" s="64" t="str">
        <x:f>IF(A1069="","",IF(T1069="重复","检查重复",IF(OR(R1069="有证据",R1069="有记录",R1069="持续跟踪"),"可追踪","检查")))</x:f>
      </x:c>
    </x:row>
    <x:row r="1070">
      <x:c r="A1070" s="62"/>
      <x:c r="B1070" s="62"/>
      <x:c r="C1070" s="62"/>
      <x:c r="D1070" s="66"/>
      <x:c r="E1070" s="68"/>
      <x:c r="F1070" s="62"/>
      <x:c r="G1070" s="62"/>
      <x:c r="H1070" s="62"/>
      <x:c r="I1070" s="62"/>
      <x:c r="J1070" s="62"/>
      <x:c r="K1070" s="62"/>
      <x:c r="L1070" s="62"/>
      <x:c r="M1070" s="68"/>
      <x:c r="N1070" s="68"/>
      <x:c r="O1070" s="68"/>
      <x:c r="P1070" s="71" t="str">
        <x:f>IF(A1070="","",IF(N1070&gt;0,N1070,M1070))</x:f>
      </x:c>
      <x:c r="Q1070" s="72" t="n">
        <x:f>IF(A1070="",0,IF(COUNTIF($A$5:A1070,A1070)=1,1,0))</x:f>
        <x:v>0</x:v>
      </x:c>
      <x:c r="R1070" s="64" t="str">
        <x:f>IF(A1070="","",IF(F1070="C1070成功",IF(AND(J1070&lt;&gt;"",K1070&lt;&gt;"",N1070&gt;0),"有证据","缺C1070证据"),IF(F1070="C1070发货确认中",IF(AND(J1070&lt;&gt;"",K1070&lt;&gt;""),"有证据","缺C1070证据"),IF(F1070="手动完结",IF(OR(L1070&lt;&gt;"",O1070&lt;&gt;"",S1070&lt;&gt;""),"有记录","缺手工证据"),IF(OR(F1070="卖出待补仓",F1070="提交结果待确认",F1070="异常待处理"),"持续跟踪","检查状态")))))</x:f>
      </x:c>
      <x:c r="T1070" s="64" t="str">
        <x:f>IF(A1070="","",IF(COUNTIF($A$5:$A$1204,A1070)&gt;1,"重复",""))</x:f>
      </x:c>
      <x:c r="U1070" s="64" t="str">
        <x:f>IF(A1070="","",IF(T1070="重复","检查重复",IF(OR(R1070="有证据",R1070="有记录",R1070="持续跟踪"),"可追踪","检查")))</x:f>
      </x:c>
    </x:row>
    <x:row r="1071">
      <x:c r="A1071" s="62"/>
      <x:c r="B1071" s="62"/>
      <x:c r="C1071" s="62"/>
      <x:c r="D1071" s="66"/>
      <x:c r="E1071" s="68"/>
      <x:c r="F1071" s="62"/>
      <x:c r="G1071" s="62"/>
      <x:c r="H1071" s="62"/>
      <x:c r="I1071" s="62"/>
      <x:c r="J1071" s="62"/>
      <x:c r="K1071" s="62"/>
      <x:c r="L1071" s="62"/>
      <x:c r="M1071" s="68"/>
      <x:c r="N1071" s="68"/>
      <x:c r="O1071" s="68"/>
      <x:c r="P1071" s="71" t="str">
        <x:f>IF(A1071="","",IF(N1071&gt;0,N1071,M1071))</x:f>
      </x:c>
      <x:c r="Q1071" s="72" t="n">
        <x:f>IF(A1071="",0,IF(COUNTIF($A$5:A1071,A1071)=1,1,0))</x:f>
        <x:v>0</x:v>
      </x:c>
      <x:c r="R1071" s="64" t="str">
        <x:f>IF(A1071="","",IF(F1071="C1071成功",IF(AND(J1071&lt;&gt;"",K1071&lt;&gt;"",N1071&gt;0),"有证据","缺C1071证据"),IF(F1071="C1071发货确认中",IF(AND(J1071&lt;&gt;"",K1071&lt;&gt;""),"有证据","缺C1071证据"),IF(F1071="手动完结",IF(OR(L1071&lt;&gt;"",O1071&lt;&gt;"",S1071&lt;&gt;""),"有记录","缺手工证据"),IF(OR(F1071="卖出待补仓",F1071="提交结果待确认",F1071="异常待处理"),"持续跟踪","检查状态")))))</x:f>
      </x:c>
      <x:c r="T1071" s="64" t="str">
        <x:f>IF(A1071="","",IF(COUNTIF($A$5:$A$1204,A1071)&gt;1,"重复",""))</x:f>
      </x:c>
      <x:c r="U1071" s="64" t="str">
        <x:f>IF(A1071="","",IF(T1071="重复","检查重复",IF(OR(R1071="有证据",R1071="有记录",R1071="持续跟踪"),"可追踪","检查")))</x:f>
      </x:c>
    </x:row>
    <x:row r="1072">
      <x:c r="A1072" s="62"/>
      <x:c r="B1072" s="62"/>
      <x:c r="C1072" s="62"/>
      <x:c r="D1072" s="66"/>
      <x:c r="E1072" s="68"/>
      <x:c r="F1072" s="62"/>
      <x:c r="G1072" s="62"/>
      <x:c r="H1072" s="62"/>
      <x:c r="I1072" s="62"/>
      <x:c r="J1072" s="62"/>
      <x:c r="K1072" s="62"/>
      <x:c r="L1072" s="62"/>
      <x:c r="M1072" s="68"/>
      <x:c r="N1072" s="68"/>
      <x:c r="O1072" s="68"/>
      <x:c r="P1072" s="71" t="str">
        <x:f>IF(A1072="","",IF(N1072&gt;0,N1072,M1072))</x:f>
      </x:c>
      <x:c r="Q1072" s="72" t="n">
        <x:f>IF(A1072="",0,IF(COUNTIF($A$5:A1072,A1072)=1,1,0))</x:f>
        <x:v>0</x:v>
      </x:c>
      <x:c r="R1072" s="64" t="str">
        <x:f>IF(A1072="","",IF(F1072="C1072成功",IF(AND(J1072&lt;&gt;"",K1072&lt;&gt;"",N1072&gt;0),"有证据","缺C1072证据"),IF(F1072="C1072发货确认中",IF(AND(J1072&lt;&gt;"",K1072&lt;&gt;""),"有证据","缺C1072证据"),IF(F1072="手动完结",IF(OR(L1072&lt;&gt;"",O1072&lt;&gt;"",S1072&lt;&gt;""),"有记录","缺手工证据"),IF(OR(F1072="卖出待补仓",F1072="提交结果待确认",F1072="异常待处理"),"持续跟踪","检查状态")))))</x:f>
      </x:c>
      <x:c r="T1072" s="64" t="str">
        <x:f>IF(A1072="","",IF(COUNTIF($A$5:$A$1204,A1072)&gt;1,"重复",""))</x:f>
      </x:c>
      <x:c r="U1072" s="64" t="str">
        <x:f>IF(A1072="","",IF(T1072="重复","检查重复",IF(OR(R1072="有证据",R1072="有记录",R1072="持续跟踪"),"可追踪","检查")))</x:f>
      </x:c>
    </x:row>
    <x:row r="1073">
      <x:c r="A1073" s="62"/>
      <x:c r="B1073" s="62"/>
      <x:c r="C1073" s="62"/>
      <x:c r="D1073" s="66"/>
      <x:c r="E1073" s="68"/>
      <x:c r="F1073" s="62"/>
      <x:c r="G1073" s="62"/>
      <x:c r="H1073" s="62"/>
      <x:c r="I1073" s="62"/>
      <x:c r="J1073" s="62"/>
      <x:c r="K1073" s="62"/>
      <x:c r="L1073" s="62"/>
      <x:c r="M1073" s="68"/>
      <x:c r="N1073" s="68"/>
      <x:c r="O1073" s="68"/>
      <x:c r="P1073" s="71" t="str">
        <x:f>IF(A1073="","",IF(N1073&gt;0,N1073,M1073))</x:f>
      </x:c>
      <x:c r="Q1073" s="72" t="n">
        <x:f>IF(A1073="",0,IF(COUNTIF($A$5:A1073,A1073)=1,1,0))</x:f>
        <x:v>0</x:v>
      </x:c>
      <x:c r="R1073" s="64" t="str">
        <x:f>IF(A1073="","",IF(F1073="C1073成功",IF(AND(J1073&lt;&gt;"",K1073&lt;&gt;"",N1073&gt;0),"有证据","缺C1073证据"),IF(F1073="C1073发货确认中",IF(AND(J1073&lt;&gt;"",K1073&lt;&gt;""),"有证据","缺C1073证据"),IF(F1073="手动完结",IF(OR(L1073&lt;&gt;"",O1073&lt;&gt;"",S1073&lt;&gt;""),"有记录","缺手工证据"),IF(OR(F1073="卖出待补仓",F1073="提交结果待确认",F1073="异常待处理"),"持续跟踪","检查状态")))))</x:f>
      </x:c>
      <x:c r="T1073" s="64" t="str">
        <x:f>IF(A1073="","",IF(COUNTIF($A$5:$A$1204,A1073)&gt;1,"重复",""))</x:f>
      </x:c>
      <x:c r="U1073" s="64" t="str">
        <x:f>IF(A1073="","",IF(T1073="重复","检查重复",IF(OR(R1073="有证据",R1073="有记录",R1073="持续跟踪"),"可追踪","检查")))</x:f>
      </x:c>
    </x:row>
    <x:row r="1074">
      <x:c r="A1074" s="62"/>
      <x:c r="B1074" s="62"/>
      <x:c r="C1074" s="62"/>
      <x:c r="D1074" s="66"/>
      <x:c r="E1074" s="68"/>
      <x:c r="F1074" s="62"/>
      <x:c r="G1074" s="62"/>
      <x:c r="H1074" s="62"/>
      <x:c r="I1074" s="62"/>
      <x:c r="J1074" s="62"/>
      <x:c r="K1074" s="62"/>
      <x:c r="L1074" s="62"/>
      <x:c r="M1074" s="68"/>
      <x:c r="N1074" s="68"/>
      <x:c r="O1074" s="68"/>
      <x:c r="P1074" s="71" t="str">
        <x:f>IF(A1074="","",IF(N1074&gt;0,N1074,M1074))</x:f>
      </x:c>
      <x:c r="Q1074" s="72" t="n">
        <x:f>IF(A1074="",0,IF(COUNTIF($A$5:A1074,A1074)=1,1,0))</x:f>
        <x:v>0</x:v>
      </x:c>
      <x:c r="R1074" s="64" t="str">
        <x:f>IF(A1074="","",IF(F1074="C1074成功",IF(AND(J1074&lt;&gt;"",K1074&lt;&gt;"",N1074&gt;0),"有证据","缺C1074证据"),IF(F1074="C1074发货确认中",IF(AND(J1074&lt;&gt;"",K1074&lt;&gt;""),"有证据","缺C1074证据"),IF(F1074="手动完结",IF(OR(L1074&lt;&gt;"",O1074&lt;&gt;"",S1074&lt;&gt;""),"有记录","缺手工证据"),IF(OR(F1074="卖出待补仓",F1074="提交结果待确认",F1074="异常待处理"),"持续跟踪","检查状态")))))</x:f>
      </x:c>
      <x:c r="T1074" s="64" t="str">
        <x:f>IF(A1074="","",IF(COUNTIF($A$5:$A$1204,A1074)&gt;1,"重复",""))</x:f>
      </x:c>
      <x:c r="U1074" s="64" t="str">
        <x:f>IF(A1074="","",IF(T1074="重复","检查重复",IF(OR(R1074="有证据",R1074="有记录",R1074="持续跟踪"),"可追踪","检查")))</x:f>
      </x:c>
    </x:row>
    <x:row r="1075">
      <x:c r="A1075" s="62"/>
      <x:c r="B1075" s="62"/>
      <x:c r="C1075" s="62"/>
      <x:c r="D1075" s="66"/>
      <x:c r="E1075" s="68"/>
      <x:c r="F1075" s="62"/>
      <x:c r="G1075" s="62"/>
      <x:c r="H1075" s="62"/>
      <x:c r="I1075" s="62"/>
      <x:c r="J1075" s="62"/>
      <x:c r="K1075" s="62"/>
      <x:c r="L1075" s="62"/>
      <x:c r="M1075" s="68"/>
      <x:c r="N1075" s="68"/>
      <x:c r="O1075" s="68"/>
      <x:c r="P1075" s="71" t="str">
        <x:f>IF(A1075="","",IF(N1075&gt;0,N1075,M1075))</x:f>
      </x:c>
      <x:c r="Q1075" s="72" t="n">
        <x:f>IF(A1075="",0,IF(COUNTIF($A$5:A1075,A1075)=1,1,0))</x:f>
        <x:v>0</x:v>
      </x:c>
      <x:c r="R1075" s="64" t="str">
        <x:f>IF(A1075="","",IF(F1075="C1075成功",IF(AND(J1075&lt;&gt;"",K1075&lt;&gt;"",N1075&gt;0),"有证据","缺C1075证据"),IF(F1075="C1075发货确认中",IF(AND(J1075&lt;&gt;"",K1075&lt;&gt;""),"有证据","缺C1075证据"),IF(F1075="手动完结",IF(OR(L1075&lt;&gt;"",O1075&lt;&gt;"",S1075&lt;&gt;""),"有记录","缺手工证据"),IF(OR(F1075="卖出待补仓",F1075="提交结果待确认",F1075="异常待处理"),"持续跟踪","检查状态")))))</x:f>
      </x:c>
      <x:c r="T1075" s="64" t="str">
        <x:f>IF(A1075="","",IF(COUNTIF($A$5:$A$1204,A1075)&gt;1,"重复",""))</x:f>
      </x:c>
      <x:c r="U1075" s="64" t="str">
        <x:f>IF(A1075="","",IF(T1075="重复","检查重复",IF(OR(R1075="有证据",R1075="有记录",R1075="持续跟踪"),"可追踪","检查")))</x:f>
      </x:c>
    </x:row>
    <x:row r="1076">
      <x:c r="A1076" s="62"/>
      <x:c r="B1076" s="62"/>
      <x:c r="C1076" s="62"/>
      <x:c r="D1076" s="66"/>
      <x:c r="E1076" s="68"/>
      <x:c r="F1076" s="62"/>
      <x:c r="G1076" s="62"/>
      <x:c r="H1076" s="62"/>
      <x:c r="I1076" s="62"/>
      <x:c r="J1076" s="62"/>
      <x:c r="K1076" s="62"/>
      <x:c r="L1076" s="62"/>
      <x:c r="M1076" s="68"/>
      <x:c r="N1076" s="68"/>
      <x:c r="O1076" s="68"/>
      <x:c r="P1076" s="71" t="str">
        <x:f>IF(A1076="","",IF(N1076&gt;0,N1076,M1076))</x:f>
      </x:c>
      <x:c r="Q1076" s="72" t="n">
        <x:f>IF(A1076="",0,IF(COUNTIF($A$5:A1076,A1076)=1,1,0))</x:f>
        <x:v>0</x:v>
      </x:c>
      <x:c r="R1076" s="64" t="str">
        <x:f>IF(A1076="","",IF(F1076="C1076成功",IF(AND(J1076&lt;&gt;"",K1076&lt;&gt;"",N1076&gt;0),"有证据","缺C1076证据"),IF(F1076="C1076发货确认中",IF(AND(J1076&lt;&gt;"",K1076&lt;&gt;""),"有证据","缺C1076证据"),IF(F1076="手动完结",IF(OR(L1076&lt;&gt;"",O1076&lt;&gt;"",S1076&lt;&gt;""),"有记录","缺手工证据"),IF(OR(F1076="卖出待补仓",F1076="提交结果待确认",F1076="异常待处理"),"持续跟踪","检查状态")))))</x:f>
      </x:c>
      <x:c r="T1076" s="64" t="str">
        <x:f>IF(A1076="","",IF(COUNTIF($A$5:$A$1204,A1076)&gt;1,"重复",""))</x:f>
      </x:c>
      <x:c r="U1076" s="64" t="str">
        <x:f>IF(A1076="","",IF(T1076="重复","检查重复",IF(OR(R1076="有证据",R1076="有记录",R1076="持续跟踪"),"可追踪","检查")))</x:f>
      </x:c>
    </x:row>
    <x:row r="1077">
      <x:c r="A1077" s="62"/>
      <x:c r="B1077" s="62"/>
      <x:c r="C1077" s="62"/>
      <x:c r="D1077" s="66"/>
      <x:c r="E1077" s="68"/>
      <x:c r="F1077" s="62"/>
      <x:c r="G1077" s="62"/>
      <x:c r="H1077" s="62"/>
      <x:c r="I1077" s="62"/>
      <x:c r="J1077" s="62"/>
      <x:c r="K1077" s="62"/>
      <x:c r="L1077" s="62"/>
      <x:c r="M1077" s="68"/>
      <x:c r="N1077" s="68"/>
      <x:c r="O1077" s="68"/>
      <x:c r="P1077" s="71" t="str">
        <x:f>IF(A1077="","",IF(N1077&gt;0,N1077,M1077))</x:f>
      </x:c>
      <x:c r="Q1077" s="72" t="n">
        <x:f>IF(A1077="",0,IF(COUNTIF($A$5:A1077,A1077)=1,1,0))</x:f>
        <x:v>0</x:v>
      </x:c>
      <x:c r="R1077" s="64" t="str">
        <x:f>IF(A1077="","",IF(F1077="C1077成功",IF(AND(J1077&lt;&gt;"",K1077&lt;&gt;"",N1077&gt;0),"有证据","缺C1077证据"),IF(F1077="C1077发货确认中",IF(AND(J1077&lt;&gt;"",K1077&lt;&gt;""),"有证据","缺C1077证据"),IF(F1077="手动完结",IF(OR(L1077&lt;&gt;"",O1077&lt;&gt;"",S1077&lt;&gt;""),"有记录","缺手工证据"),IF(OR(F1077="卖出待补仓",F1077="提交结果待确认",F1077="异常待处理"),"持续跟踪","检查状态")))))</x:f>
      </x:c>
      <x:c r="T1077" s="64" t="str">
        <x:f>IF(A1077="","",IF(COUNTIF($A$5:$A$1204,A1077)&gt;1,"重复",""))</x:f>
      </x:c>
      <x:c r="U1077" s="64" t="str">
        <x:f>IF(A1077="","",IF(T1077="重复","检查重复",IF(OR(R1077="有证据",R1077="有记录",R1077="持续跟踪"),"可追踪","检查")))</x:f>
      </x:c>
    </x:row>
    <x:row r="1078">
      <x:c r="A1078" s="62"/>
      <x:c r="B1078" s="62"/>
      <x:c r="C1078" s="62"/>
      <x:c r="D1078" s="66"/>
      <x:c r="E1078" s="68"/>
      <x:c r="F1078" s="62"/>
      <x:c r="G1078" s="62"/>
      <x:c r="H1078" s="62"/>
      <x:c r="I1078" s="62"/>
      <x:c r="J1078" s="62"/>
      <x:c r="K1078" s="62"/>
      <x:c r="L1078" s="62"/>
      <x:c r="M1078" s="68"/>
      <x:c r="N1078" s="68"/>
      <x:c r="O1078" s="68"/>
      <x:c r="P1078" s="71" t="str">
        <x:f>IF(A1078="","",IF(N1078&gt;0,N1078,M1078))</x:f>
      </x:c>
      <x:c r="Q1078" s="72" t="n">
        <x:f>IF(A1078="",0,IF(COUNTIF($A$5:A1078,A1078)=1,1,0))</x:f>
        <x:v>0</x:v>
      </x:c>
      <x:c r="R1078" s="64" t="str">
        <x:f>IF(A1078="","",IF(F1078="C1078成功",IF(AND(J1078&lt;&gt;"",K1078&lt;&gt;"",N1078&gt;0),"有证据","缺C1078证据"),IF(F1078="C1078发货确认中",IF(AND(J1078&lt;&gt;"",K1078&lt;&gt;""),"有证据","缺C1078证据"),IF(F1078="手动完结",IF(OR(L1078&lt;&gt;"",O1078&lt;&gt;"",S1078&lt;&gt;""),"有记录","缺手工证据"),IF(OR(F1078="卖出待补仓",F1078="提交结果待确认",F1078="异常待处理"),"持续跟踪","检查状态")))))</x:f>
      </x:c>
      <x:c r="T1078" s="64" t="str">
        <x:f>IF(A1078="","",IF(COUNTIF($A$5:$A$1204,A1078)&gt;1,"重复",""))</x:f>
      </x:c>
      <x:c r="U1078" s="64" t="str">
        <x:f>IF(A1078="","",IF(T1078="重复","检查重复",IF(OR(R1078="有证据",R1078="有记录",R1078="持续跟踪"),"可追踪","检查")))</x:f>
      </x:c>
    </x:row>
    <x:row r="1079">
      <x:c r="A1079" s="62"/>
      <x:c r="B1079" s="62"/>
      <x:c r="C1079" s="62"/>
      <x:c r="D1079" s="66"/>
      <x:c r="E1079" s="68"/>
      <x:c r="F1079" s="62"/>
      <x:c r="G1079" s="62"/>
      <x:c r="H1079" s="62"/>
      <x:c r="I1079" s="62"/>
      <x:c r="J1079" s="62"/>
      <x:c r="K1079" s="62"/>
      <x:c r="L1079" s="62"/>
      <x:c r="M1079" s="68"/>
      <x:c r="N1079" s="68"/>
      <x:c r="O1079" s="68"/>
      <x:c r="P1079" s="71" t="str">
        <x:f>IF(A1079="","",IF(N1079&gt;0,N1079,M1079))</x:f>
      </x:c>
      <x:c r="Q1079" s="72" t="n">
        <x:f>IF(A1079="",0,IF(COUNTIF($A$5:A1079,A1079)=1,1,0))</x:f>
        <x:v>0</x:v>
      </x:c>
      <x:c r="R1079" s="64" t="str">
        <x:f>IF(A1079="","",IF(F1079="C1079成功",IF(AND(J1079&lt;&gt;"",K1079&lt;&gt;"",N1079&gt;0),"有证据","缺C1079证据"),IF(F1079="C1079发货确认中",IF(AND(J1079&lt;&gt;"",K1079&lt;&gt;""),"有证据","缺C1079证据"),IF(F1079="手动完结",IF(OR(L1079&lt;&gt;"",O1079&lt;&gt;"",S1079&lt;&gt;""),"有记录","缺手工证据"),IF(OR(F1079="卖出待补仓",F1079="提交结果待确认",F1079="异常待处理"),"持续跟踪","检查状态")))))</x:f>
      </x:c>
      <x:c r="T1079" s="64" t="str">
        <x:f>IF(A1079="","",IF(COUNTIF($A$5:$A$1204,A1079)&gt;1,"重复",""))</x:f>
      </x:c>
      <x:c r="U1079" s="64" t="str">
        <x:f>IF(A1079="","",IF(T1079="重复","检查重复",IF(OR(R1079="有证据",R1079="有记录",R1079="持续跟踪"),"可追踪","检查")))</x:f>
      </x:c>
    </x:row>
    <x:row r="1080">
      <x:c r="A1080" s="62"/>
      <x:c r="B1080" s="62"/>
      <x:c r="C1080" s="62"/>
      <x:c r="D1080" s="66"/>
      <x:c r="E1080" s="68"/>
      <x:c r="F1080" s="62"/>
      <x:c r="G1080" s="62"/>
      <x:c r="H1080" s="62"/>
      <x:c r="I1080" s="62"/>
      <x:c r="J1080" s="62"/>
      <x:c r="K1080" s="62"/>
      <x:c r="L1080" s="62"/>
      <x:c r="M1080" s="68"/>
      <x:c r="N1080" s="68"/>
      <x:c r="O1080" s="68"/>
      <x:c r="P1080" s="71" t="str">
        <x:f>IF(A1080="","",IF(N1080&gt;0,N1080,M1080))</x:f>
      </x:c>
      <x:c r="Q1080" s="72" t="n">
        <x:f>IF(A1080="",0,IF(COUNTIF($A$5:A1080,A1080)=1,1,0))</x:f>
        <x:v>0</x:v>
      </x:c>
      <x:c r="R1080" s="64" t="str">
        <x:f>IF(A1080="","",IF(F1080="C1080成功",IF(AND(J1080&lt;&gt;"",K1080&lt;&gt;"",N1080&gt;0),"有证据","缺C1080证据"),IF(F1080="C1080发货确认中",IF(AND(J1080&lt;&gt;"",K1080&lt;&gt;""),"有证据","缺C1080证据"),IF(F1080="手动完结",IF(OR(L1080&lt;&gt;"",O1080&lt;&gt;"",S1080&lt;&gt;""),"有记录","缺手工证据"),IF(OR(F1080="卖出待补仓",F1080="提交结果待确认",F1080="异常待处理"),"持续跟踪","检查状态")))))</x:f>
      </x:c>
      <x:c r="T1080" s="64" t="str">
        <x:f>IF(A1080="","",IF(COUNTIF($A$5:$A$1204,A1080)&gt;1,"重复",""))</x:f>
      </x:c>
      <x:c r="U1080" s="64" t="str">
        <x:f>IF(A1080="","",IF(T1080="重复","检查重复",IF(OR(R1080="有证据",R1080="有记录",R1080="持续跟踪"),"可追踪","检查")))</x:f>
      </x:c>
    </x:row>
    <x:row r="1081">
      <x:c r="A1081" s="62"/>
      <x:c r="B1081" s="62"/>
      <x:c r="C1081" s="62"/>
      <x:c r="D1081" s="66"/>
      <x:c r="E1081" s="68"/>
      <x:c r="F1081" s="62"/>
      <x:c r="G1081" s="62"/>
      <x:c r="H1081" s="62"/>
      <x:c r="I1081" s="62"/>
      <x:c r="J1081" s="62"/>
      <x:c r="K1081" s="62"/>
      <x:c r="L1081" s="62"/>
      <x:c r="M1081" s="68"/>
      <x:c r="N1081" s="68"/>
      <x:c r="O1081" s="68"/>
      <x:c r="P1081" s="71" t="str">
        <x:f>IF(A1081="","",IF(N1081&gt;0,N1081,M1081))</x:f>
      </x:c>
      <x:c r="Q1081" s="72" t="n">
        <x:f>IF(A1081="",0,IF(COUNTIF($A$5:A1081,A1081)=1,1,0))</x:f>
        <x:v>0</x:v>
      </x:c>
      <x:c r="R1081" s="64" t="str">
        <x:f>IF(A1081="","",IF(F1081="C1081成功",IF(AND(J1081&lt;&gt;"",K1081&lt;&gt;"",N1081&gt;0),"有证据","缺C1081证据"),IF(F1081="C1081发货确认中",IF(AND(J1081&lt;&gt;"",K1081&lt;&gt;""),"有证据","缺C1081证据"),IF(F1081="手动完结",IF(OR(L1081&lt;&gt;"",O1081&lt;&gt;"",S1081&lt;&gt;""),"有记录","缺手工证据"),IF(OR(F1081="卖出待补仓",F1081="提交结果待确认",F1081="异常待处理"),"持续跟踪","检查状态")))))</x:f>
      </x:c>
      <x:c r="T1081" s="64" t="str">
        <x:f>IF(A1081="","",IF(COUNTIF($A$5:$A$1204,A1081)&gt;1,"重复",""))</x:f>
      </x:c>
      <x:c r="U1081" s="64" t="str">
        <x:f>IF(A1081="","",IF(T1081="重复","检查重复",IF(OR(R1081="有证据",R1081="有记录",R1081="持续跟踪"),"可追踪","检查")))</x:f>
      </x:c>
    </x:row>
    <x:row r="1082">
      <x:c r="A1082" s="62"/>
      <x:c r="B1082" s="62"/>
      <x:c r="C1082" s="62"/>
      <x:c r="D1082" s="66"/>
      <x:c r="E1082" s="68"/>
      <x:c r="F1082" s="62"/>
      <x:c r="G1082" s="62"/>
      <x:c r="H1082" s="62"/>
      <x:c r="I1082" s="62"/>
      <x:c r="J1082" s="62"/>
      <x:c r="K1082" s="62"/>
      <x:c r="L1082" s="62"/>
      <x:c r="M1082" s="68"/>
      <x:c r="N1082" s="68"/>
      <x:c r="O1082" s="68"/>
      <x:c r="P1082" s="71" t="str">
        <x:f>IF(A1082="","",IF(N1082&gt;0,N1082,M1082))</x:f>
      </x:c>
      <x:c r="Q1082" s="72" t="n">
        <x:f>IF(A1082="",0,IF(COUNTIF($A$5:A1082,A1082)=1,1,0))</x:f>
        <x:v>0</x:v>
      </x:c>
      <x:c r="R1082" s="64" t="str">
        <x:f>IF(A1082="","",IF(F1082="C1082成功",IF(AND(J1082&lt;&gt;"",K1082&lt;&gt;"",N1082&gt;0),"有证据","缺C1082证据"),IF(F1082="C1082发货确认中",IF(AND(J1082&lt;&gt;"",K1082&lt;&gt;""),"有证据","缺C1082证据"),IF(F1082="手动完结",IF(OR(L1082&lt;&gt;"",O1082&lt;&gt;"",S1082&lt;&gt;""),"有记录","缺手工证据"),IF(OR(F1082="卖出待补仓",F1082="提交结果待确认",F1082="异常待处理"),"持续跟踪","检查状态")))))</x:f>
      </x:c>
      <x:c r="T1082" s="64" t="str">
        <x:f>IF(A1082="","",IF(COUNTIF($A$5:$A$1204,A1082)&gt;1,"重复",""))</x:f>
      </x:c>
      <x:c r="U1082" s="64" t="str">
        <x:f>IF(A1082="","",IF(T1082="重复","检查重复",IF(OR(R1082="有证据",R1082="有记录",R1082="持续跟踪"),"可追踪","检查")))</x:f>
      </x:c>
    </x:row>
    <x:row r="1083">
      <x:c r="A1083" s="62"/>
      <x:c r="B1083" s="62"/>
      <x:c r="C1083" s="62"/>
      <x:c r="D1083" s="66"/>
      <x:c r="E1083" s="68"/>
      <x:c r="F1083" s="62"/>
      <x:c r="G1083" s="62"/>
      <x:c r="H1083" s="62"/>
      <x:c r="I1083" s="62"/>
      <x:c r="J1083" s="62"/>
      <x:c r="K1083" s="62"/>
      <x:c r="L1083" s="62"/>
      <x:c r="M1083" s="68"/>
      <x:c r="N1083" s="68"/>
      <x:c r="O1083" s="68"/>
      <x:c r="P1083" s="71" t="str">
        <x:f>IF(A1083="","",IF(N1083&gt;0,N1083,M1083))</x:f>
      </x:c>
      <x:c r="Q1083" s="72" t="n">
        <x:f>IF(A1083="",0,IF(COUNTIF($A$5:A1083,A1083)=1,1,0))</x:f>
        <x:v>0</x:v>
      </x:c>
      <x:c r="R1083" s="64" t="str">
        <x:f>IF(A1083="","",IF(F1083="C1083成功",IF(AND(J1083&lt;&gt;"",K1083&lt;&gt;"",N1083&gt;0),"有证据","缺C1083证据"),IF(F1083="C1083发货确认中",IF(AND(J1083&lt;&gt;"",K1083&lt;&gt;""),"有证据","缺C1083证据"),IF(F1083="手动完结",IF(OR(L1083&lt;&gt;"",O1083&lt;&gt;"",S1083&lt;&gt;""),"有记录","缺手工证据"),IF(OR(F1083="卖出待补仓",F1083="提交结果待确认",F1083="异常待处理"),"持续跟踪","检查状态")))))</x:f>
      </x:c>
      <x:c r="T1083" s="64" t="str">
        <x:f>IF(A1083="","",IF(COUNTIF($A$5:$A$1204,A1083)&gt;1,"重复",""))</x:f>
      </x:c>
      <x:c r="U1083" s="64" t="str">
        <x:f>IF(A1083="","",IF(T1083="重复","检查重复",IF(OR(R1083="有证据",R1083="有记录",R1083="持续跟踪"),"可追踪","检查")))</x:f>
      </x:c>
    </x:row>
    <x:row r="1084">
      <x:c r="A1084" s="62"/>
      <x:c r="B1084" s="62"/>
      <x:c r="C1084" s="62"/>
      <x:c r="D1084" s="66"/>
      <x:c r="E1084" s="68"/>
      <x:c r="F1084" s="62"/>
      <x:c r="G1084" s="62"/>
      <x:c r="H1084" s="62"/>
      <x:c r="I1084" s="62"/>
      <x:c r="J1084" s="62"/>
      <x:c r="K1084" s="62"/>
      <x:c r="L1084" s="62"/>
      <x:c r="M1084" s="68"/>
      <x:c r="N1084" s="68"/>
      <x:c r="O1084" s="68"/>
      <x:c r="P1084" s="71" t="str">
        <x:f>IF(A1084="","",IF(N1084&gt;0,N1084,M1084))</x:f>
      </x:c>
      <x:c r="Q1084" s="72" t="n">
        <x:f>IF(A1084="",0,IF(COUNTIF($A$5:A1084,A1084)=1,1,0))</x:f>
        <x:v>0</x:v>
      </x:c>
      <x:c r="R1084" s="64" t="str">
        <x:f>IF(A1084="","",IF(F1084="C1084成功",IF(AND(J1084&lt;&gt;"",K1084&lt;&gt;"",N1084&gt;0),"有证据","缺C1084证据"),IF(F1084="C1084发货确认中",IF(AND(J1084&lt;&gt;"",K1084&lt;&gt;""),"有证据","缺C1084证据"),IF(F1084="手动完结",IF(OR(L1084&lt;&gt;"",O1084&lt;&gt;"",S1084&lt;&gt;""),"有记录","缺手工证据"),IF(OR(F1084="卖出待补仓",F1084="提交结果待确认",F1084="异常待处理"),"持续跟踪","检查状态")))))</x:f>
      </x:c>
      <x:c r="T1084" s="64" t="str">
        <x:f>IF(A1084="","",IF(COUNTIF($A$5:$A$1204,A1084)&gt;1,"重复",""))</x:f>
      </x:c>
      <x:c r="U1084" s="64" t="str">
        <x:f>IF(A1084="","",IF(T1084="重复","检查重复",IF(OR(R1084="有证据",R1084="有记录",R1084="持续跟踪"),"可追踪","检查")))</x:f>
      </x:c>
    </x:row>
    <x:row r="1085">
      <x:c r="A1085" s="62"/>
      <x:c r="B1085" s="62"/>
      <x:c r="C1085" s="62"/>
      <x:c r="D1085" s="66"/>
      <x:c r="E1085" s="68"/>
      <x:c r="F1085" s="62"/>
      <x:c r="G1085" s="62"/>
      <x:c r="H1085" s="62"/>
      <x:c r="I1085" s="62"/>
      <x:c r="J1085" s="62"/>
      <x:c r="K1085" s="62"/>
      <x:c r="L1085" s="62"/>
      <x:c r="M1085" s="68"/>
      <x:c r="N1085" s="68"/>
      <x:c r="O1085" s="68"/>
      <x:c r="P1085" s="71" t="str">
        <x:f>IF(A1085="","",IF(N1085&gt;0,N1085,M1085))</x:f>
      </x:c>
      <x:c r="Q1085" s="72" t="n">
        <x:f>IF(A1085="",0,IF(COUNTIF($A$5:A1085,A1085)=1,1,0))</x:f>
        <x:v>0</x:v>
      </x:c>
      <x:c r="R1085" s="64" t="str">
        <x:f>IF(A1085="","",IF(F1085="C1085成功",IF(AND(J1085&lt;&gt;"",K1085&lt;&gt;"",N1085&gt;0),"有证据","缺C1085证据"),IF(F1085="C1085发货确认中",IF(AND(J1085&lt;&gt;"",K1085&lt;&gt;""),"有证据","缺C1085证据"),IF(F1085="手动完结",IF(OR(L1085&lt;&gt;"",O1085&lt;&gt;"",S1085&lt;&gt;""),"有记录","缺手工证据"),IF(OR(F1085="卖出待补仓",F1085="提交结果待确认",F1085="异常待处理"),"持续跟踪","检查状态")))))</x:f>
      </x:c>
      <x:c r="T1085" s="64" t="str">
        <x:f>IF(A1085="","",IF(COUNTIF($A$5:$A$1204,A1085)&gt;1,"重复",""))</x:f>
      </x:c>
      <x:c r="U1085" s="64" t="str">
        <x:f>IF(A1085="","",IF(T1085="重复","检查重复",IF(OR(R1085="有证据",R1085="有记录",R1085="持续跟踪"),"可追踪","检查")))</x:f>
      </x:c>
    </x:row>
    <x:row r="1086">
      <x:c r="A1086" s="62"/>
      <x:c r="B1086" s="62"/>
      <x:c r="C1086" s="62"/>
      <x:c r="D1086" s="66"/>
      <x:c r="E1086" s="68"/>
      <x:c r="F1086" s="62"/>
      <x:c r="G1086" s="62"/>
      <x:c r="H1086" s="62"/>
      <x:c r="I1086" s="62"/>
      <x:c r="J1086" s="62"/>
      <x:c r="K1086" s="62"/>
      <x:c r="L1086" s="62"/>
      <x:c r="M1086" s="68"/>
      <x:c r="N1086" s="68"/>
      <x:c r="O1086" s="68"/>
      <x:c r="P1086" s="71" t="str">
        <x:f>IF(A1086="","",IF(N1086&gt;0,N1086,M1086))</x:f>
      </x:c>
      <x:c r="Q1086" s="72" t="n">
        <x:f>IF(A1086="",0,IF(COUNTIF($A$5:A1086,A1086)=1,1,0))</x:f>
        <x:v>0</x:v>
      </x:c>
      <x:c r="R1086" s="64" t="str">
        <x:f>IF(A1086="","",IF(F1086="C1086成功",IF(AND(J1086&lt;&gt;"",K1086&lt;&gt;"",N1086&gt;0),"有证据","缺C1086证据"),IF(F1086="C1086发货确认中",IF(AND(J1086&lt;&gt;"",K1086&lt;&gt;""),"有证据","缺C1086证据"),IF(F1086="手动完结",IF(OR(L1086&lt;&gt;"",O1086&lt;&gt;"",S1086&lt;&gt;""),"有记录","缺手工证据"),IF(OR(F1086="卖出待补仓",F1086="提交结果待确认",F1086="异常待处理"),"持续跟踪","检查状态")))))</x:f>
      </x:c>
      <x:c r="T1086" s="64" t="str">
        <x:f>IF(A1086="","",IF(COUNTIF($A$5:$A$1204,A1086)&gt;1,"重复",""))</x:f>
      </x:c>
      <x:c r="U1086" s="64" t="str">
        <x:f>IF(A1086="","",IF(T1086="重复","检查重复",IF(OR(R1086="有证据",R1086="有记录",R1086="持续跟踪"),"可追踪","检查")))</x:f>
      </x:c>
    </x:row>
    <x:row r="1087">
      <x:c r="A1087" s="62"/>
      <x:c r="B1087" s="62"/>
      <x:c r="C1087" s="62"/>
      <x:c r="D1087" s="66"/>
      <x:c r="E1087" s="68"/>
      <x:c r="F1087" s="62"/>
      <x:c r="G1087" s="62"/>
      <x:c r="H1087" s="62"/>
      <x:c r="I1087" s="62"/>
      <x:c r="J1087" s="62"/>
      <x:c r="K1087" s="62"/>
      <x:c r="L1087" s="62"/>
      <x:c r="M1087" s="68"/>
      <x:c r="N1087" s="68"/>
      <x:c r="O1087" s="68"/>
      <x:c r="P1087" s="71" t="str">
        <x:f>IF(A1087="","",IF(N1087&gt;0,N1087,M1087))</x:f>
      </x:c>
      <x:c r="Q1087" s="72" t="n">
        <x:f>IF(A1087="",0,IF(COUNTIF($A$5:A1087,A1087)=1,1,0))</x:f>
        <x:v>0</x:v>
      </x:c>
      <x:c r="R1087" s="64" t="str">
        <x:f>IF(A1087="","",IF(F1087="C1087成功",IF(AND(J1087&lt;&gt;"",K1087&lt;&gt;"",N1087&gt;0),"有证据","缺C1087证据"),IF(F1087="C1087发货确认中",IF(AND(J1087&lt;&gt;"",K1087&lt;&gt;""),"有证据","缺C1087证据"),IF(F1087="手动完结",IF(OR(L1087&lt;&gt;"",O1087&lt;&gt;"",S1087&lt;&gt;""),"有记录","缺手工证据"),IF(OR(F1087="卖出待补仓",F1087="提交结果待确认",F1087="异常待处理"),"持续跟踪","检查状态")))))</x:f>
      </x:c>
      <x:c r="T1087" s="64" t="str">
        <x:f>IF(A1087="","",IF(COUNTIF($A$5:$A$1204,A1087)&gt;1,"重复",""))</x:f>
      </x:c>
      <x:c r="U1087" s="64" t="str">
        <x:f>IF(A1087="","",IF(T1087="重复","检查重复",IF(OR(R1087="有证据",R1087="有记录",R1087="持续跟踪"),"可追踪","检查")))</x:f>
      </x:c>
    </x:row>
    <x:row r="1088">
      <x:c r="A1088" s="62"/>
      <x:c r="B1088" s="62"/>
      <x:c r="C1088" s="62"/>
      <x:c r="D1088" s="66"/>
      <x:c r="E1088" s="68"/>
      <x:c r="F1088" s="62"/>
      <x:c r="G1088" s="62"/>
      <x:c r="H1088" s="62"/>
      <x:c r="I1088" s="62"/>
      <x:c r="J1088" s="62"/>
      <x:c r="K1088" s="62"/>
      <x:c r="L1088" s="62"/>
      <x:c r="M1088" s="68"/>
      <x:c r="N1088" s="68"/>
      <x:c r="O1088" s="68"/>
      <x:c r="P1088" s="71" t="str">
        <x:f>IF(A1088="","",IF(N1088&gt;0,N1088,M1088))</x:f>
      </x:c>
      <x:c r="Q1088" s="72" t="n">
        <x:f>IF(A1088="",0,IF(COUNTIF($A$5:A1088,A1088)=1,1,0))</x:f>
        <x:v>0</x:v>
      </x:c>
      <x:c r="R1088" s="64" t="str">
        <x:f>IF(A1088="","",IF(F1088="C1088成功",IF(AND(J1088&lt;&gt;"",K1088&lt;&gt;"",N1088&gt;0),"有证据","缺C1088证据"),IF(F1088="C1088发货确认中",IF(AND(J1088&lt;&gt;"",K1088&lt;&gt;""),"有证据","缺C1088证据"),IF(F1088="手动完结",IF(OR(L1088&lt;&gt;"",O1088&lt;&gt;"",S1088&lt;&gt;""),"有记录","缺手工证据"),IF(OR(F1088="卖出待补仓",F1088="提交结果待确认",F1088="异常待处理"),"持续跟踪","检查状态")))))</x:f>
      </x:c>
      <x:c r="T1088" s="64" t="str">
        <x:f>IF(A1088="","",IF(COUNTIF($A$5:$A$1204,A1088)&gt;1,"重复",""))</x:f>
      </x:c>
      <x:c r="U1088" s="64" t="str">
        <x:f>IF(A1088="","",IF(T1088="重复","检查重复",IF(OR(R1088="有证据",R1088="有记录",R1088="持续跟踪"),"可追踪","检查")))</x:f>
      </x:c>
    </x:row>
    <x:row r="1089">
      <x:c r="A1089" s="62"/>
      <x:c r="B1089" s="62"/>
      <x:c r="C1089" s="62"/>
      <x:c r="D1089" s="66"/>
      <x:c r="E1089" s="68"/>
      <x:c r="F1089" s="62"/>
      <x:c r="G1089" s="62"/>
      <x:c r="H1089" s="62"/>
      <x:c r="I1089" s="62"/>
      <x:c r="J1089" s="62"/>
      <x:c r="K1089" s="62"/>
      <x:c r="L1089" s="62"/>
      <x:c r="M1089" s="68"/>
      <x:c r="N1089" s="68"/>
      <x:c r="O1089" s="68"/>
      <x:c r="P1089" s="71" t="str">
        <x:f>IF(A1089="","",IF(N1089&gt;0,N1089,M1089))</x:f>
      </x:c>
      <x:c r="Q1089" s="72" t="n">
        <x:f>IF(A1089="",0,IF(COUNTIF($A$5:A1089,A1089)=1,1,0))</x:f>
        <x:v>0</x:v>
      </x:c>
      <x:c r="R1089" s="64" t="str">
        <x:f>IF(A1089="","",IF(F1089="C1089成功",IF(AND(J1089&lt;&gt;"",K1089&lt;&gt;"",N1089&gt;0),"有证据","缺C1089证据"),IF(F1089="C1089发货确认中",IF(AND(J1089&lt;&gt;"",K1089&lt;&gt;""),"有证据","缺C1089证据"),IF(F1089="手动完结",IF(OR(L1089&lt;&gt;"",O1089&lt;&gt;"",S1089&lt;&gt;""),"有记录","缺手工证据"),IF(OR(F1089="卖出待补仓",F1089="提交结果待确认",F1089="异常待处理"),"持续跟踪","检查状态")))))</x:f>
      </x:c>
      <x:c r="T1089" s="64" t="str">
        <x:f>IF(A1089="","",IF(COUNTIF($A$5:$A$1204,A1089)&gt;1,"重复",""))</x:f>
      </x:c>
      <x:c r="U1089" s="64" t="str">
        <x:f>IF(A1089="","",IF(T1089="重复","检查重复",IF(OR(R1089="有证据",R1089="有记录",R1089="持续跟踪"),"可追踪","检查")))</x:f>
      </x:c>
    </x:row>
    <x:row r="1090">
      <x:c r="A1090" s="62"/>
      <x:c r="B1090" s="62"/>
      <x:c r="C1090" s="62"/>
      <x:c r="D1090" s="66"/>
      <x:c r="E1090" s="68"/>
      <x:c r="F1090" s="62"/>
      <x:c r="G1090" s="62"/>
      <x:c r="H1090" s="62"/>
      <x:c r="I1090" s="62"/>
      <x:c r="J1090" s="62"/>
      <x:c r="K1090" s="62"/>
      <x:c r="L1090" s="62"/>
      <x:c r="M1090" s="68"/>
      <x:c r="N1090" s="68"/>
      <x:c r="O1090" s="68"/>
      <x:c r="P1090" s="71" t="str">
        <x:f>IF(A1090="","",IF(N1090&gt;0,N1090,M1090))</x:f>
      </x:c>
      <x:c r="Q1090" s="72" t="n">
        <x:f>IF(A1090="",0,IF(COUNTIF($A$5:A1090,A1090)=1,1,0))</x:f>
        <x:v>0</x:v>
      </x:c>
      <x:c r="R1090" s="64" t="str">
        <x:f>IF(A1090="","",IF(F1090="C1090成功",IF(AND(J1090&lt;&gt;"",K1090&lt;&gt;"",N1090&gt;0),"有证据","缺C1090证据"),IF(F1090="C1090发货确认中",IF(AND(J1090&lt;&gt;"",K1090&lt;&gt;""),"有证据","缺C1090证据"),IF(F1090="手动完结",IF(OR(L1090&lt;&gt;"",O1090&lt;&gt;"",S1090&lt;&gt;""),"有记录","缺手工证据"),IF(OR(F1090="卖出待补仓",F1090="提交结果待确认",F1090="异常待处理"),"持续跟踪","检查状态")))))</x:f>
      </x:c>
      <x:c r="T1090" s="64" t="str">
        <x:f>IF(A1090="","",IF(COUNTIF($A$5:$A$1204,A1090)&gt;1,"重复",""))</x:f>
      </x:c>
      <x:c r="U1090" s="64" t="str">
        <x:f>IF(A1090="","",IF(T1090="重复","检查重复",IF(OR(R1090="有证据",R1090="有记录",R1090="持续跟踪"),"可追踪","检查")))</x:f>
      </x:c>
    </x:row>
    <x:row r="1091">
      <x:c r="A1091" s="62"/>
      <x:c r="B1091" s="62"/>
      <x:c r="C1091" s="62"/>
      <x:c r="D1091" s="66"/>
      <x:c r="E1091" s="68"/>
      <x:c r="F1091" s="62"/>
      <x:c r="G1091" s="62"/>
      <x:c r="H1091" s="62"/>
      <x:c r="I1091" s="62"/>
      <x:c r="J1091" s="62"/>
      <x:c r="K1091" s="62"/>
      <x:c r="L1091" s="62"/>
      <x:c r="M1091" s="68"/>
      <x:c r="N1091" s="68"/>
      <x:c r="O1091" s="68"/>
      <x:c r="P1091" s="71" t="str">
        <x:f>IF(A1091="","",IF(N1091&gt;0,N1091,M1091))</x:f>
      </x:c>
      <x:c r="Q1091" s="72" t="n">
        <x:f>IF(A1091="",0,IF(COUNTIF($A$5:A1091,A1091)=1,1,0))</x:f>
        <x:v>0</x:v>
      </x:c>
      <x:c r="R1091" s="64" t="str">
        <x:f>IF(A1091="","",IF(F1091="C1091成功",IF(AND(J1091&lt;&gt;"",K1091&lt;&gt;"",N1091&gt;0),"有证据","缺C1091证据"),IF(F1091="C1091发货确认中",IF(AND(J1091&lt;&gt;"",K1091&lt;&gt;""),"有证据","缺C1091证据"),IF(F1091="手动完结",IF(OR(L1091&lt;&gt;"",O1091&lt;&gt;"",S1091&lt;&gt;""),"有记录","缺手工证据"),IF(OR(F1091="卖出待补仓",F1091="提交结果待确认",F1091="异常待处理"),"持续跟踪","检查状态")))))</x:f>
      </x:c>
      <x:c r="T1091" s="64" t="str">
        <x:f>IF(A1091="","",IF(COUNTIF($A$5:$A$1204,A1091)&gt;1,"重复",""))</x:f>
      </x:c>
      <x:c r="U1091" s="64" t="str">
        <x:f>IF(A1091="","",IF(T1091="重复","检查重复",IF(OR(R1091="有证据",R1091="有记录",R1091="持续跟踪"),"可追踪","检查")))</x:f>
      </x:c>
    </x:row>
    <x:row r="1092">
      <x:c r="A1092" s="62"/>
      <x:c r="B1092" s="62"/>
      <x:c r="C1092" s="62"/>
      <x:c r="D1092" s="66"/>
      <x:c r="E1092" s="68"/>
      <x:c r="F1092" s="62"/>
      <x:c r="G1092" s="62"/>
      <x:c r="H1092" s="62"/>
      <x:c r="I1092" s="62"/>
      <x:c r="J1092" s="62"/>
      <x:c r="K1092" s="62"/>
      <x:c r="L1092" s="62"/>
      <x:c r="M1092" s="68"/>
      <x:c r="N1092" s="68"/>
      <x:c r="O1092" s="68"/>
      <x:c r="P1092" s="71" t="str">
        <x:f>IF(A1092="","",IF(N1092&gt;0,N1092,M1092))</x:f>
      </x:c>
      <x:c r="Q1092" s="72" t="n">
        <x:f>IF(A1092="",0,IF(COUNTIF($A$5:A1092,A1092)=1,1,0))</x:f>
        <x:v>0</x:v>
      </x:c>
      <x:c r="R1092" s="64" t="str">
        <x:f>IF(A1092="","",IF(F1092="C1092成功",IF(AND(J1092&lt;&gt;"",K1092&lt;&gt;"",N1092&gt;0),"有证据","缺C1092证据"),IF(F1092="C1092发货确认中",IF(AND(J1092&lt;&gt;"",K1092&lt;&gt;""),"有证据","缺C1092证据"),IF(F1092="手动完结",IF(OR(L1092&lt;&gt;"",O1092&lt;&gt;"",S1092&lt;&gt;""),"有记录","缺手工证据"),IF(OR(F1092="卖出待补仓",F1092="提交结果待确认",F1092="异常待处理"),"持续跟踪","检查状态")))))</x:f>
      </x:c>
      <x:c r="T1092" s="64" t="str">
        <x:f>IF(A1092="","",IF(COUNTIF($A$5:$A$1204,A1092)&gt;1,"重复",""))</x:f>
      </x:c>
      <x:c r="U1092" s="64" t="str">
        <x:f>IF(A1092="","",IF(T1092="重复","检查重复",IF(OR(R1092="有证据",R1092="有记录",R1092="持续跟踪"),"可追踪","检查")))</x:f>
      </x:c>
    </x:row>
    <x:row r="1093">
      <x:c r="A1093" s="62"/>
      <x:c r="B1093" s="62"/>
      <x:c r="C1093" s="62"/>
      <x:c r="D1093" s="66"/>
      <x:c r="E1093" s="68"/>
      <x:c r="F1093" s="62"/>
      <x:c r="G1093" s="62"/>
      <x:c r="H1093" s="62"/>
      <x:c r="I1093" s="62"/>
      <x:c r="J1093" s="62"/>
      <x:c r="K1093" s="62"/>
      <x:c r="L1093" s="62"/>
      <x:c r="M1093" s="68"/>
      <x:c r="N1093" s="68"/>
      <x:c r="O1093" s="68"/>
      <x:c r="P1093" s="71" t="str">
        <x:f>IF(A1093="","",IF(N1093&gt;0,N1093,M1093))</x:f>
      </x:c>
      <x:c r="Q1093" s="72" t="n">
        <x:f>IF(A1093="",0,IF(COUNTIF($A$5:A1093,A1093)=1,1,0))</x:f>
        <x:v>0</x:v>
      </x:c>
      <x:c r="R1093" s="64" t="str">
        <x:f>IF(A1093="","",IF(F1093="C1093成功",IF(AND(J1093&lt;&gt;"",K1093&lt;&gt;"",N1093&gt;0),"有证据","缺C1093证据"),IF(F1093="C1093发货确认中",IF(AND(J1093&lt;&gt;"",K1093&lt;&gt;""),"有证据","缺C1093证据"),IF(F1093="手动完结",IF(OR(L1093&lt;&gt;"",O1093&lt;&gt;"",S1093&lt;&gt;""),"有记录","缺手工证据"),IF(OR(F1093="卖出待补仓",F1093="提交结果待确认",F1093="异常待处理"),"持续跟踪","检查状态")))))</x:f>
      </x:c>
      <x:c r="T1093" s="64" t="str">
        <x:f>IF(A1093="","",IF(COUNTIF($A$5:$A$1204,A1093)&gt;1,"重复",""))</x:f>
      </x:c>
      <x:c r="U1093" s="64" t="str">
        <x:f>IF(A1093="","",IF(T1093="重复","检查重复",IF(OR(R1093="有证据",R1093="有记录",R1093="持续跟踪"),"可追踪","检查")))</x:f>
      </x:c>
    </x:row>
    <x:row r="1094">
      <x:c r="A1094" s="62"/>
      <x:c r="B1094" s="62"/>
      <x:c r="C1094" s="62"/>
      <x:c r="D1094" s="66"/>
      <x:c r="E1094" s="68"/>
      <x:c r="F1094" s="62"/>
      <x:c r="G1094" s="62"/>
      <x:c r="H1094" s="62"/>
      <x:c r="I1094" s="62"/>
      <x:c r="J1094" s="62"/>
      <x:c r="K1094" s="62"/>
      <x:c r="L1094" s="62"/>
      <x:c r="M1094" s="68"/>
      <x:c r="N1094" s="68"/>
      <x:c r="O1094" s="68"/>
      <x:c r="P1094" s="71" t="str">
        <x:f>IF(A1094="","",IF(N1094&gt;0,N1094,M1094))</x:f>
      </x:c>
      <x:c r="Q1094" s="72" t="n">
        <x:f>IF(A1094="",0,IF(COUNTIF($A$5:A1094,A1094)=1,1,0))</x:f>
        <x:v>0</x:v>
      </x:c>
      <x:c r="R1094" s="64" t="str">
        <x:f>IF(A1094="","",IF(F1094="C1094成功",IF(AND(J1094&lt;&gt;"",K1094&lt;&gt;"",N1094&gt;0),"有证据","缺C1094证据"),IF(F1094="C1094发货确认中",IF(AND(J1094&lt;&gt;"",K1094&lt;&gt;""),"有证据","缺C1094证据"),IF(F1094="手动完结",IF(OR(L1094&lt;&gt;"",O1094&lt;&gt;"",S1094&lt;&gt;""),"有记录","缺手工证据"),IF(OR(F1094="卖出待补仓",F1094="提交结果待确认",F1094="异常待处理"),"持续跟踪","检查状态")))))</x:f>
      </x:c>
      <x:c r="T1094" s="64" t="str">
        <x:f>IF(A1094="","",IF(COUNTIF($A$5:$A$1204,A1094)&gt;1,"重复",""))</x:f>
      </x:c>
      <x:c r="U1094" s="64" t="str">
        <x:f>IF(A1094="","",IF(T1094="重复","检查重复",IF(OR(R1094="有证据",R1094="有记录",R1094="持续跟踪"),"可追踪","检查")))</x:f>
      </x:c>
    </x:row>
    <x:row r="1095">
      <x:c r="A1095" s="62"/>
      <x:c r="B1095" s="62"/>
      <x:c r="C1095" s="62"/>
      <x:c r="D1095" s="66"/>
      <x:c r="E1095" s="68"/>
      <x:c r="F1095" s="62"/>
      <x:c r="G1095" s="62"/>
      <x:c r="H1095" s="62"/>
      <x:c r="I1095" s="62"/>
      <x:c r="J1095" s="62"/>
      <x:c r="K1095" s="62"/>
      <x:c r="L1095" s="62"/>
      <x:c r="M1095" s="68"/>
      <x:c r="N1095" s="68"/>
      <x:c r="O1095" s="68"/>
      <x:c r="P1095" s="71" t="str">
        <x:f>IF(A1095="","",IF(N1095&gt;0,N1095,M1095))</x:f>
      </x:c>
      <x:c r="Q1095" s="72" t="n">
        <x:f>IF(A1095="",0,IF(COUNTIF($A$5:A1095,A1095)=1,1,0))</x:f>
        <x:v>0</x:v>
      </x:c>
      <x:c r="R1095" s="64" t="str">
        <x:f>IF(A1095="","",IF(F1095="C1095成功",IF(AND(J1095&lt;&gt;"",K1095&lt;&gt;"",N1095&gt;0),"有证据","缺C1095证据"),IF(F1095="C1095发货确认中",IF(AND(J1095&lt;&gt;"",K1095&lt;&gt;""),"有证据","缺C1095证据"),IF(F1095="手动完结",IF(OR(L1095&lt;&gt;"",O1095&lt;&gt;"",S1095&lt;&gt;""),"有记录","缺手工证据"),IF(OR(F1095="卖出待补仓",F1095="提交结果待确认",F1095="异常待处理"),"持续跟踪","检查状态")))))</x:f>
      </x:c>
      <x:c r="T1095" s="64" t="str">
        <x:f>IF(A1095="","",IF(COUNTIF($A$5:$A$1204,A1095)&gt;1,"重复",""))</x:f>
      </x:c>
      <x:c r="U1095" s="64" t="str">
        <x:f>IF(A1095="","",IF(T1095="重复","检查重复",IF(OR(R1095="有证据",R1095="有记录",R1095="持续跟踪"),"可追踪","检查")))</x:f>
      </x:c>
    </x:row>
    <x:row r="1096">
      <x:c r="A1096" s="62"/>
      <x:c r="B1096" s="62"/>
      <x:c r="C1096" s="62"/>
      <x:c r="D1096" s="66"/>
      <x:c r="E1096" s="68"/>
      <x:c r="F1096" s="62"/>
      <x:c r="G1096" s="62"/>
      <x:c r="H1096" s="62"/>
      <x:c r="I1096" s="62"/>
      <x:c r="J1096" s="62"/>
      <x:c r="K1096" s="62"/>
      <x:c r="L1096" s="62"/>
      <x:c r="M1096" s="68"/>
      <x:c r="N1096" s="68"/>
      <x:c r="O1096" s="68"/>
      <x:c r="P1096" s="71" t="str">
        <x:f>IF(A1096="","",IF(N1096&gt;0,N1096,M1096))</x:f>
      </x:c>
      <x:c r="Q1096" s="72" t="n">
        <x:f>IF(A1096="",0,IF(COUNTIF($A$5:A1096,A1096)=1,1,0))</x:f>
        <x:v>0</x:v>
      </x:c>
      <x:c r="R1096" s="64" t="str">
        <x:f>IF(A1096="","",IF(F1096="C1096成功",IF(AND(J1096&lt;&gt;"",K1096&lt;&gt;"",N1096&gt;0),"有证据","缺C1096证据"),IF(F1096="C1096发货确认中",IF(AND(J1096&lt;&gt;"",K1096&lt;&gt;""),"有证据","缺C1096证据"),IF(F1096="手动完结",IF(OR(L1096&lt;&gt;"",O1096&lt;&gt;"",S1096&lt;&gt;""),"有记录","缺手工证据"),IF(OR(F1096="卖出待补仓",F1096="提交结果待确认",F1096="异常待处理"),"持续跟踪","检查状态")))))</x:f>
      </x:c>
      <x:c r="T1096" s="64" t="str">
        <x:f>IF(A1096="","",IF(COUNTIF($A$5:$A$1204,A1096)&gt;1,"重复",""))</x:f>
      </x:c>
      <x:c r="U1096" s="64" t="str">
        <x:f>IF(A1096="","",IF(T1096="重复","检查重复",IF(OR(R1096="有证据",R1096="有记录",R1096="持续跟踪"),"可追踪","检查")))</x:f>
      </x:c>
    </x:row>
    <x:row r="1097">
      <x:c r="A1097" s="62"/>
      <x:c r="B1097" s="62"/>
      <x:c r="C1097" s="62"/>
      <x:c r="D1097" s="66"/>
      <x:c r="E1097" s="68"/>
      <x:c r="F1097" s="62"/>
      <x:c r="G1097" s="62"/>
      <x:c r="H1097" s="62"/>
      <x:c r="I1097" s="62"/>
      <x:c r="J1097" s="62"/>
      <x:c r="K1097" s="62"/>
      <x:c r="L1097" s="62"/>
      <x:c r="M1097" s="68"/>
      <x:c r="N1097" s="68"/>
      <x:c r="O1097" s="68"/>
      <x:c r="P1097" s="71" t="str">
        <x:f>IF(A1097="","",IF(N1097&gt;0,N1097,M1097))</x:f>
      </x:c>
      <x:c r="Q1097" s="72" t="n">
        <x:f>IF(A1097="",0,IF(COUNTIF($A$5:A1097,A1097)=1,1,0))</x:f>
        <x:v>0</x:v>
      </x:c>
      <x:c r="R1097" s="64" t="str">
        <x:f>IF(A1097="","",IF(F1097="C1097成功",IF(AND(J1097&lt;&gt;"",K1097&lt;&gt;"",N1097&gt;0),"有证据","缺C1097证据"),IF(F1097="C1097发货确认中",IF(AND(J1097&lt;&gt;"",K1097&lt;&gt;""),"有证据","缺C1097证据"),IF(F1097="手动完结",IF(OR(L1097&lt;&gt;"",O1097&lt;&gt;"",S1097&lt;&gt;""),"有记录","缺手工证据"),IF(OR(F1097="卖出待补仓",F1097="提交结果待确认",F1097="异常待处理"),"持续跟踪","检查状态")))))</x:f>
      </x:c>
      <x:c r="T1097" s="64" t="str">
        <x:f>IF(A1097="","",IF(COUNTIF($A$5:$A$1204,A1097)&gt;1,"重复",""))</x:f>
      </x:c>
      <x:c r="U1097" s="64" t="str">
        <x:f>IF(A1097="","",IF(T1097="重复","检查重复",IF(OR(R1097="有证据",R1097="有记录",R1097="持续跟踪"),"可追踪","检查")))</x:f>
      </x:c>
    </x:row>
    <x:row r="1098">
      <x:c r="A1098" s="62"/>
      <x:c r="B1098" s="62"/>
      <x:c r="C1098" s="62"/>
      <x:c r="D1098" s="66"/>
      <x:c r="E1098" s="68"/>
      <x:c r="F1098" s="62"/>
      <x:c r="G1098" s="62"/>
      <x:c r="H1098" s="62"/>
      <x:c r="I1098" s="62"/>
      <x:c r="J1098" s="62"/>
      <x:c r="K1098" s="62"/>
      <x:c r="L1098" s="62"/>
      <x:c r="M1098" s="68"/>
      <x:c r="N1098" s="68"/>
      <x:c r="O1098" s="68"/>
      <x:c r="P1098" s="71" t="str">
        <x:f>IF(A1098="","",IF(N1098&gt;0,N1098,M1098))</x:f>
      </x:c>
      <x:c r="Q1098" s="72" t="n">
        <x:f>IF(A1098="",0,IF(COUNTIF($A$5:A1098,A1098)=1,1,0))</x:f>
        <x:v>0</x:v>
      </x:c>
      <x:c r="R1098" s="64" t="str">
        <x:f>IF(A1098="","",IF(F1098="C1098成功",IF(AND(J1098&lt;&gt;"",K1098&lt;&gt;"",N1098&gt;0),"有证据","缺C1098证据"),IF(F1098="C1098发货确认中",IF(AND(J1098&lt;&gt;"",K1098&lt;&gt;""),"有证据","缺C1098证据"),IF(F1098="手动完结",IF(OR(L1098&lt;&gt;"",O1098&lt;&gt;"",S1098&lt;&gt;""),"有记录","缺手工证据"),IF(OR(F1098="卖出待补仓",F1098="提交结果待确认",F1098="异常待处理"),"持续跟踪","检查状态")))))</x:f>
      </x:c>
      <x:c r="T1098" s="64" t="str">
        <x:f>IF(A1098="","",IF(COUNTIF($A$5:$A$1204,A1098)&gt;1,"重复",""))</x:f>
      </x:c>
      <x:c r="U1098" s="64" t="str">
        <x:f>IF(A1098="","",IF(T1098="重复","检查重复",IF(OR(R1098="有证据",R1098="有记录",R1098="持续跟踪"),"可追踪","检查")))</x:f>
      </x:c>
    </x:row>
    <x:row r="1099">
      <x:c r="A1099" s="62"/>
      <x:c r="B1099" s="62"/>
      <x:c r="C1099" s="62"/>
      <x:c r="D1099" s="66"/>
      <x:c r="E1099" s="68"/>
      <x:c r="F1099" s="62"/>
      <x:c r="G1099" s="62"/>
      <x:c r="H1099" s="62"/>
      <x:c r="I1099" s="62"/>
      <x:c r="J1099" s="62"/>
      <x:c r="K1099" s="62"/>
      <x:c r="L1099" s="62"/>
      <x:c r="M1099" s="68"/>
      <x:c r="N1099" s="68"/>
      <x:c r="O1099" s="68"/>
      <x:c r="P1099" s="71" t="str">
        <x:f>IF(A1099="","",IF(N1099&gt;0,N1099,M1099))</x:f>
      </x:c>
      <x:c r="Q1099" s="72" t="n">
        <x:f>IF(A1099="",0,IF(COUNTIF($A$5:A1099,A1099)=1,1,0))</x:f>
        <x:v>0</x:v>
      </x:c>
      <x:c r="R1099" s="64" t="str">
        <x:f>IF(A1099="","",IF(F1099="C1099成功",IF(AND(J1099&lt;&gt;"",K1099&lt;&gt;"",N1099&gt;0),"有证据","缺C1099证据"),IF(F1099="C1099发货确认中",IF(AND(J1099&lt;&gt;"",K1099&lt;&gt;""),"有证据","缺C1099证据"),IF(F1099="手动完结",IF(OR(L1099&lt;&gt;"",O1099&lt;&gt;"",S1099&lt;&gt;""),"有记录","缺手工证据"),IF(OR(F1099="卖出待补仓",F1099="提交结果待确认",F1099="异常待处理"),"持续跟踪","检查状态")))))</x:f>
      </x:c>
      <x:c r="T1099" s="64" t="str">
        <x:f>IF(A1099="","",IF(COUNTIF($A$5:$A$1204,A1099)&gt;1,"重复",""))</x:f>
      </x:c>
      <x:c r="U1099" s="64" t="str">
        <x:f>IF(A1099="","",IF(T1099="重复","检查重复",IF(OR(R1099="有证据",R1099="有记录",R1099="持续跟踪"),"可追踪","检查")))</x:f>
      </x:c>
    </x:row>
    <x:row r="1100">
      <x:c r="A1100" s="62"/>
      <x:c r="B1100" s="62"/>
      <x:c r="C1100" s="62"/>
      <x:c r="D1100" s="66"/>
      <x:c r="E1100" s="68"/>
      <x:c r="F1100" s="62"/>
      <x:c r="G1100" s="62"/>
      <x:c r="H1100" s="62"/>
      <x:c r="I1100" s="62"/>
      <x:c r="J1100" s="62"/>
      <x:c r="K1100" s="62"/>
      <x:c r="L1100" s="62"/>
      <x:c r="M1100" s="68"/>
      <x:c r="N1100" s="68"/>
      <x:c r="O1100" s="68"/>
      <x:c r="P1100" s="71" t="str">
        <x:f>IF(A1100="","",IF(N1100&gt;0,N1100,M1100))</x:f>
      </x:c>
      <x:c r="Q1100" s="72" t="n">
        <x:f>IF(A1100="",0,IF(COUNTIF($A$5:A1100,A1100)=1,1,0))</x:f>
        <x:v>0</x:v>
      </x:c>
      <x:c r="R1100" s="64" t="str">
        <x:f>IF(A1100="","",IF(F1100="C1100成功",IF(AND(J1100&lt;&gt;"",K1100&lt;&gt;"",N1100&gt;0),"有证据","缺C1100证据"),IF(F1100="C1100发货确认中",IF(AND(J1100&lt;&gt;"",K1100&lt;&gt;""),"有证据","缺C1100证据"),IF(F1100="手动完结",IF(OR(L1100&lt;&gt;"",O1100&lt;&gt;"",S1100&lt;&gt;""),"有记录","缺手工证据"),IF(OR(F1100="卖出待补仓",F1100="提交结果待确认",F1100="异常待处理"),"持续跟踪","检查状态")))))</x:f>
      </x:c>
      <x:c r="T1100" s="64" t="str">
        <x:f>IF(A1100="","",IF(COUNTIF($A$5:$A$1204,A1100)&gt;1,"重复",""))</x:f>
      </x:c>
      <x:c r="U1100" s="64" t="str">
        <x:f>IF(A1100="","",IF(T1100="重复","检查重复",IF(OR(R1100="有证据",R1100="有记录",R1100="持续跟踪"),"可追踪","检查")))</x:f>
      </x:c>
    </x:row>
    <x:row r="1101">
      <x:c r="A1101" s="62"/>
      <x:c r="B1101" s="62"/>
      <x:c r="C1101" s="62"/>
      <x:c r="D1101" s="66"/>
      <x:c r="E1101" s="68"/>
      <x:c r="F1101" s="62"/>
      <x:c r="G1101" s="62"/>
      <x:c r="H1101" s="62"/>
      <x:c r="I1101" s="62"/>
      <x:c r="J1101" s="62"/>
      <x:c r="K1101" s="62"/>
      <x:c r="L1101" s="62"/>
      <x:c r="M1101" s="68"/>
      <x:c r="N1101" s="68"/>
      <x:c r="O1101" s="68"/>
      <x:c r="P1101" s="71" t="str">
        <x:f>IF(A1101="","",IF(N1101&gt;0,N1101,M1101))</x:f>
      </x:c>
      <x:c r="Q1101" s="72" t="n">
        <x:f>IF(A1101="",0,IF(COUNTIF($A$5:A1101,A1101)=1,1,0))</x:f>
        <x:v>0</x:v>
      </x:c>
      <x:c r="R1101" s="64" t="str">
        <x:f>IF(A1101="","",IF(F1101="C1101成功",IF(AND(J1101&lt;&gt;"",K1101&lt;&gt;"",N1101&gt;0),"有证据","缺C1101证据"),IF(F1101="C1101发货确认中",IF(AND(J1101&lt;&gt;"",K1101&lt;&gt;""),"有证据","缺C1101证据"),IF(F1101="手动完结",IF(OR(L1101&lt;&gt;"",O1101&lt;&gt;"",S1101&lt;&gt;""),"有记录","缺手工证据"),IF(OR(F1101="卖出待补仓",F1101="提交结果待确认",F1101="异常待处理"),"持续跟踪","检查状态")))))</x:f>
      </x:c>
      <x:c r="T1101" s="64" t="str">
        <x:f>IF(A1101="","",IF(COUNTIF($A$5:$A$1204,A1101)&gt;1,"重复",""))</x:f>
      </x:c>
      <x:c r="U1101" s="64" t="str">
        <x:f>IF(A1101="","",IF(T1101="重复","检查重复",IF(OR(R1101="有证据",R1101="有记录",R1101="持续跟踪"),"可追踪","检查")))</x:f>
      </x:c>
    </x:row>
    <x:row r="1102">
      <x:c r="A1102" s="62"/>
      <x:c r="B1102" s="62"/>
      <x:c r="C1102" s="62"/>
      <x:c r="D1102" s="66"/>
      <x:c r="E1102" s="68"/>
      <x:c r="F1102" s="62"/>
      <x:c r="G1102" s="62"/>
      <x:c r="H1102" s="62"/>
      <x:c r="I1102" s="62"/>
      <x:c r="J1102" s="62"/>
      <x:c r="K1102" s="62"/>
      <x:c r="L1102" s="62"/>
      <x:c r="M1102" s="68"/>
      <x:c r="N1102" s="68"/>
      <x:c r="O1102" s="68"/>
      <x:c r="P1102" s="71" t="str">
        <x:f>IF(A1102="","",IF(N1102&gt;0,N1102,M1102))</x:f>
      </x:c>
      <x:c r="Q1102" s="72" t="n">
        <x:f>IF(A1102="",0,IF(COUNTIF($A$5:A1102,A1102)=1,1,0))</x:f>
        <x:v>0</x:v>
      </x:c>
      <x:c r="R1102" s="64" t="str">
        <x:f>IF(A1102="","",IF(F1102="C1102成功",IF(AND(J1102&lt;&gt;"",K1102&lt;&gt;"",N1102&gt;0),"有证据","缺C1102证据"),IF(F1102="C1102发货确认中",IF(AND(J1102&lt;&gt;"",K1102&lt;&gt;""),"有证据","缺C1102证据"),IF(F1102="手动完结",IF(OR(L1102&lt;&gt;"",O1102&lt;&gt;"",S1102&lt;&gt;""),"有记录","缺手工证据"),IF(OR(F1102="卖出待补仓",F1102="提交结果待确认",F1102="异常待处理"),"持续跟踪","检查状态")))))</x:f>
      </x:c>
      <x:c r="T1102" s="64" t="str">
        <x:f>IF(A1102="","",IF(COUNTIF($A$5:$A$1204,A1102)&gt;1,"重复",""))</x:f>
      </x:c>
      <x:c r="U1102" s="64" t="str">
        <x:f>IF(A1102="","",IF(T1102="重复","检查重复",IF(OR(R1102="有证据",R1102="有记录",R1102="持续跟踪"),"可追踪","检查")))</x:f>
      </x:c>
    </x:row>
    <x:row r="1103">
      <x:c r="A1103" s="62"/>
      <x:c r="B1103" s="62"/>
      <x:c r="C1103" s="62"/>
      <x:c r="D1103" s="66"/>
      <x:c r="E1103" s="68"/>
      <x:c r="F1103" s="62"/>
      <x:c r="G1103" s="62"/>
      <x:c r="H1103" s="62"/>
      <x:c r="I1103" s="62"/>
      <x:c r="J1103" s="62"/>
      <x:c r="K1103" s="62"/>
      <x:c r="L1103" s="62"/>
      <x:c r="M1103" s="68"/>
      <x:c r="N1103" s="68"/>
      <x:c r="O1103" s="68"/>
      <x:c r="P1103" s="71" t="str">
        <x:f>IF(A1103="","",IF(N1103&gt;0,N1103,M1103))</x:f>
      </x:c>
      <x:c r="Q1103" s="72" t="n">
        <x:f>IF(A1103="",0,IF(COUNTIF($A$5:A1103,A1103)=1,1,0))</x:f>
        <x:v>0</x:v>
      </x:c>
      <x:c r="R1103" s="64" t="str">
        <x:f>IF(A1103="","",IF(F1103="C1103成功",IF(AND(J1103&lt;&gt;"",K1103&lt;&gt;"",N1103&gt;0),"有证据","缺C1103证据"),IF(F1103="C1103发货确认中",IF(AND(J1103&lt;&gt;"",K1103&lt;&gt;""),"有证据","缺C1103证据"),IF(F1103="手动完结",IF(OR(L1103&lt;&gt;"",O1103&lt;&gt;"",S1103&lt;&gt;""),"有记录","缺手工证据"),IF(OR(F1103="卖出待补仓",F1103="提交结果待确认",F1103="异常待处理"),"持续跟踪","检查状态")))))</x:f>
      </x:c>
      <x:c r="T1103" s="64" t="str">
        <x:f>IF(A1103="","",IF(COUNTIF($A$5:$A$1204,A1103)&gt;1,"重复",""))</x:f>
      </x:c>
      <x:c r="U1103" s="64" t="str">
        <x:f>IF(A1103="","",IF(T1103="重复","检查重复",IF(OR(R1103="有证据",R1103="有记录",R1103="持续跟踪"),"可追踪","检查")))</x:f>
      </x:c>
    </x:row>
    <x:row r="1104">
      <x:c r="A1104" s="62"/>
      <x:c r="B1104" s="62"/>
      <x:c r="C1104" s="62"/>
      <x:c r="D1104" s="66"/>
      <x:c r="E1104" s="68"/>
      <x:c r="F1104" s="62"/>
      <x:c r="G1104" s="62"/>
      <x:c r="H1104" s="62"/>
      <x:c r="I1104" s="62"/>
      <x:c r="J1104" s="62"/>
      <x:c r="K1104" s="62"/>
      <x:c r="L1104" s="62"/>
      <x:c r="M1104" s="68"/>
      <x:c r="N1104" s="68"/>
      <x:c r="O1104" s="68"/>
      <x:c r="P1104" s="71" t="str">
        <x:f>IF(A1104="","",IF(N1104&gt;0,N1104,M1104))</x:f>
      </x:c>
      <x:c r="Q1104" s="72" t="n">
        <x:f>IF(A1104="",0,IF(COUNTIF($A$5:A1104,A1104)=1,1,0))</x:f>
        <x:v>0</x:v>
      </x:c>
      <x:c r="R1104" s="64" t="str">
        <x:f>IF(A1104="","",IF(F1104="C1104成功",IF(AND(J1104&lt;&gt;"",K1104&lt;&gt;"",N1104&gt;0),"有证据","缺C1104证据"),IF(F1104="C1104发货确认中",IF(AND(J1104&lt;&gt;"",K1104&lt;&gt;""),"有证据","缺C1104证据"),IF(F1104="手动完结",IF(OR(L1104&lt;&gt;"",O1104&lt;&gt;"",S1104&lt;&gt;""),"有记录","缺手工证据"),IF(OR(F1104="卖出待补仓",F1104="提交结果待确认",F1104="异常待处理"),"持续跟踪","检查状态")))))</x:f>
      </x:c>
      <x:c r="T1104" s="64" t="str">
        <x:f>IF(A1104="","",IF(COUNTIF($A$5:$A$1204,A1104)&gt;1,"重复",""))</x:f>
      </x:c>
      <x:c r="U1104" s="64" t="str">
        <x:f>IF(A1104="","",IF(T1104="重复","检查重复",IF(OR(R1104="有证据",R1104="有记录",R1104="持续跟踪"),"可追踪","检查")))</x:f>
      </x:c>
    </x:row>
    <x:row r="1105">
      <x:c r="A1105" s="62"/>
      <x:c r="B1105" s="62"/>
      <x:c r="C1105" s="62"/>
      <x:c r="D1105" s="66"/>
      <x:c r="E1105" s="68"/>
      <x:c r="F1105" s="62"/>
      <x:c r="G1105" s="62"/>
      <x:c r="H1105" s="62"/>
      <x:c r="I1105" s="62"/>
      <x:c r="J1105" s="62"/>
      <x:c r="K1105" s="62"/>
      <x:c r="L1105" s="62"/>
      <x:c r="M1105" s="68"/>
      <x:c r="N1105" s="68"/>
      <x:c r="O1105" s="68"/>
      <x:c r="P1105" s="71" t="str">
        <x:f>IF(A1105="","",IF(N1105&gt;0,N1105,M1105))</x:f>
      </x:c>
      <x:c r="Q1105" s="72" t="n">
        <x:f>IF(A1105="",0,IF(COUNTIF($A$5:A1105,A1105)=1,1,0))</x:f>
        <x:v>0</x:v>
      </x:c>
      <x:c r="R1105" s="64" t="str">
        <x:f>IF(A1105="","",IF(F1105="C1105成功",IF(AND(J1105&lt;&gt;"",K1105&lt;&gt;"",N1105&gt;0),"有证据","缺C1105证据"),IF(F1105="C1105发货确认中",IF(AND(J1105&lt;&gt;"",K1105&lt;&gt;""),"有证据","缺C1105证据"),IF(F1105="手动完结",IF(OR(L1105&lt;&gt;"",O1105&lt;&gt;"",S1105&lt;&gt;""),"有记录","缺手工证据"),IF(OR(F1105="卖出待补仓",F1105="提交结果待确认",F1105="异常待处理"),"持续跟踪","检查状态")))))</x:f>
      </x:c>
      <x:c r="T1105" s="64" t="str">
        <x:f>IF(A1105="","",IF(COUNTIF($A$5:$A$1204,A1105)&gt;1,"重复",""))</x:f>
      </x:c>
      <x:c r="U1105" s="64" t="str">
        <x:f>IF(A1105="","",IF(T1105="重复","检查重复",IF(OR(R1105="有证据",R1105="有记录",R1105="持续跟踪"),"可追踪","检查")))</x:f>
      </x:c>
    </x:row>
    <x:row r="1106">
      <x:c r="A1106" s="62"/>
      <x:c r="B1106" s="62"/>
      <x:c r="C1106" s="62"/>
      <x:c r="D1106" s="66"/>
      <x:c r="E1106" s="68"/>
      <x:c r="F1106" s="62"/>
      <x:c r="G1106" s="62"/>
      <x:c r="H1106" s="62"/>
      <x:c r="I1106" s="62"/>
      <x:c r="J1106" s="62"/>
      <x:c r="K1106" s="62"/>
      <x:c r="L1106" s="62"/>
      <x:c r="M1106" s="68"/>
      <x:c r="N1106" s="68"/>
      <x:c r="O1106" s="68"/>
      <x:c r="P1106" s="71" t="str">
        <x:f>IF(A1106="","",IF(N1106&gt;0,N1106,M1106))</x:f>
      </x:c>
      <x:c r="Q1106" s="72" t="n">
        <x:f>IF(A1106="",0,IF(COUNTIF($A$5:A1106,A1106)=1,1,0))</x:f>
        <x:v>0</x:v>
      </x:c>
      <x:c r="R1106" s="64" t="str">
        <x:f>IF(A1106="","",IF(F1106="C1106成功",IF(AND(J1106&lt;&gt;"",K1106&lt;&gt;"",N1106&gt;0),"有证据","缺C1106证据"),IF(F1106="C1106发货确认中",IF(AND(J1106&lt;&gt;"",K1106&lt;&gt;""),"有证据","缺C1106证据"),IF(F1106="手动完结",IF(OR(L1106&lt;&gt;"",O1106&lt;&gt;"",S1106&lt;&gt;""),"有记录","缺手工证据"),IF(OR(F1106="卖出待补仓",F1106="提交结果待确认",F1106="异常待处理"),"持续跟踪","检查状态")))))</x:f>
      </x:c>
      <x:c r="T1106" s="64" t="str">
        <x:f>IF(A1106="","",IF(COUNTIF($A$5:$A$1204,A1106)&gt;1,"重复",""))</x:f>
      </x:c>
      <x:c r="U1106" s="64" t="str">
        <x:f>IF(A1106="","",IF(T1106="重复","检查重复",IF(OR(R1106="有证据",R1106="有记录",R1106="持续跟踪"),"可追踪","检查")))</x:f>
      </x:c>
    </x:row>
    <x:row r="1107">
      <x:c r="A1107" s="62"/>
      <x:c r="B1107" s="62"/>
      <x:c r="C1107" s="62"/>
      <x:c r="D1107" s="66"/>
      <x:c r="E1107" s="68"/>
      <x:c r="F1107" s="62"/>
      <x:c r="G1107" s="62"/>
      <x:c r="H1107" s="62"/>
      <x:c r="I1107" s="62"/>
      <x:c r="J1107" s="62"/>
      <x:c r="K1107" s="62"/>
      <x:c r="L1107" s="62"/>
      <x:c r="M1107" s="68"/>
      <x:c r="N1107" s="68"/>
      <x:c r="O1107" s="68"/>
      <x:c r="P1107" s="71" t="str">
        <x:f>IF(A1107="","",IF(N1107&gt;0,N1107,M1107))</x:f>
      </x:c>
      <x:c r="Q1107" s="72" t="n">
        <x:f>IF(A1107="",0,IF(COUNTIF($A$5:A1107,A1107)=1,1,0))</x:f>
        <x:v>0</x:v>
      </x:c>
      <x:c r="R1107" s="64" t="str">
        <x:f>IF(A1107="","",IF(F1107="C1107成功",IF(AND(J1107&lt;&gt;"",K1107&lt;&gt;"",N1107&gt;0),"有证据","缺C1107证据"),IF(F1107="C1107发货确认中",IF(AND(J1107&lt;&gt;"",K1107&lt;&gt;""),"有证据","缺C1107证据"),IF(F1107="手动完结",IF(OR(L1107&lt;&gt;"",O1107&lt;&gt;"",S1107&lt;&gt;""),"有记录","缺手工证据"),IF(OR(F1107="卖出待补仓",F1107="提交结果待确认",F1107="异常待处理"),"持续跟踪","检查状态")))))</x:f>
      </x:c>
      <x:c r="T1107" s="64" t="str">
        <x:f>IF(A1107="","",IF(COUNTIF($A$5:$A$1204,A1107)&gt;1,"重复",""))</x:f>
      </x:c>
      <x:c r="U1107" s="64" t="str">
        <x:f>IF(A1107="","",IF(T1107="重复","检查重复",IF(OR(R1107="有证据",R1107="有记录",R1107="持续跟踪"),"可追踪","检查")))</x:f>
      </x:c>
    </x:row>
    <x:row r="1108">
      <x:c r="A1108" s="62"/>
      <x:c r="B1108" s="62"/>
      <x:c r="C1108" s="62"/>
      <x:c r="D1108" s="66"/>
      <x:c r="E1108" s="68"/>
      <x:c r="F1108" s="62"/>
      <x:c r="G1108" s="62"/>
      <x:c r="H1108" s="62"/>
      <x:c r="I1108" s="62"/>
      <x:c r="J1108" s="62"/>
      <x:c r="K1108" s="62"/>
      <x:c r="L1108" s="62"/>
      <x:c r="M1108" s="68"/>
      <x:c r="N1108" s="68"/>
      <x:c r="O1108" s="68"/>
      <x:c r="P1108" s="71" t="str">
        <x:f>IF(A1108="","",IF(N1108&gt;0,N1108,M1108))</x:f>
      </x:c>
      <x:c r="Q1108" s="72" t="n">
        <x:f>IF(A1108="",0,IF(COUNTIF($A$5:A1108,A1108)=1,1,0))</x:f>
        <x:v>0</x:v>
      </x:c>
      <x:c r="R1108" s="64" t="str">
        <x:f>IF(A1108="","",IF(F1108="C1108成功",IF(AND(J1108&lt;&gt;"",K1108&lt;&gt;"",N1108&gt;0),"有证据","缺C1108证据"),IF(F1108="C1108发货确认中",IF(AND(J1108&lt;&gt;"",K1108&lt;&gt;""),"有证据","缺C1108证据"),IF(F1108="手动完结",IF(OR(L1108&lt;&gt;"",O1108&lt;&gt;"",S1108&lt;&gt;""),"有记录","缺手工证据"),IF(OR(F1108="卖出待补仓",F1108="提交结果待确认",F1108="异常待处理"),"持续跟踪","检查状态")))))</x:f>
      </x:c>
      <x:c r="T1108" s="64" t="str">
        <x:f>IF(A1108="","",IF(COUNTIF($A$5:$A$1204,A1108)&gt;1,"重复",""))</x:f>
      </x:c>
      <x:c r="U1108" s="64" t="str">
        <x:f>IF(A1108="","",IF(T1108="重复","检查重复",IF(OR(R1108="有证据",R1108="有记录",R1108="持续跟踪"),"可追踪","检查")))</x:f>
      </x:c>
    </x:row>
    <x:row r="1109">
      <x:c r="A1109" s="62"/>
      <x:c r="B1109" s="62"/>
      <x:c r="C1109" s="62"/>
      <x:c r="D1109" s="66"/>
      <x:c r="E1109" s="68"/>
      <x:c r="F1109" s="62"/>
      <x:c r="G1109" s="62"/>
      <x:c r="H1109" s="62"/>
      <x:c r="I1109" s="62"/>
      <x:c r="J1109" s="62"/>
      <x:c r="K1109" s="62"/>
      <x:c r="L1109" s="62"/>
      <x:c r="M1109" s="68"/>
      <x:c r="N1109" s="68"/>
      <x:c r="O1109" s="68"/>
      <x:c r="P1109" s="71" t="str">
        <x:f>IF(A1109="","",IF(N1109&gt;0,N1109,M1109))</x:f>
      </x:c>
      <x:c r="Q1109" s="72" t="n">
        <x:f>IF(A1109="",0,IF(COUNTIF($A$5:A1109,A1109)=1,1,0))</x:f>
        <x:v>0</x:v>
      </x:c>
      <x:c r="R1109" s="64" t="str">
        <x:f>IF(A1109="","",IF(F1109="C1109成功",IF(AND(J1109&lt;&gt;"",K1109&lt;&gt;"",N1109&gt;0),"有证据","缺C1109证据"),IF(F1109="C1109发货确认中",IF(AND(J1109&lt;&gt;"",K1109&lt;&gt;""),"有证据","缺C1109证据"),IF(F1109="手动完结",IF(OR(L1109&lt;&gt;"",O1109&lt;&gt;"",S1109&lt;&gt;""),"有记录","缺手工证据"),IF(OR(F1109="卖出待补仓",F1109="提交结果待确认",F1109="异常待处理"),"持续跟踪","检查状态")))))</x:f>
      </x:c>
      <x:c r="T1109" s="64" t="str">
        <x:f>IF(A1109="","",IF(COUNTIF($A$5:$A$1204,A1109)&gt;1,"重复",""))</x:f>
      </x:c>
      <x:c r="U1109" s="64" t="str">
        <x:f>IF(A1109="","",IF(T1109="重复","检查重复",IF(OR(R1109="有证据",R1109="有记录",R1109="持续跟踪"),"可追踪","检查")))</x:f>
      </x:c>
    </x:row>
    <x:row r="1110">
      <x:c r="A1110" s="62"/>
      <x:c r="B1110" s="62"/>
      <x:c r="C1110" s="62"/>
      <x:c r="D1110" s="66"/>
      <x:c r="E1110" s="68"/>
      <x:c r="F1110" s="62"/>
      <x:c r="G1110" s="62"/>
      <x:c r="H1110" s="62"/>
      <x:c r="I1110" s="62"/>
      <x:c r="J1110" s="62"/>
      <x:c r="K1110" s="62"/>
      <x:c r="L1110" s="62"/>
      <x:c r="M1110" s="68"/>
      <x:c r="N1110" s="68"/>
      <x:c r="O1110" s="68"/>
      <x:c r="P1110" s="71" t="str">
        <x:f>IF(A1110="","",IF(N1110&gt;0,N1110,M1110))</x:f>
      </x:c>
      <x:c r="Q1110" s="72" t="n">
        <x:f>IF(A1110="",0,IF(COUNTIF($A$5:A1110,A1110)=1,1,0))</x:f>
        <x:v>0</x:v>
      </x:c>
      <x:c r="R1110" s="64" t="str">
        <x:f>IF(A1110="","",IF(F1110="C1110成功",IF(AND(J1110&lt;&gt;"",K1110&lt;&gt;"",N1110&gt;0),"有证据","缺C1110证据"),IF(F1110="C1110发货确认中",IF(AND(J1110&lt;&gt;"",K1110&lt;&gt;""),"有证据","缺C1110证据"),IF(F1110="手动完结",IF(OR(L1110&lt;&gt;"",O1110&lt;&gt;"",S1110&lt;&gt;""),"有记录","缺手工证据"),IF(OR(F1110="卖出待补仓",F1110="提交结果待确认",F1110="异常待处理"),"持续跟踪","检查状态")))))</x:f>
      </x:c>
      <x:c r="T1110" s="64" t="str">
        <x:f>IF(A1110="","",IF(COUNTIF($A$5:$A$1204,A1110)&gt;1,"重复",""))</x:f>
      </x:c>
      <x:c r="U1110" s="64" t="str">
        <x:f>IF(A1110="","",IF(T1110="重复","检查重复",IF(OR(R1110="有证据",R1110="有记录",R1110="持续跟踪"),"可追踪","检查")))</x:f>
      </x:c>
    </x:row>
    <x:row r="1111">
      <x:c r="A1111" s="62"/>
      <x:c r="B1111" s="62"/>
      <x:c r="C1111" s="62"/>
      <x:c r="D1111" s="66"/>
      <x:c r="E1111" s="68"/>
      <x:c r="F1111" s="62"/>
      <x:c r="G1111" s="62"/>
      <x:c r="H1111" s="62"/>
      <x:c r="I1111" s="62"/>
      <x:c r="J1111" s="62"/>
      <x:c r="K1111" s="62"/>
      <x:c r="L1111" s="62"/>
      <x:c r="M1111" s="68"/>
      <x:c r="N1111" s="68"/>
      <x:c r="O1111" s="68"/>
      <x:c r="P1111" s="71" t="str">
        <x:f>IF(A1111="","",IF(N1111&gt;0,N1111,M1111))</x:f>
      </x:c>
      <x:c r="Q1111" s="72" t="n">
        <x:f>IF(A1111="",0,IF(COUNTIF($A$5:A1111,A1111)=1,1,0))</x:f>
        <x:v>0</x:v>
      </x:c>
      <x:c r="R1111" s="64" t="str">
        <x:f>IF(A1111="","",IF(F1111="C1111成功",IF(AND(J1111&lt;&gt;"",K1111&lt;&gt;"",N1111&gt;0),"有证据","缺C1111证据"),IF(F1111="C1111发货确认中",IF(AND(J1111&lt;&gt;"",K1111&lt;&gt;""),"有证据","缺C1111证据"),IF(F1111="手动完结",IF(OR(L1111&lt;&gt;"",O1111&lt;&gt;"",S1111&lt;&gt;""),"有记录","缺手工证据"),IF(OR(F1111="卖出待补仓",F1111="提交结果待确认",F1111="异常待处理"),"持续跟踪","检查状态")))))</x:f>
      </x:c>
      <x:c r="T1111" s="64" t="str">
        <x:f>IF(A1111="","",IF(COUNTIF($A$5:$A$1204,A1111)&gt;1,"重复",""))</x:f>
      </x:c>
      <x:c r="U1111" s="64" t="str">
        <x:f>IF(A1111="","",IF(T1111="重复","检查重复",IF(OR(R1111="有证据",R1111="有记录",R1111="持续跟踪"),"可追踪","检查")))</x:f>
      </x:c>
    </x:row>
    <x:row r="1112">
      <x:c r="A1112" s="62"/>
      <x:c r="B1112" s="62"/>
      <x:c r="C1112" s="62"/>
      <x:c r="D1112" s="66"/>
      <x:c r="E1112" s="68"/>
      <x:c r="F1112" s="62"/>
      <x:c r="G1112" s="62"/>
      <x:c r="H1112" s="62"/>
      <x:c r="I1112" s="62"/>
      <x:c r="J1112" s="62"/>
      <x:c r="K1112" s="62"/>
      <x:c r="L1112" s="62"/>
      <x:c r="M1112" s="68"/>
      <x:c r="N1112" s="68"/>
      <x:c r="O1112" s="68"/>
      <x:c r="P1112" s="71" t="str">
        <x:f>IF(A1112="","",IF(N1112&gt;0,N1112,M1112))</x:f>
      </x:c>
      <x:c r="Q1112" s="72" t="n">
        <x:f>IF(A1112="",0,IF(COUNTIF($A$5:A1112,A1112)=1,1,0))</x:f>
        <x:v>0</x:v>
      </x:c>
      <x:c r="R1112" s="64" t="str">
        <x:f>IF(A1112="","",IF(F1112="C1112成功",IF(AND(J1112&lt;&gt;"",K1112&lt;&gt;"",N1112&gt;0),"有证据","缺C1112证据"),IF(F1112="C1112发货确认中",IF(AND(J1112&lt;&gt;"",K1112&lt;&gt;""),"有证据","缺C1112证据"),IF(F1112="手动完结",IF(OR(L1112&lt;&gt;"",O1112&lt;&gt;"",S1112&lt;&gt;""),"有记录","缺手工证据"),IF(OR(F1112="卖出待补仓",F1112="提交结果待确认",F1112="异常待处理"),"持续跟踪","检查状态")))))</x:f>
      </x:c>
      <x:c r="T1112" s="64" t="str">
        <x:f>IF(A1112="","",IF(COUNTIF($A$5:$A$1204,A1112)&gt;1,"重复",""))</x:f>
      </x:c>
      <x:c r="U1112" s="64" t="str">
        <x:f>IF(A1112="","",IF(T1112="重复","检查重复",IF(OR(R1112="有证据",R1112="有记录",R1112="持续跟踪"),"可追踪","检查")))</x:f>
      </x:c>
    </x:row>
    <x:row r="1113">
      <x:c r="A1113" s="62"/>
      <x:c r="B1113" s="62"/>
      <x:c r="C1113" s="62"/>
      <x:c r="D1113" s="66"/>
      <x:c r="E1113" s="68"/>
      <x:c r="F1113" s="62"/>
      <x:c r="G1113" s="62"/>
      <x:c r="H1113" s="62"/>
      <x:c r="I1113" s="62"/>
      <x:c r="J1113" s="62"/>
      <x:c r="K1113" s="62"/>
      <x:c r="L1113" s="62"/>
      <x:c r="M1113" s="68"/>
      <x:c r="N1113" s="68"/>
      <x:c r="O1113" s="68"/>
      <x:c r="P1113" s="71" t="str">
        <x:f>IF(A1113="","",IF(N1113&gt;0,N1113,M1113))</x:f>
      </x:c>
      <x:c r="Q1113" s="72" t="n">
        <x:f>IF(A1113="",0,IF(COUNTIF($A$5:A1113,A1113)=1,1,0))</x:f>
        <x:v>0</x:v>
      </x:c>
      <x:c r="R1113" s="64" t="str">
        <x:f>IF(A1113="","",IF(F1113="C1113成功",IF(AND(J1113&lt;&gt;"",K1113&lt;&gt;"",N1113&gt;0),"有证据","缺C1113证据"),IF(F1113="C1113发货确认中",IF(AND(J1113&lt;&gt;"",K1113&lt;&gt;""),"有证据","缺C1113证据"),IF(F1113="手动完结",IF(OR(L1113&lt;&gt;"",O1113&lt;&gt;"",S1113&lt;&gt;""),"有记录","缺手工证据"),IF(OR(F1113="卖出待补仓",F1113="提交结果待确认",F1113="异常待处理"),"持续跟踪","检查状态")))))</x:f>
      </x:c>
      <x:c r="T1113" s="64" t="str">
        <x:f>IF(A1113="","",IF(COUNTIF($A$5:$A$1204,A1113)&gt;1,"重复",""))</x:f>
      </x:c>
      <x:c r="U1113" s="64" t="str">
        <x:f>IF(A1113="","",IF(T1113="重复","检查重复",IF(OR(R1113="有证据",R1113="有记录",R1113="持续跟踪"),"可追踪","检查")))</x:f>
      </x:c>
    </x:row>
    <x:row r="1114">
      <x:c r="A1114" s="62"/>
      <x:c r="B1114" s="62"/>
      <x:c r="C1114" s="62"/>
      <x:c r="D1114" s="66"/>
      <x:c r="E1114" s="68"/>
      <x:c r="F1114" s="62"/>
      <x:c r="G1114" s="62"/>
      <x:c r="H1114" s="62"/>
      <x:c r="I1114" s="62"/>
      <x:c r="J1114" s="62"/>
      <x:c r="K1114" s="62"/>
      <x:c r="L1114" s="62"/>
      <x:c r="M1114" s="68"/>
      <x:c r="N1114" s="68"/>
      <x:c r="O1114" s="68"/>
      <x:c r="P1114" s="71" t="str">
        <x:f>IF(A1114="","",IF(N1114&gt;0,N1114,M1114))</x:f>
      </x:c>
      <x:c r="Q1114" s="72" t="n">
        <x:f>IF(A1114="",0,IF(COUNTIF($A$5:A1114,A1114)=1,1,0))</x:f>
        <x:v>0</x:v>
      </x:c>
      <x:c r="R1114" s="64" t="str">
        <x:f>IF(A1114="","",IF(F1114="C1114成功",IF(AND(J1114&lt;&gt;"",K1114&lt;&gt;"",N1114&gt;0),"有证据","缺C1114证据"),IF(F1114="C1114发货确认中",IF(AND(J1114&lt;&gt;"",K1114&lt;&gt;""),"有证据","缺C1114证据"),IF(F1114="手动完结",IF(OR(L1114&lt;&gt;"",O1114&lt;&gt;"",S1114&lt;&gt;""),"有记录","缺手工证据"),IF(OR(F1114="卖出待补仓",F1114="提交结果待确认",F1114="异常待处理"),"持续跟踪","检查状态")))))</x:f>
      </x:c>
      <x:c r="T1114" s="64" t="str">
        <x:f>IF(A1114="","",IF(COUNTIF($A$5:$A$1204,A1114)&gt;1,"重复",""))</x:f>
      </x:c>
      <x:c r="U1114" s="64" t="str">
        <x:f>IF(A1114="","",IF(T1114="重复","检查重复",IF(OR(R1114="有证据",R1114="有记录",R1114="持续跟踪"),"可追踪","检查")))</x:f>
      </x:c>
    </x:row>
    <x:row r="1115">
      <x:c r="A1115" s="62"/>
      <x:c r="B1115" s="62"/>
      <x:c r="C1115" s="62"/>
      <x:c r="D1115" s="66"/>
      <x:c r="E1115" s="68"/>
      <x:c r="F1115" s="62"/>
      <x:c r="G1115" s="62"/>
      <x:c r="H1115" s="62"/>
      <x:c r="I1115" s="62"/>
      <x:c r="J1115" s="62"/>
      <x:c r="K1115" s="62"/>
      <x:c r="L1115" s="62"/>
      <x:c r="M1115" s="68"/>
      <x:c r="N1115" s="68"/>
      <x:c r="O1115" s="68"/>
      <x:c r="P1115" s="71" t="str">
        <x:f>IF(A1115="","",IF(N1115&gt;0,N1115,M1115))</x:f>
      </x:c>
      <x:c r="Q1115" s="72" t="n">
        <x:f>IF(A1115="",0,IF(COUNTIF($A$5:A1115,A1115)=1,1,0))</x:f>
        <x:v>0</x:v>
      </x:c>
      <x:c r="R1115" s="64" t="str">
        <x:f>IF(A1115="","",IF(F1115="C1115成功",IF(AND(J1115&lt;&gt;"",K1115&lt;&gt;"",N1115&gt;0),"有证据","缺C1115证据"),IF(F1115="C1115发货确认中",IF(AND(J1115&lt;&gt;"",K1115&lt;&gt;""),"有证据","缺C1115证据"),IF(F1115="手动完结",IF(OR(L1115&lt;&gt;"",O1115&lt;&gt;"",S1115&lt;&gt;""),"有记录","缺手工证据"),IF(OR(F1115="卖出待补仓",F1115="提交结果待确认",F1115="异常待处理"),"持续跟踪","检查状态")))))</x:f>
      </x:c>
      <x:c r="T1115" s="64" t="str">
        <x:f>IF(A1115="","",IF(COUNTIF($A$5:$A$1204,A1115)&gt;1,"重复",""))</x:f>
      </x:c>
      <x:c r="U1115" s="64" t="str">
        <x:f>IF(A1115="","",IF(T1115="重复","检查重复",IF(OR(R1115="有证据",R1115="有记录",R1115="持续跟踪"),"可追踪","检查")))</x:f>
      </x:c>
    </x:row>
    <x:row r="1116">
      <x:c r="A1116" s="62"/>
      <x:c r="B1116" s="62"/>
      <x:c r="C1116" s="62"/>
      <x:c r="D1116" s="66"/>
      <x:c r="E1116" s="68"/>
      <x:c r="F1116" s="62"/>
      <x:c r="G1116" s="62"/>
      <x:c r="H1116" s="62"/>
      <x:c r="I1116" s="62"/>
      <x:c r="J1116" s="62"/>
      <x:c r="K1116" s="62"/>
      <x:c r="L1116" s="62"/>
      <x:c r="M1116" s="68"/>
      <x:c r="N1116" s="68"/>
      <x:c r="O1116" s="68"/>
      <x:c r="P1116" s="71" t="str">
        <x:f>IF(A1116="","",IF(N1116&gt;0,N1116,M1116))</x:f>
      </x:c>
      <x:c r="Q1116" s="72" t="n">
        <x:f>IF(A1116="",0,IF(COUNTIF($A$5:A1116,A1116)=1,1,0))</x:f>
        <x:v>0</x:v>
      </x:c>
      <x:c r="R1116" s="64" t="str">
        <x:f>IF(A1116="","",IF(F1116="C1116成功",IF(AND(J1116&lt;&gt;"",K1116&lt;&gt;"",N1116&gt;0),"有证据","缺C1116证据"),IF(F1116="C1116发货确认中",IF(AND(J1116&lt;&gt;"",K1116&lt;&gt;""),"有证据","缺C1116证据"),IF(F1116="手动完结",IF(OR(L1116&lt;&gt;"",O1116&lt;&gt;"",S1116&lt;&gt;""),"有记录","缺手工证据"),IF(OR(F1116="卖出待补仓",F1116="提交结果待确认",F1116="异常待处理"),"持续跟踪","检查状态")))))</x:f>
      </x:c>
      <x:c r="T1116" s="64" t="str">
        <x:f>IF(A1116="","",IF(COUNTIF($A$5:$A$1204,A1116)&gt;1,"重复",""))</x:f>
      </x:c>
      <x:c r="U1116" s="64" t="str">
        <x:f>IF(A1116="","",IF(T1116="重复","检查重复",IF(OR(R1116="有证据",R1116="有记录",R1116="持续跟踪"),"可追踪","检查")))</x:f>
      </x:c>
    </x:row>
    <x:row r="1117">
      <x:c r="A1117" s="62"/>
      <x:c r="B1117" s="62"/>
      <x:c r="C1117" s="62"/>
      <x:c r="D1117" s="66"/>
      <x:c r="E1117" s="68"/>
      <x:c r="F1117" s="62"/>
      <x:c r="G1117" s="62"/>
      <x:c r="H1117" s="62"/>
      <x:c r="I1117" s="62"/>
      <x:c r="J1117" s="62"/>
      <x:c r="K1117" s="62"/>
      <x:c r="L1117" s="62"/>
      <x:c r="M1117" s="68"/>
      <x:c r="N1117" s="68"/>
      <x:c r="O1117" s="68"/>
      <x:c r="P1117" s="71" t="str">
        <x:f>IF(A1117="","",IF(N1117&gt;0,N1117,M1117))</x:f>
      </x:c>
      <x:c r="Q1117" s="72" t="n">
        <x:f>IF(A1117="",0,IF(COUNTIF($A$5:A1117,A1117)=1,1,0))</x:f>
        <x:v>0</x:v>
      </x:c>
      <x:c r="R1117" s="64" t="str">
        <x:f>IF(A1117="","",IF(F1117="C1117成功",IF(AND(J1117&lt;&gt;"",K1117&lt;&gt;"",N1117&gt;0),"有证据","缺C1117证据"),IF(F1117="C1117发货确认中",IF(AND(J1117&lt;&gt;"",K1117&lt;&gt;""),"有证据","缺C1117证据"),IF(F1117="手动完结",IF(OR(L1117&lt;&gt;"",O1117&lt;&gt;"",S1117&lt;&gt;""),"有记录","缺手工证据"),IF(OR(F1117="卖出待补仓",F1117="提交结果待确认",F1117="异常待处理"),"持续跟踪","检查状态")))))</x:f>
      </x:c>
      <x:c r="T1117" s="64" t="str">
        <x:f>IF(A1117="","",IF(COUNTIF($A$5:$A$1204,A1117)&gt;1,"重复",""))</x:f>
      </x:c>
      <x:c r="U1117" s="64" t="str">
        <x:f>IF(A1117="","",IF(T1117="重复","检查重复",IF(OR(R1117="有证据",R1117="有记录",R1117="持续跟踪"),"可追踪","检查")))</x:f>
      </x:c>
    </x:row>
    <x:row r="1118">
      <x:c r="A1118" s="62"/>
      <x:c r="B1118" s="62"/>
      <x:c r="C1118" s="62"/>
      <x:c r="D1118" s="66"/>
      <x:c r="E1118" s="68"/>
      <x:c r="F1118" s="62"/>
      <x:c r="G1118" s="62"/>
      <x:c r="H1118" s="62"/>
      <x:c r="I1118" s="62"/>
      <x:c r="J1118" s="62"/>
      <x:c r="K1118" s="62"/>
      <x:c r="L1118" s="62"/>
      <x:c r="M1118" s="68"/>
      <x:c r="N1118" s="68"/>
      <x:c r="O1118" s="68"/>
      <x:c r="P1118" s="71" t="str">
        <x:f>IF(A1118="","",IF(N1118&gt;0,N1118,M1118))</x:f>
      </x:c>
      <x:c r="Q1118" s="72" t="n">
        <x:f>IF(A1118="",0,IF(COUNTIF($A$5:A1118,A1118)=1,1,0))</x:f>
        <x:v>0</x:v>
      </x:c>
      <x:c r="R1118" s="64" t="str">
        <x:f>IF(A1118="","",IF(F1118="C1118成功",IF(AND(J1118&lt;&gt;"",K1118&lt;&gt;"",N1118&gt;0),"有证据","缺C1118证据"),IF(F1118="C1118发货确认中",IF(AND(J1118&lt;&gt;"",K1118&lt;&gt;""),"有证据","缺C1118证据"),IF(F1118="手动完结",IF(OR(L1118&lt;&gt;"",O1118&lt;&gt;"",S1118&lt;&gt;""),"有记录","缺手工证据"),IF(OR(F1118="卖出待补仓",F1118="提交结果待确认",F1118="异常待处理"),"持续跟踪","检查状态")))))</x:f>
      </x:c>
      <x:c r="T1118" s="64" t="str">
        <x:f>IF(A1118="","",IF(COUNTIF($A$5:$A$1204,A1118)&gt;1,"重复",""))</x:f>
      </x:c>
      <x:c r="U1118" s="64" t="str">
        <x:f>IF(A1118="","",IF(T1118="重复","检查重复",IF(OR(R1118="有证据",R1118="有记录",R1118="持续跟踪"),"可追踪","检查")))</x:f>
      </x:c>
    </x:row>
    <x:row r="1119">
      <x:c r="A1119" s="62"/>
      <x:c r="B1119" s="62"/>
      <x:c r="C1119" s="62"/>
      <x:c r="D1119" s="66"/>
      <x:c r="E1119" s="68"/>
      <x:c r="F1119" s="62"/>
      <x:c r="G1119" s="62"/>
      <x:c r="H1119" s="62"/>
      <x:c r="I1119" s="62"/>
      <x:c r="J1119" s="62"/>
      <x:c r="K1119" s="62"/>
      <x:c r="L1119" s="62"/>
      <x:c r="M1119" s="68"/>
      <x:c r="N1119" s="68"/>
      <x:c r="O1119" s="68"/>
      <x:c r="P1119" s="71" t="str">
        <x:f>IF(A1119="","",IF(N1119&gt;0,N1119,M1119))</x:f>
      </x:c>
      <x:c r="Q1119" s="72" t="n">
        <x:f>IF(A1119="",0,IF(COUNTIF($A$5:A1119,A1119)=1,1,0))</x:f>
        <x:v>0</x:v>
      </x:c>
      <x:c r="R1119" s="64" t="str">
        <x:f>IF(A1119="","",IF(F1119="C1119成功",IF(AND(J1119&lt;&gt;"",K1119&lt;&gt;"",N1119&gt;0),"有证据","缺C1119证据"),IF(F1119="C1119发货确认中",IF(AND(J1119&lt;&gt;"",K1119&lt;&gt;""),"有证据","缺C1119证据"),IF(F1119="手动完结",IF(OR(L1119&lt;&gt;"",O1119&lt;&gt;"",S1119&lt;&gt;""),"有记录","缺手工证据"),IF(OR(F1119="卖出待补仓",F1119="提交结果待确认",F1119="异常待处理"),"持续跟踪","检查状态")))))</x:f>
      </x:c>
      <x:c r="T1119" s="64" t="str">
        <x:f>IF(A1119="","",IF(COUNTIF($A$5:$A$1204,A1119)&gt;1,"重复",""))</x:f>
      </x:c>
      <x:c r="U1119" s="64" t="str">
        <x:f>IF(A1119="","",IF(T1119="重复","检查重复",IF(OR(R1119="有证据",R1119="有记录",R1119="持续跟踪"),"可追踪","检查")))</x:f>
      </x:c>
    </x:row>
    <x:row r="1120">
      <x:c r="A1120" s="62"/>
      <x:c r="B1120" s="62"/>
      <x:c r="C1120" s="62"/>
      <x:c r="D1120" s="66"/>
      <x:c r="E1120" s="68"/>
      <x:c r="F1120" s="62"/>
      <x:c r="G1120" s="62"/>
      <x:c r="H1120" s="62"/>
      <x:c r="I1120" s="62"/>
      <x:c r="J1120" s="62"/>
      <x:c r="K1120" s="62"/>
      <x:c r="L1120" s="62"/>
      <x:c r="M1120" s="68"/>
      <x:c r="N1120" s="68"/>
      <x:c r="O1120" s="68"/>
      <x:c r="P1120" s="71" t="str">
        <x:f>IF(A1120="","",IF(N1120&gt;0,N1120,M1120))</x:f>
      </x:c>
      <x:c r="Q1120" s="72" t="n">
        <x:f>IF(A1120="",0,IF(COUNTIF($A$5:A1120,A1120)=1,1,0))</x:f>
        <x:v>0</x:v>
      </x:c>
      <x:c r="R1120" s="64" t="str">
        <x:f>IF(A1120="","",IF(F1120="C1120成功",IF(AND(J1120&lt;&gt;"",K1120&lt;&gt;"",N1120&gt;0),"有证据","缺C1120证据"),IF(F1120="C1120发货确认中",IF(AND(J1120&lt;&gt;"",K1120&lt;&gt;""),"有证据","缺C1120证据"),IF(F1120="手动完结",IF(OR(L1120&lt;&gt;"",O1120&lt;&gt;"",S1120&lt;&gt;""),"有记录","缺手工证据"),IF(OR(F1120="卖出待补仓",F1120="提交结果待确认",F1120="异常待处理"),"持续跟踪","检查状态")))))</x:f>
      </x:c>
      <x:c r="T1120" s="64" t="str">
        <x:f>IF(A1120="","",IF(COUNTIF($A$5:$A$1204,A1120)&gt;1,"重复",""))</x:f>
      </x:c>
      <x:c r="U1120" s="64" t="str">
        <x:f>IF(A1120="","",IF(T1120="重复","检查重复",IF(OR(R1120="有证据",R1120="有记录",R1120="持续跟踪"),"可追踪","检查")))</x:f>
      </x:c>
    </x:row>
    <x:row r="1121">
      <x:c r="A1121" s="62"/>
      <x:c r="B1121" s="62"/>
      <x:c r="C1121" s="62"/>
      <x:c r="D1121" s="66"/>
      <x:c r="E1121" s="68"/>
      <x:c r="F1121" s="62"/>
      <x:c r="G1121" s="62"/>
      <x:c r="H1121" s="62"/>
      <x:c r="I1121" s="62"/>
      <x:c r="J1121" s="62"/>
      <x:c r="K1121" s="62"/>
      <x:c r="L1121" s="62"/>
      <x:c r="M1121" s="68"/>
      <x:c r="N1121" s="68"/>
      <x:c r="O1121" s="68"/>
      <x:c r="P1121" s="71" t="str">
        <x:f>IF(A1121="","",IF(N1121&gt;0,N1121,M1121))</x:f>
      </x:c>
      <x:c r="Q1121" s="72" t="n">
        <x:f>IF(A1121="",0,IF(COUNTIF($A$5:A1121,A1121)=1,1,0))</x:f>
        <x:v>0</x:v>
      </x:c>
      <x:c r="R1121" s="64" t="str">
        <x:f>IF(A1121="","",IF(F1121="C1121成功",IF(AND(J1121&lt;&gt;"",K1121&lt;&gt;"",N1121&gt;0),"有证据","缺C1121证据"),IF(F1121="C1121发货确认中",IF(AND(J1121&lt;&gt;"",K1121&lt;&gt;""),"有证据","缺C1121证据"),IF(F1121="手动完结",IF(OR(L1121&lt;&gt;"",O1121&lt;&gt;"",S1121&lt;&gt;""),"有记录","缺手工证据"),IF(OR(F1121="卖出待补仓",F1121="提交结果待确认",F1121="异常待处理"),"持续跟踪","检查状态")))))</x:f>
      </x:c>
      <x:c r="T1121" s="64" t="str">
        <x:f>IF(A1121="","",IF(COUNTIF($A$5:$A$1204,A1121)&gt;1,"重复",""))</x:f>
      </x:c>
      <x:c r="U1121" s="64" t="str">
        <x:f>IF(A1121="","",IF(T1121="重复","检查重复",IF(OR(R1121="有证据",R1121="有记录",R1121="持续跟踪"),"可追踪","检查")))</x:f>
      </x:c>
    </x:row>
    <x:row r="1122">
      <x:c r="A1122" s="62"/>
      <x:c r="B1122" s="62"/>
      <x:c r="C1122" s="62"/>
      <x:c r="D1122" s="66"/>
      <x:c r="E1122" s="68"/>
      <x:c r="F1122" s="62"/>
      <x:c r="G1122" s="62"/>
      <x:c r="H1122" s="62"/>
      <x:c r="I1122" s="62"/>
      <x:c r="J1122" s="62"/>
      <x:c r="K1122" s="62"/>
      <x:c r="L1122" s="62"/>
      <x:c r="M1122" s="68"/>
      <x:c r="N1122" s="68"/>
      <x:c r="O1122" s="68"/>
      <x:c r="P1122" s="71" t="str">
        <x:f>IF(A1122="","",IF(N1122&gt;0,N1122,M1122))</x:f>
      </x:c>
      <x:c r="Q1122" s="72" t="n">
        <x:f>IF(A1122="",0,IF(COUNTIF($A$5:A1122,A1122)=1,1,0))</x:f>
        <x:v>0</x:v>
      </x:c>
      <x:c r="R1122" s="64" t="str">
        <x:f>IF(A1122="","",IF(F1122="C1122成功",IF(AND(J1122&lt;&gt;"",K1122&lt;&gt;"",N1122&gt;0),"有证据","缺C1122证据"),IF(F1122="C1122发货确认中",IF(AND(J1122&lt;&gt;"",K1122&lt;&gt;""),"有证据","缺C1122证据"),IF(F1122="手动完结",IF(OR(L1122&lt;&gt;"",O1122&lt;&gt;"",S1122&lt;&gt;""),"有记录","缺手工证据"),IF(OR(F1122="卖出待补仓",F1122="提交结果待确认",F1122="异常待处理"),"持续跟踪","检查状态")))))</x:f>
      </x:c>
      <x:c r="T1122" s="64" t="str">
        <x:f>IF(A1122="","",IF(COUNTIF($A$5:$A$1204,A1122)&gt;1,"重复",""))</x:f>
      </x:c>
      <x:c r="U1122" s="64" t="str">
        <x:f>IF(A1122="","",IF(T1122="重复","检查重复",IF(OR(R1122="有证据",R1122="有记录",R1122="持续跟踪"),"可追踪","检查")))</x:f>
      </x:c>
    </x:row>
    <x:row r="1123">
      <x:c r="A1123" s="62"/>
      <x:c r="B1123" s="62"/>
      <x:c r="C1123" s="62"/>
      <x:c r="D1123" s="66"/>
      <x:c r="E1123" s="68"/>
      <x:c r="F1123" s="62"/>
      <x:c r="G1123" s="62"/>
      <x:c r="H1123" s="62"/>
      <x:c r="I1123" s="62"/>
      <x:c r="J1123" s="62"/>
      <x:c r="K1123" s="62"/>
      <x:c r="L1123" s="62"/>
      <x:c r="M1123" s="68"/>
      <x:c r="N1123" s="68"/>
      <x:c r="O1123" s="68"/>
      <x:c r="P1123" s="71" t="str">
        <x:f>IF(A1123="","",IF(N1123&gt;0,N1123,M1123))</x:f>
      </x:c>
      <x:c r="Q1123" s="72" t="n">
        <x:f>IF(A1123="",0,IF(COUNTIF($A$5:A1123,A1123)=1,1,0))</x:f>
        <x:v>0</x:v>
      </x:c>
      <x:c r="R1123" s="64" t="str">
        <x:f>IF(A1123="","",IF(F1123="C1123成功",IF(AND(J1123&lt;&gt;"",K1123&lt;&gt;"",N1123&gt;0),"有证据","缺C1123证据"),IF(F1123="C1123发货确认中",IF(AND(J1123&lt;&gt;"",K1123&lt;&gt;""),"有证据","缺C1123证据"),IF(F1123="手动完结",IF(OR(L1123&lt;&gt;"",O1123&lt;&gt;"",S1123&lt;&gt;""),"有记录","缺手工证据"),IF(OR(F1123="卖出待补仓",F1123="提交结果待确认",F1123="异常待处理"),"持续跟踪","检查状态")))))</x:f>
      </x:c>
      <x:c r="T1123" s="64" t="str">
        <x:f>IF(A1123="","",IF(COUNTIF($A$5:$A$1204,A1123)&gt;1,"重复",""))</x:f>
      </x:c>
      <x:c r="U1123" s="64" t="str">
        <x:f>IF(A1123="","",IF(T1123="重复","检查重复",IF(OR(R1123="有证据",R1123="有记录",R1123="持续跟踪"),"可追踪","检查")))</x:f>
      </x:c>
    </x:row>
    <x:row r="1124">
      <x:c r="A1124" s="62"/>
      <x:c r="B1124" s="62"/>
      <x:c r="C1124" s="62"/>
      <x:c r="D1124" s="66"/>
      <x:c r="E1124" s="68"/>
      <x:c r="F1124" s="62"/>
      <x:c r="G1124" s="62"/>
      <x:c r="H1124" s="62"/>
      <x:c r="I1124" s="62"/>
      <x:c r="J1124" s="62"/>
      <x:c r="K1124" s="62"/>
      <x:c r="L1124" s="62"/>
      <x:c r="M1124" s="68"/>
      <x:c r="N1124" s="68"/>
      <x:c r="O1124" s="68"/>
      <x:c r="P1124" s="71" t="str">
        <x:f>IF(A1124="","",IF(N1124&gt;0,N1124,M1124))</x:f>
      </x:c>
      <x:c r="Q1124" s="72" t="n">
        <x:f>IF(A1124="",0,IF(COUNTIF($A$5:A1124,A1124)=1,1,0))</x:f>
        <x:v>0</x:v>
      </x:c>
      <x:c r="R1124" s="64" t="str">
        <x:f>IF(A1124="","",IF(F1124="C1124成功",IF(AND(J1124&lt;&gt;"",K1124&lt;&gt;"",N1124&gt;0),"有证据","缺C1124证据"),IF(F1124="C1124发货确认中",IF(AND(J1124&lt;&gt;"",K1124&lt;&gt;""),"有证据","缺C1124证据"),IF(F1124="手动完结",IF(OR(L1124&lt;&gt;"",O1124&lt;&gt;"",S1124&lt;&gt;""),"有记录","缺手工证据"),IF(OR(F1124="卖出待补仓",F1124="提交结果待确认",F1124="异常待处理"),"持续跟踪","检查状态")))))</x:f>
      </x:c>
      <x:c r="T1124" s="64" t="str">
        <x:f>IF(A1124="","",IF(COUNTIF($A$5:$A$1204,A1124)&gt;1,"重复",""))</x:f>
      </x:c>
      <x:c r="U1124" s="64" t="str">
        <x:f>IF(A1124="","",IF(T1124="重复","检查重复",IF(OR(R1124="有证据",R1124="有记录",R1124="持续跟踪"),"可追踪","检查")))</x:f>
      </x:c>
    </x:row>
    <x:row r="1125">
      <x:c r="A1125" s="62"/>
      <x:c r="B1125" s="62"/>
      <x:c r="C1125" s="62"/>
      <x:c r="D1125" s="66"/>
      <x:c r="E1125" s="68"/>
      <x:c r="F1125" s="62"/>
      <x:c r="G1125" s="62"/>
      <x:c r="H1125" s="62"/>
      <x:c r="I1125" s="62"/>
      <x:c r="J1125" s="62"/>
      <x:c r="K1125" s="62"/>
      <x:c r="L1125" s="62"/>
      <x:c r="M1125" s="68"/>
      <x:c r="N1125" s="68"/>
      <x:c r="O1125" s="68"/>
      <x:c r="P1125" s="71" t="str">
        <x:f>IF(A1125="","",IF(N1125&gt;0,N1125,M1125))</x:f>
      </x:c>
      <x:c r="Q1125" s="72" t="n">
        <x:f>IF(A1125="",0,IF(COUNTIF($A$5:A1125,A1125)=1,1,0))</x:f>
        <x:v>0</x:v>
      </x:c>
      <x:c r="R1125" s="64" t="str">
        <x:f>IF(A1125="","",IF(F1125="C1125成功",IF(AND(J1125&lt;&gt;"",K1125&lt;&gt;"",N1125&gt;0),"有证据","缺C1125证据"),IF(F1125="C1125发货确认中",IF(AND(J1125&lt;&gt;"",K1125&lt;&gt;""),"有证据","缺C1125证据"),IF(F1125="手动完结",IF(OR(L1125&lt;&gt;"",O1125&lt;&gt;"",S1125&lt;&gt;""),"有记录","缺手工证据"),IF(OR(F1125="卖出待补仓",F1125="提交结果待确认",F1125="异常待处理"),"持续跟踪","检查状态")))))</x:f>
      </x:c>
      <x:c r="T1125" s="64" t="str">
        <x:f>IF(A1125="","",IF(COUNTIF($A$5:$A$1204,A1125)&gt;1,"重复",""))</x:f>
      </x:c>
      <x:c r="U1125" s="64" t="str">
        <x:f>IF(A1125="","",IF(T1125="重复","检查重复",IF(OR(R1125="有证据",R1125="有记录",R1125="持续跟踪"),"可追踪","检查")))</x:f>
      </x:c>
    </x:row>
    <x:row r="1126">
      <x:c r="A1126" s="62"/>
      <x:c r="B1126" s="62"/>
      <x:c r="C1126" s="62"/>
      <x:c r="D1126" s="66"/>
      <x:c r="E1126" s="68"/>
      <x:c r="F1126" s="62"/>
      <x:c r="G1126" s="62"/>
      <x:c r="H1126" s="62"/>
      <x:c r="I1126" s="62"/>
      <x:c r="J1126" s="62"/>
      <x:c r="K1126" s="62"/>
      <x:c r="L1126" s="62"/>
      <x:c r="M1126" s="68"/>
      <x:c r="N1126" s="68"/>
      <x:c r="O1126" s="68"/>
      <x:c r="P1126" s="71" t="str">
        <x:f>IF(A1126="","",IF(N1126&gt;0,N1126,M1126))</x:f>
      </x:c>
      <x:c r="Q1126" s="72" t="n">
        <x:f>IF(A1126="",0,IF(COUNTIF($A$5:A1126,A1126)=1,1,0))</x:f>
        <x:v>0</x:v>
      </x:c>
      <x:c r="R1126" s="64" t="str">
        <x:f>IF(A1126="","",IF(F1126="C1126成功",IF(AND(J1126&lt;&gt;"",K1126&lt;&gt;"",N1126&gt;0),"有证据","缺C1126证据"),IF(F1126="C1126发货确认中",IF(AND(J1126&lt;&gt;"",K1126&lt;&gt;""),"有证据","缺C1126证据"),IF(F1126="手动完结",IF(OR(L1126&lt;&gt;"",O1126&lt;&gt;"",S1126&lt;&gt;""),"有记录","缺手工证据"),IF(OR(F1126="卖出待补仓",F1126="提交结果待确认",F1126="异常待处理"),"持续跟踪","检查状态")))))</x:f>
      </x:c>
      <x:c r="T1126" s="64" t="str">
        <x:f>IF(A1126="","",IF(COUNTIF($A$5:$A$1204,A1126)&gt;1,"重复",""))</x:f>
      </x:c>
      <x:c r="U1126" s="64" t="str">
        <x:f>IF(A1126="","",IF(T1126="重复","检查重复",IF(OR(R1126="有证据",R1126="有记录",R1126="持续跟踪"),"可追踪","检查")))</x:f>
      </x:c>
    </x:row>
    <x:row r="1127">
      <x:c r="A1127" s="62"/>
      <x:c r="B1127" s="62"/>
      <x:c r="C1127" s="62"/>
      <x:c r="D1127" s="66"/>
      <x:c r="E1127" s="68"/>
      <x:c r="F1127" s="62"/>
      <x:c r="G1127" s="62"/>
      <x:c r="H1127" s="62"/>
      <x:c r="I1127" s="62"/>
      <x:c r="J1127" s="62"/>
      <x:c r="K1127" s="62"/>
      <x:c r="L1127" s="62"/>
      <x:c r="M1127" s="68"/>
      <x:c r="N1127" s="68"/>
      <x:c r="O1127" s="68"/>
      <x:c r="P1127" s="71" t="str">
        <x:f>IF(A1127="","",IF(N1127&gt;0,N1127,M1127))</x:f>
      </x:c>
      <x:c r="Q1127" s="72" t="n">
        <x:f>IF(A1127="",0,IF(COUNTIF($A$5:A1127,A1127)=1,1,0))</x:f>
        <x:v>0</x:v>
      </x:c>
      <x:c r="R1127" s="64" t="str">
        <x:f>IF(A1127="","",IF(F1127="C1127成功",IF(AND(J1127&lt;&gt;"",K1127&lt;&gt;"",N1127&gt;0),"有证据","缺C1127证据"),IF(F1127="C1127发货确认中",IF(AND(J1127&lt;&gt;"",K1127&lt;&gt;""),"有证据","缺C1127证据"),IF(F1127="手动完结",IF(OR(L1127&lt;&gt;"",O1127&lt;&gt;"",S1127&lt;&gt;""),"有记录","缺手工证据"),IF(OR(F1127="卖出待补仓",F1127="提交结果待确认",F1127="异常待处理"),"持续跟踪","检查状态")))))</x:f>
      </x:c>
      <x:c r="T1127" s="64" t="str">
        <x:f>IF(A1127="","",IF(COUNTIF($A$5:$A$1204,A1127)&gt;1,"重复",""))</x:f>
      </x:c>
      <x:c r="U1127" s="64" t="str">
        <x:f>IF(A1127="","",IF(T1127="重复","检查重复",IF(OR(R1127="有证据",R1127="有记录",R1127="持续跟踪"),"可追踪","检查")))</x:f>
      </x:c>
    </x:row>
    <x:row r="1128">
      <x:c r="A1128" s="62"/>
      <x:c r="B1128" s="62"/>
      <x:c r="C1128" s="62"/>
      <x:c r="D1128" s="66"/>
      <x:c r="E1128" s="68"/>
      <x:c r="F1128" s="62"/>
      <x:c r="G1128" s="62"/>
      <x:c r="H1128" s="62"/>
      <x:c r="I1128" s="62"/>
      <x:c r="J1128" s="62"/>
      <x:c r="K1128" s="62"/>
      <x:c r="L1128" s="62"/>
      <x:c r="M1128" s="68"/>
      <x:c r="N1128" s="68"/>
      <x:c r="O1128" s="68"/>
      <x:c r="P1128" s="71" t="str">
        <x:f>IF(A1128="","",IF(N1128&gt;0,N1128,M1128))</x:f>
      </x:c>
      <x:c r="Q1128" s="72" t="n">
        <x:f>IF(A1128="",0,IF(COUNTIF($A$5:A1128,A1128)=1,1,0))</x:f>
        <x:v>0</x:v>
      </x:c>
      <x:c r="R1128" s="64" t="str">
        <x:f>IF(A1128="","",IF(F1128="C1128成功",IF(AND(J1128&lt;&gt;"",K1128&lt;&gt;"",N1128&gt;0),"有证据","缺C1128证据"),IF(F1128="C1128发货确认中",IF(AND(J1128&lt;&gt;"",K1128&lt;&gt;""),"有证据","缺C1128证据"),IF(F1128="手动完结",IF(OR(L1128&lt;&gt;"",O1128&lt;&gt;"",S1128&lt;&gt;""),"有记录","缺手工证据"),IF(OR(F1128="卖出待补仓",F1128="提交结果待确认",F1128="异常待处理"),"持续跟踪","检查状态")))))</x:f>
      </x:c>
      <x:c r="T1128" s="64" t="str">
        <x:f>IF(A1128="","",IF(COUNTIF($A$5:$A$1204,A1128)&gt;1,"重复",""))</x:f>
      </x:c>
      <x:c r="U1128" s="64" t="str">
        <x:f>IF(A1128="","",IF(T1128="重复","检查重复",IF(OR(R1128="有证据",R1128="有记录",R1128="持续跟踪"),"可追踪","检查")))</x:f>
      </x:c>
    </x:row>
    <x:row r="1129">
      <x:c r="A1129" s="62"/>
      <x:c r="B1129" s="62"/>
      <x:c r="C1129" s="62"/>
      <x:c r="D1129" s="66"/>
      <x:c r="E1129" s="68"/>
      <x:c r="F1129" s="62"/>
      <x:c r="G1129" s="62"/>
      <x:c r="H1129" s="62"/>
      <x:c r="I1129" s="62"/>
      <x:c r="J1129" s="62"/>
      <x:c r="K1129" s="62"/>
      <x:c r="L1129" s="62"/>
      <x:c r="M1129" s="68"/>
      <x:c r="N1129" s="68"/>
      <x:c r="O1129" s="68"/>
      <x:c r="P1129" s="71" t="str">
        <x:f>IF(A1129="","",IF(N1129&gt;0,N1129,M1129))</x:f>
      </x:c>
      <x:c r="Q1129" s="72" t="n">
        <x:f>IF(A1129="",0,IF(COUNTIF($A$5:A1129,A1129)=1,1,0))</x:f>
        <x:v>0</x:v>
      </x:c>
      <x:c r="R1129" s="64" t="str">
        <x:f>IF(A1129="","",IF(F1129="C1129成功",IF(AND(J1129&lt;&gt;"",K1129&lt;&gt;"",N1129&gt;0),"有证据","缺C1129证据"),IF(F1129="C1129发货确认中",IF(AND(J1129&lt;&gt;"",K1129&lt;&gt;""),"有证据","缺C1129证据"),IF(F1129="手动完结",IF(OR(L1129&lt;&gt;"",O1129&lt;&gt;"",S1129&lt;&gt;""),"有记录","缺手工证据"),IF(OR(F1129="卖出待补仓",F1129="提交结果待确认",F1129="异常待处理"),"持续跟踪","检查状态")))))</x:f>
      </x:c>
      <x:c r="T1129" s="64" t="str">
        <x:f>IF(A1129="","",IF(COUNTIF($A$5:$A$1204,A1129)&gt;1,"重复",""))</x:f>
      </x:c>
      <x:c r="U1129" s="64" t="str">
        <x:f>IF(A1129="","",IF(T1129="重复","检查重复",IF(OR(R1129="有证据",R1129="有记录",R1129="持续跟踪"),"可追踪","检查")))</x:f>
      </x:c>
    </x:row>
    <x:row r="1130">
      <x:c r="A1130" s="62"/>
      <x:c r="B1130" s="62"/>
      <x:c r="C1130" s="62"/>
      <x:c r="D1130" s="66"/>
      <x:c r="E1130" s="68"/>
      <x:c r="F1130" s="62"/>
      <x:c r="G1130" s="62"/>
      <x:c r="H1130" s="62"/>
      <x:c r="I1130" s="62"/>
      <x:c r="J1130" s="62"/>
      <x:c r="K1130" s="62"/>
      <x:c r="L1130" s="62"/>
      <x:c r="M1130" s="68"/>
      <x:c r="N1130" s="68"/>
      <x:c r="O1130" s="68"/>
      <x:c r="P1130" s="71" t="str">
        <x:f>IF(A1130="","",IF(N1130&gt;0,N1130,M1130))</x:f>
      </x:c>
      <x:c r="Q1130" s="72" t="n">
        <x:f>IF(A1130="",0,IF(COUNTIF($A$5:A1130,A1130)=1,1,0))</x:f>
        <x:v>0</x:v>
      </x:c>
      <x:c r="R1130" s="64" t="str">
        <x:f>IF(A1130="","",IF(F1130="C1130成功",IF(AND(J1130&lt;&gt;"",K1130&lt;&gt;"",N1130&gt;0),"有证据","缺C1130证据"),IF(F1130="C1130发货确认中",IF(AND(J1130&lt;&gt;"",K1130&lt;&gt;""),"有证据","缺C1130证据"),IF(F1130="手动完结",IF(OR(L1130&lt;&gt;"",O1130&lt;&gt;"",S1130&lt;&gt;""),"有记录","缺手工证据"),IF(OR(F1130="卖出待补仓",F1130="提交结果待确认",F1130="异常待处理"),"持续跟踪","检查状态")))))</x:f>
      </x:c>
      <x:c r="T1130" s="64" t="str">
        <x:f>IF(A1130="","",IF(COUNTIF($A$5:$A$1204,A1130)&gt;1,"重复",""))</x:f>
      </x:c>
      <x:c r="U1130" s="64" t="str">
        <x:f>IF(A1130="","",IF(T1130="重复","检查重复",IF(OR(R1130="有证据",R1130="有记录",R1130="持续跟踪"),"可追踪","检查")))</x:f>
      </x:c>
    </x:row>
    <x:row r="1131">
      <x:c r="A1131" s="62"/>
      <x:c r="B1131" s="62"/>
      <x:c r="C1131" s="62"/>
      <x:c r="D1131" s="66"/>
      <x:c r="E1131" s="68"/>
      <x:c r="F1131" s="62"/>
      <x:c r="G1131" s="62"/>
      <x:c r="H1131" s="62"/>
      <x:c r="I1131" s="62"/>
      <x:c r="J1131" s="62"/>
      <x:c r="K1131" s="62"/>
      <x:c r="L1131" s="62"/>
      <x:c r="M1131" s="68"/>
      <x:c r="N1131" s="68"/>
      <x:c r="O1131" s="68"/>
      <x:c r="P1131" s="71" t="str">
        <x:f>IF(A1131="","",IF(N1131&gt;0,N1131,M1131))</x:f>
      </x:c>
      <x:c r="Q1131" s="72" t="n">
        <x:f>IF(A1131="",0,IF(COUNTIF($A$5:A1131,A1131)=1,1,0))</x:f>
        <x:v>0</x:v>
      </x:c>
      <x:c r="R1131" s="64" t="str">
        <x:f>IF(A1131="","",IF(F1131="C1131成功",IF(AND(J1131&lt;&gt;"",K1131&lt;&gt;"",N1131&gt;0),"有证据","缺C1131证据"),IF(F1131="C1131发货确认中",IF(AND(J1131&lt;&gt;"",K1131&lt;&gt;""),"有证据","缺C1131证据"),IF(F1131="手动完结",IF(OR(L1131&lt;&gt;"",O1131&lt;&gt;"",S1131&lt;&gt;""),"有记录","缺手工证据"),IF(OR(F1131="卖出待补仓",F1131="提交结果待确认",F1131="异常待处理"),"持续跟踪","检查状态")))))</x:f>
      </x:c>
      <x:c r="T1131" s="64" t="str">
        <x:f>IF(A1131="","",IF(COUNTIF($A$5:$A$1204,A1131)&gt;1,"重复",""))</x:f>
      </x:c>
      <x:c r="U1131" s="64" t="str">
        <x:f>IF(A1131="","",IF(T1131="重复","检查重复",IF(OR(R1131="有证据",R1131="有记录",R1131="持续跟踪"),"可追踪","检查")))</x:f>
      </x:c>
    </x:row>
    <x:row r="1132">
      <x:c r="A1132" s="62"/>
      <x:c r="B1132" s="62"/>
      <x:c r="C1132" s="62"/>
      <x:c r="D1132" s="66"/>
      <x:c r="E1132" s="68"/>
      <x:c r="F1132" s="62"/>
      <x:c r="G1132" s="62"/>
      <x:c r="H1132" s="62"/>
      <x:c r="I1132" s="62"/>
      <x:c r="J1132" s="62"/>
      <x:c r="K1132" s="62"/>
      <x:c r="L1132" s="62"/>
      <x:c r="M1132" s="68"/>
      <x:c r="N1132" s="68"/>
      <x:c r="O1132" s="68"/>
      <x:c r="P1132" s="71" t="str">
        <x:f>IF(A1132="","",IF(N1132&gt;0,N1132,M1132))</x:f>
      </x:c>
      <x:c r="Q1132" s="72" t="n">
        <x:f>IF(A1132="",0,IF(COUNTIF($A$5:A1132,A1132)=1,1,0))</x:f>
        <x:v>0</x:v>
      </x:c>
      <x:c r="R1132" s="64" t="str">
        <x:f>IF(A1132="","",IF(F1132="C1132成功",IF(AND(J1132&lt;&gt;"",K1132&lt;&gt;"",N1132&gt;0),"有证据","缺C1132证据"),IF(F1132="C1132发货确认中",IF(AND(J1132&lt;&gt;"",K1132&lt;&gt;""),"有证据","缺C1132证据"),IF(F1132="手动完结",IF(OR(L1132&lt;&gt;"",O1132&lt;&gt;"",S1132&lt;&gt;""),"有记录","缺手工证据"),IF(OR(F1132="卖出待补仓",F1132="提交结果待确认",F1132="异常待处理"),"持续跟踪","检查状态")))))</x:f>
      </x:c>
      <x:c r="T1132" s="64" t="str">
        <x:f>IF(A1132="","",IF(COUNTIF($A$5:$A$1204,A1132)&gt;1,"重复",""))</x:f>
      </x:c>
      <x:c r="U1132" s="64" t="str">
        <x:f>IF(A1132="","",IF(T1132="重复","检查重复",IF(OR(R1132="有证据",R1132="有记录",R1132="持续跟踪"),"可追踪","检查")))</x:f>
      </x:c>
    </x:row>
    <x:row r="1133">
      <x:c r="A1133" s="62"/>
      <x:c r="B1133" s="62"/>
      <x:c r="C1133" s="62"/>
      <x:c r="D1133" s="66"/>
      <x:c r="E1133" s="68"/>
      <x:c r="F1133" s="62"/>
      <x:c r="G1133" s="62"/>
      <x:c r="H1133" s="62"/>
      <x:c r="I1133" s="62"/>
      <x:c r="J1133" s="62"/>
      <x:c r="K1133" s="62"/>
      <x:c r="L1133" s="62"/>
      <x:c r="M1133" s="68"/>
      <x:c r="N1133" s="68"/>
      <x:c r="O1133" s="68"/>
      <x:c r="P1133" s="71" t="str">
        <x:f>IF(A1133="","",IF(N1133&gt;0,N1133,M1133))</x:f>
      </x:c>
      <x:c r="Q1133" s="72" t="n">
        <x:f>IF(A1133="",0,IF(COUNTIF($A$5:A1133,A1133)=1,1,0))</x:f>
        <x:v>0</x:v>
      </x:c>
      <x:c r="R1133" s="64" t="str">
        <x:f>IF(A1133="","",IF(F1133="C1133成功",IF(AND(J1133&lt;&gt;"",K1133&lt;&gt;"",N1133&gt;0),"有证据","缺C1133证据"),IF(F1133="C1133发货确认中",IF(AND(J1133&lt;&gt;"",K1133&lt;&gt;""),"有证据","缺C1133证据"),IF(F1133="手动完结",IF(OR(L1133&lt;&gt;"",O1133&lt;&gt;"",S1133&lt;&gt;""),"有记录","缺手工证据"),IF(OR(F1133="卖出待补仓",F1133="提交结果待确认",F1133="异常待处理"),"持续跟踪","检查状态")))))</x:f>
      </x:c>
      <x:c r="T1133" s="64" t="str">
        <x:f>IF(A1133="","",IF(COUNTIF($A$5:$A$1204,A1133)&gt;1,"重复",""))</x:f>
      </x:c>
      <x:c r="U1133" s="64" t="str">
        <x:f>IF(A1133="","",IF(T1133="重复","检查重复",IF(OR(R1133="有证据",R1133="有记录",R1133="持续跟踪"),"可追踪","检查")))</x:f>
      </x:c>
    </x:row>
    <x:row r="1134">
      <x:c r="A1134" s="62"/>
      <x:c r="B1134" s="62"/>
      <x:c r="C1134" s="62"/>
      <x:c r="D1134" s="66"/>
      <x:c r="E1134" s="68"/>
      <x:c r="F1134" s="62"/>
      <x:c r="G1134" s="62"/>
      <x:c r="H1134" s="62"/>
      <x:c r="I1134" s="62"/>
      <x:c r="J1134" s="62"/>
      <x:c r="K1134" s="62"/>
      <x:c r="L1134" s="62"/>
      <x:c r="M1134" s="68"/>
      <x:c r="N1134" s="68"/>
      <x:c r="O1134" s="68"/>
      <x:c r="P1134" s="71" t="str">
        <x:f>IF(A1134="","",IF(N1134&gt;0,N1134,M1134))</x:f>
      </x:c>
      <x:c r="Q1134" s="72" t="n">
        <x:f>IF(A1134="",0,IF(COUNTIF($A$5:A1134,A1134)=1,1,0))</x:f>
        <x:v>0</x:v>
      </x:c>
      <x:c r="R1134" s="64" t="str">
        <x:f>IF(A1134="","",IF(F1134="C1134成功",IF(AND(J1134&lt;&gt;"",K1134&lt;&gt;"",N1134&gt;0),"有证据","缺C1134证据"),IF(F1134="C1134发货确认中",IF(AND(J1134&lt;&gt;"",K1134&lt;&gt;""),"有证据","缺C1134证据"),IF(F1134="手动完结",IF(OR(L1134&lt;&gt;"",O1134&lt;&gt;"",S1134&lt;&gt;""),"有记录","缺手工证据"),IF(OR(F1134="卖出待补仓",F1134="提交结果待确认",F1134="异常待处理"),"持续跟踪","检查状态")))))</x:f>
      </x:c>
      <x:c r="T1134" s="64" t="str">
        <x:f>IF(A1134="","",IF(COUNTIF($A$5:$A$1204,A1134)&gt;1,"重复",""))</x:f>
      </x:c>
      <x:c r="U1134" s="64" t="str">
        <x:f>IF(A1134="","",IF(T1134="重复","检查重复",IF(OR(R1134="有证据",R1134="有记录",R1134="持续跟踪"),"可追踪","检查")))</x:f>
      </x:c>
    </x:row>
    <x:row r="1135">
      <x:c r="A1135" s="62"/>
      <x:c r="B1135" s="62"/>
      <x:c r="C1135" s="62"/>
      <x:c r="D1135" s="66"/>
      <x:c r="E1135" s="68"/>
      <x:c r="F1135" s="62"/>
      <x:c r="G1135" s="62"/>
      <x:c r="H1135" s="62"/>
      <x:c r="I1135" s="62"/>
      <x:c r="J1135" s="62"/>
      <x:c r="K1135" s="62"/>
      <x:c r="L1135" s="62"/>
      <x:c r="M1135" s="68"/>
      <x:c r="N1135" s="68"/>
      <x:c r="O1135" s="68"/>
      <x:c r="P1135" s="71" t="str">
        <x:f>IF(A1135="","",IF(N1135&gt;0,N1135,M1135))</x:f>
      </x:c>
      <x:c r="Q1135" s="72" t="n">
        <x:f>IF(A1135="",0,IF(COUNTIF($A$5:A1135,A1135)=1,1,0))</x:f>
        <x:v>0</x:v>
      </x:c>
      <x:c r="R1135" s="64" t="str">
        <x:f>IF(A1135="","",IF(F1135="C1135成功",IF(AND(J1135&lt;&gt;"",K1135&lt;&gt;"",N1135&gt;0),"有证据","缺C1135证据"),IF(F1135="C1135发货确认中",IF(AND(J1135&lt;&gt;"",K1135&lt;&gt;""),"有证据","缺C1135证据"),IF(F1135="手动完结",IF(OR(L1135&lt;&gt;"",O1135&lt;&gt;"",S1135&lt;&gt;""),"有记录","缺手工证据"),IF(OR(F1135="卖出待补仓",F1135="提交结果待确认",F1135="异常待处理"),"持续跟踪","检查状态")))))</x:f>
      </x:c>
      <x:c r="T1135" s="64" t="str">
        <x:f>IF(A1135="","",IF(COUNTIF($A$5:$A$1204,A1135)&gt;1,"重复",""))</x:f>
      </x:c>
      <x:c r="U1135" s="64" t="str">
        <x:f>IF(A1135="","",IF(T1135="重复","检查重复",IF(OR(R1135="有证据",R1135="有记录",R1135="持续跟踪"),"可追踪","检查")))</x:f>
      </x:c>
    </x:row>
    <x:row r="1136">
      <x:c r="A1136" s="62"/>
      <x:c r="B1136" s="62"/>
      <x:c r="C1136" s="62"/>
      <x:c r="D1136" s="66"/>
      <x:c r="E1136" s="68"/>
      <x:c r="F1136" s="62"/>
      <x:c r="G1136" s="62"/>
      <x:c r="H1136" s="62"/>
      <x:c r="I1136" s="62"/>
      <x:c r="J1136" s="62"/>
      <x:c r="K1136" s="62"/>
      <x:c r="L1136" s="62"/>
      <x:c r="M1136" s="68"/>
      <x:c r="N1136" s="68"/>
      <x:c r="O1136" s="68"/>
      <x:c r="P1136" s="71" t="str">
        <x:f>IF(A1136="","",IF(N1136&gt;0,N1136,M1136))</x:f>
      </x:c>
      <x:c r="Q1136" s="72" t="n">
        <x:f>IF(A1136="",0,IF(COUNTIF($A$5:A1136,A1136)=1,1,0))</x:f>
        <x:v>0</x:v>
      </x:c>
      <x:c r="R1136" s="64" t="str">
        <x:f>IF(A1136="","",IF(F1136="C1136成功",IF(AND(J1136&lt;&gt;"",K1136&lt;&gt;"",N1136&gt;0),"有证据","缺C1136证据"),IF(F1136="C1136发货确认中",IF(AND(J1136&lt;&gt;"",K1136&lt;&gt;""),"有证据","缺C1136证据"),IF(F1136="手动完结",IF(OR(L1136&lt;&gt;"",O1136&lt;&gt;"",S1136&lt;&gt;""),"有记录","缺手工证据"),IF(OR(F1136="卖出待补仓",F1136="提交结果待确认",F1136="异常待处理"),"持续跟踪","检查状态")))))</x:f>
      </x:c>
      <x:c r="T1136" s="64" t="str">
        <x:f>IF(A1136="","",IF(COUNTIF($A$5:$A$1204,A1136)&gt;1,"重复",""))</x:f>
      </x:c>
      <x:c r="U1136" s="64" t="str">
        <x:f>IF(A1136="","",IF(T1136="重复","检查重复",IF(OR(R1136="有证据",R1136="有记录",R1136="持续跟踪"),"可追踪","检查")))</x:f>
      </x:c>
    </x:row>
    <x:row r="1137">
      <x:c r="A1137" s="62"/>
      <x:c r="B1137" s="62"/>
      <x:c r="C1137" s="62"/>
      <x:c r="D1137" s="66"/>
      <x:c r="E1137" s="68"/>
      <x:c r="F1137" s="62"/>
      <x:c r="G1137" s="62"/>
      <x:c r="H1137" s="62"/>
      <x:c r="I1137" s="62"/>
      <x:c r="J1137" s="62"/>
      <x:c r="K1137" s="62"/>
      <x:c r="L1137" s="62"/>
      <x:c r="M1137" s="68"/>
      <x:c r="N1137" s="68"/>
      <x:c r="O1137" s="68"/>
      <x:c r="P1137" s="71" t="str">
        <x:f>IF(A1137="","",IF(N1137&gt;0,N1137,M1137))</x:f>
      </x:c>
      <x:c r="Q1137" s="72" t="n">
        <x:f>IF(A1137="",0,IF(COUNTIF($A$5:A1137,A1137)=1,1,0))</x:f>
        <x:v>0</x:v>
      </x:c>
      <x:c r="R1137" s="64" t="str">
        <x:f>IF(A1137="","",IF(F1137="C1137成功",IF(AND(J1137&lt;&gt;"",K1137&lt;&gt;"",N1137&gt;0),"有证据","缺C1137证据"),IF(F1137="C1137发货确认中",IF(AND(J1137&lt;&gt;"",K1137&lt;&gt;""),"有证据","缺C1137证据"),IF(F1137="手动完结",IF(OR(L1137&lt;&gt;"",O1137&lt;&gt;"",S1137&lt;&gt;""),"有记录","缺手工证据"),IF(OR(F1137="卖出待补仓",F1137="提交结果待确认",F1137="异常待处理"),"持续跟踪","检查状态")))))</x:f>
      </x:c>
      <x:c r="T1137" s="64" t="str">
        <x:f>IF(A1137="","",IF(COUNTIF($A$5:$A$1204,A1137)&gt;1,"重复",""))</x:f>
      </x:c>
      <x:c r="U1137" s="64" t="str">
        <x:f>IF(A1137="","",IF(T1137="重复","检查重复",IF(OR(R1137="有证据",R1137="有记录",R1137="持续跟踪"),"可追踪","检查")))</x:f>
      </x:c>
    </x:row>
    <x:row r="1138">
      <x:c r="A1138" s="62"/>
      <x:c r="B1138" s="62"/>
      <x:c r="C1138" s="62"/>
      <x:c r="D1138" s="66"/>
      <x:c r="E1138" s="68"/>
      <x:c r="F1138" s="62"/>
      <x:c r="G1138" s="62"/>
      <x:c r="H1138" s="62"/>
      <x:c r="I1138" s="62"/>
      <x:c r="J1138" s="62"/>
      <x:c r="K1138" s="62"/>
      <x:c r="L1138" s="62"/>
      <x:c r="M1138" s="68"/>
      <x:c r="N1138" s="68"/>
      <x:c r="O1138" s="68"/>
      <x:c r="P1138" s="71" t="str">
        <x:f>IF(A1138="","",IF(N1138&gt;0,N1138,M1138))</x:f>
      </x:c>
      <x:c r="Q1138" s="72" t="n">
        <x:f>IF(A1138="",0,IF(COUNTIF($A$5:A1138,A1138)=1,1,0))</x:f>
        <x:v>0</x:v>
      </x:c>
      <x:c r="R1138" s="64" t="str">
        <x:f>IF(A1138="","",IF(F1138="C1138成功",IF(AND(J1138&lt;&gt;"",K1138&lt;&gt;"",N1138&gt;0),"有证据","缺C1138证据"),IF(F1138="C1138发货确认中",IF(AND(J1138&lt;&gt;"",K1138&lt;&gt;""),"有证据","缺C1138证据"),IF(F1138="手动完结",IF(OR(L1138&lt;&gt;"",O1138&lt;&gt;"",S1138&lt;&gt;""),"有记录","缺手工证据"),IF(OR(F1138="卖出待补仓",F1138="提交结果待确认",F1138="异常待处理"),"持续跟踪","检查状态")))))</x:f>
      </x:c>
      <x:c r="T1138" s="64" t="str">
        <x:f>IF(A1138="","",IF(COUNTIF($A$5:$A$1204,A1138)&gt;1,"重复",""))</x:f>
      </x:c>
      <x:c r="U1138" s="64" t="str">
        <x:f>IF(A1138="","",IF(T1138="重复","检查重复",IF(OR(R1138="有证据",R1138="有记录",R1138="持续跟踪"),"可追踪","检查")))</x:f>
      </x:c>
    </x:row>
    <x:row r="1139">
      <x:c r="A1139" s="62"/>
      <x:c r="B1139" s="62"/>
      <x:c r="C1139" s="62"/>
      <x:c r="D1139" s="66"/>
      <x:c r="E1139" s="68"/>
      <x:c r="F1139" s="62"/>
      <x:c r="G1139" s="62"/>
      <x:c r="H1139" s="62"/>
      <x:c r="I1139" s="62"/>
      <x:c r="J1139" s="62"/>
      <x:c r="K1139" s="62"/>
      <x:c r="L1139" s="62"/>
      <x:c r="M1139" s="68"/>
      <x:c r="N1139" s="68"/>
      <x:c r="O1139" s="68"/>
      <x:c r="P1139" s="71" t="str">
        <x:f>IF(A1139="","",IF(N1139&gt;0,N1139,M1139))</x:f>
      </x:c>
      <x:c r="Q1139" s="72" t="n">
        <x:f>IF(A1139="",0,IF(COUNTIF($A$5:A1139,A1139)=1,1,0))</x:f>
        <x:v>0</x:v>
      </x:c>
      <x:c r="R1139" s="64" t="str">
        <x:f>IF(A1139="","",IF(F1139="C1139成功",IF(AND(J1139&lt;&gt;"",K1139&lt;&gt;"",N1139&gt;0),"有证据","缺C1139证据"),IF(F1139="C1139发货确认中",IF(AND(J1139&lt;&gt;"",K1139&lt;&gt;""),"有证据","缺C1139证据"),IF(F1139="手动完结",IF(OR(L1139&lt;&gt;"",O1139&lt;&gt;"",S1139&lt;&gt;""),"有记录","缺手工证据"),IF(OR(F1139="卖出待补仓",F1139="提交结果待确认",F1139="异常待处理"),"持续跟踪","检查状态")))))</x:f>
      </x:c>
      <x:c r="T1139" s="64" t="str">
        <x:f>IF(A1139="","",IF(COUNTIF($A$5:$A$1204,A1139)&gt;1,"重复",""))</x:f>
      </x:c>
      <x:c r="U1139" s="64" t="str">
        <x:f>IF(A1139="","",IF(T1139="重复","检查重复",IF(OR(R1139="有证据",R1139="有记录",R1139="持续跟踪"),"可追踪","检查")))</x:f>
      </x:c>
    </x:row>
    <x:row r="1140">
      <x:c r="A1140" s="62"/>
      <x:c r="B1140" s="62"/>
      <x:c r="C1140" s="62"/>
      <x:c r="D1140" s="66"/>
      <x:c r="E1140" s="68"/>
      <x:c r="F1140" s="62"/>
      <x:c r="G1140" s="62"/>
      <x:c r="H1140" s="62"/>
      <x:c r="I1140" s="62"/>
      <x:c r="J1140" s="62"/>
      <x:c r="K1140" s="62"/>
      <x:c r="L1140" s="62"/>
      <x:c r="M1140" s="68"/>
      <x:c r="N1140" s="68"/>
      <x:c r="O1140" s="68"/>
      <x:c r="P1140" s="71" t="str">
        <x:f>IF(A1140="","",IF(N1140&gt;0,N1140,M1140))</x:f>
      </x:c>
      <x:c r="Q1140" s="72" t="n">
        <x:f>IF(A1140="",0,IF(COUNTIF($A$5:A1140,A1140)=1,1,0))</x:f>
        <x:v>0</x:v>
      </x:c>
      <x:c r="R1140" s="64" t="str">
        <x:f>IF(A1140="","",IF(F1140="C1140成功",IF(AND(J1140&lt;&gt;"",K1140&lt;&gt;"",N1140&gt;0),"有证据","缺C1140证据"),IF(F1140="C1140发货确认中",IF(AND(J1140&lt;&gt;"",K1140&lt;&gt;""),"有证据","缺C1140证据"),IF(F1140="手动完结",IF(OR(L1140&lt;&gt;"",O1140&lt;&gt;"",S1140&lt;&gt;""),"有记录","缺手工证据"),IF(OR(F1140="卖出待补仓",F1140="提交结果待确认",F1140="异常待处理"),"持续跟踪","检查状态")))))</x:f>
      </x:c>
      <x:c r="T1140" s="64" t="str">
        <x:f>IF(A1140="","",IF(COUNTIF($A$5:$A$1204,A1140)&gt;1,"重复",""))</x:f>
      </x:c>
      <x:c r="U1140" s="64" t="str">
        <x:f>IF(A1140="","",IF(T1140="重复","检查重复",IF(OR(R1140="有证据",R1140="有记录",R1140="持续跟踪"),"可追踪","检查")))</x:f>
      </x:c>
    </x:row>
    <x:row r="1141">
      <x:c r="A1141" s="62"/>
      <x:c r="B1141" s="62"/>
      <x:c r="C1141" s="62"/>
      <x:c r="D1141" s="66"/>
      <x:c r="E1141" s="68"/>
      <x:c r="F1141" s="62"/>
      <x:c r="G1141" s="62"/>
      <x:c r="H1141" s="62"/>
      <x:c r="I1141" s="62"/>
      <x:c r="J1141" s="62"/>
      <x:c r="K1141" s="62"/>
      <x:c r="L1141" s="62"/>
      <x:c r="M1141" s="68"/>
      <x:c r="N1141" s="68"/>
      <x:c r="O1141" s="68"/>
      <x:c r="P1141" s="71" t="str">
        <x:f>IF(A1141="","",IF(N1141&gt;0,N1141,M1141))</x:f>
      </x:c>
      <x:c r="Q1141" s="72" t="n">
        <x:f>IF(A1141="",0,IF(COUNTIF($A$5:A1141,A1141)=1,1,0))</x:f>
        <x:v>0</x:v>
      </x:c>
      <x:c r="R1141" s="64" t="str">
        <x:f>IF(A1141="","",IF(F1141="C1141成功",IF(AND(J1141&lt;&gt;"",K1141&lt;&gt;"",N1141&gt;0),"有证据","缺C1141证据"),IF(F1141="C1141发货确认中",IF(AND(J1141&lt;&gt;"",K1141&lt;&gt;""),"有证据","缺C1141证据"),IF(F1141="手动完结",IF(OR(L1141&lt;&gt;"",O1141&lt;&gt;"",S1141&lt;&gt;""),"有记录","缺手工证据"),IF(OR(F1141="卖出待补仓",F1141="提交结果待确认",F1141="异常待处理"),"持续跟踪","检查状态")))))</x:f>
      </x:c>
      <x:c r="T1141" s="64" t="str">
        <x:f>IF(A1141="","",IF(COUNTIF($A$5:$A$1204,A1141)&gt;1,"重复",""))</x:f>
      </x:c>
      <x:c r="U1141" s="64" t="str">
        <x:f>IF(A1141="","",IF(T1141="重复","检查重复",IF(OR(R1141="有证据",R1141="有记录",R1141="持续跟踪"),"可追踪","检查")))</x:f>
      </x:c>
    </x:row>
    <x:row r="1142">
      <x:c r="A1142" s="62"/>
      <x:c r="B1142" s="62"/>
      <x:c r="C1142" s="62"/>
      <x:c r="D1142" s="66"/>
      <x:c r="E1142" s="68"/>
      <x:c r="F1142" s="62"/>
      <x:c r="G1142" s="62"/>
      <x:c r="H1142" s="62"/>
      <x:c r="I1142" s="62"/>
      <x:c r="J1142" s="62"/>
      <x:c r="K1142" s="62"/>
      <x:c r="L1142" s="62"/>
      <x:c r="M1142" s="68"/>
      <x:c r="N1142" s="68"/>
      <x:c r="O1142" s="68"/>
      <x:c r="P1142" s="71" t="str">
        <x:f>IF(A1142="","",IF(N1142&gt;0,N1142,M1142))</x:f>
      </x:c>
      <x:c r="Q1142" s="72" t="n">
        <x:f>IF(A1142="",0,IF(COUNTIF($A$5:A1142,A1142)=1,1,0))</x:f>
        <x:v>0</x:v>
      </x:c>
      <x:c r="R1142" s="64" t="str">
        <x:f>IF(A1142="","",IF(F1142="C1142成功",IF(AND(J1142&lt;&gt;"",K1142&lt;&gt;"",N1142&gt;0),"有证据","缺C1142证据"),IF(F1142="C1142发货确认中",IF(AND(J1142&lt;&gt;"",K1142&lt;&gt;""),"有证据","缺C1142证据"),IF(F1142="手动完结",IF(OR(L1142&lt;&gt;"",O1142&lt;&gt;"",S1142&lt;&gt;""),"有记录","缺手工证据"),IF(OR(F1142="卖出待补仓",F1142="提交结果待确认",F1142="异常待处理"),"持续跟踪","检查状态")))))</x:f>
      </x:c>
      <x:c r="T1142" s="64" t="str">
        <x:f>IF(A1142="","",IF(COUNTIF($A$5:$A$1204,A1142)&gt;1,"重复",""))</x:f>
      </x:c>
      <x:c r="U1142" s="64" t="str">
        <x:f>IF(A1142="","",IF(T1142="重复","检查重复",IF(OR(R1142="有证据",R1142="有记录",R1142="持续跟踪"),"可追踪","检查")))</x:f>
      </x:c>
    </x:row>
    <x:row r="1143">
      <x:c r="A1143" s="62"/>
      <x:c r="B1143" s="62"/>
      <x:c r="C1143" s="62"/>
      <x:c r="D1143" s="66"/>
      <x:c r="E1143" s="68"/>
      <x:c r="F1143" s="62"/>
      <x:c r="G1143" s="62"/>
      <x:c r="H1143" s="62"/>
      <x:c r="I1143" s="62"/>
      <x:c r="J1143" s="62"/>
      <x:c r="K1143" s="62"/>
      <x:c r="L1143" s="62"/>
      <x:c r="M1143" s="68"/>
      <x:c r="N1143" s="68"/>
      <x:c r="O1143" s="68"/>
      <x:c r="P1143" s="71" t="str">
        <x:f>IF(A1143="","",IF(N1143&gt;0,N1143,M1143))</x:f>
      </x:c>
      <x:c r="Q1143" s="72" t="n">
        <x:f>IF(A1143="",0,IF(COUNTIF($A$5:A1143,A1143)=1,1,0))</x:f>
        <x:v>0</x:v>
      </x:c>
      <x:c r="R1143" s="64" t="str">
        <x:f>IF(A1143="","",IF(F1143="C1143成功",IF(AND(J1143&lt;&gt;"",K1143&lt;&gt;"",N1143&gt;0),"有证据","缺C1143证据"),IF(F1143="C1143发货确认中",IF(AND(J1143&lt;&gt;"",K1143&lt;&gt;""),"有证据","缺C1143证据"),IF(F1143="手动完结",IF(OR(L1143&lt;&gt;"",O1143&lt;&gt;"",S1143&lt;&gt;""),"有记录","缺手工证据"),IF(OR(F1143="卖出待补仓",F1143="提交结果待确认",F1143="异常待处理"),"持续跟踪","检查状态")))))</x:f>
      </x:c>
      <x:c r="T1143" s="64" t="str">
        <x:f>IF(A1143="","",IF(COUNTIF($A$5:$A$1204,A1143)&gt;1,"重复",""))</x:f>
      </x:c>
      <x:c r="U1143" s="64" t="str">
        <x:f>IF(A1143="","",IF(T1143="重复","检查重复",IF(OR(R1143="有证据",R1143="有记录",R1143="持续跟踪"),"可追踪","检查")))</x:f>
      </x:c>
    </x:row>
    <x:row r="1144">
      <x:c r="A1144" s="62"/>
      <x:c r="B1144" s="62"/>
      <x:c r="C1144" s="62"/>
      <x:c r="D1144" s="66"/>
      <x:c r="E1144" s="68"/>
      <x:c r="F1144" s="62"/>
      <x:c r="G1144" s="62"/>
      <x:c r="H1144" s="62"/>
      <x:c r="I1144" s="62"/>
      <x:c r="J1144" s="62"/>
      <x:c r="K1144" s="62"/>
      <x:c r="L1144" s="62"/>
      <x:c r="M1144" s="68"/>
      <x:c r="N1144" s="68"/>
      <x:c r="O1144" s="68"/>
      <x:c r="P1144" s="71" t="str">
        <x:f>IF(A1144="","",IF(N1144&gt;0,N1144,M1144))</x:f>
      </x:c>
      <x:c r="Q1144" s="72" t="n">
        <x:f>IF(A1144="",0,IF(COUNTIF($A$5:A1144,A1144)=1,1,0))</x:f>
        <x:v>0</x:v>
      </x:c>
      <x:c r="R1144" s="64" t="str">
        <x:f>IF(A1144="","",IF(F1144="C1144成功",IF(AND(J1144&lt;&gt;"",K1144&lt;&gt;"",N1144&gt;0),"有证据","缺C1144证据"),IF(F1144="C1144发货确认中",IF(AND(J1144&lt;&gt;"",K1144&lt;&gt;""),"有证据","缺C1144证据"),IF(F1144="手动完结",IF(OR(L1144&lt;&gt;"",O1144&lt;&gt;"",S1144&lt;&gt;""),"有记录","缺手工证据"),IF(OR(F1144="卖出待补仓",F1144="提交结果待确认",F1144="异常待处理"),"持续跟踪","检查状态")))))</x:f>
      </x:c>
      <x:c r="T1144" s="64" t="str">
        <x:f>IF(A1144="","",IF(COUNTIF($A$5:$A$1204,A1144)&gt;1,"重复",""))</x:f>
      </x:c>
      <x:c r="U1144" s="64" t="str">
        <x:f>IF(A1144="","",IF(T1144="重复","检查重复",IF(OR(R1144="有证据",R1144="有记录",R1144="持续跟踪"),"可追踪","检查")))</x:f>
      </x:c>
    </x:row>
    <x:row r="1145">
      <x:c r="A1145" s="62"/>
      <x:c r="B1145" s="62"/>
      <x:c r="C1145" s="62"/>
      <x:c r="D1145" s="66"/>
      <x:c r="E1145" s="68"/>
      <x:c r="F1145" s="62"/>
      <x:c r="G1145" s="62"/>
      <x:c r="H1145" s="62"/>
      <x:c r="I1145" s="62"/>
      <x:c r="J1145" s="62"/>
      <x:c r="K1145" s="62"/>
      <x:c r="L1145" s="62"/>
      <x:c r="M1145" s="68"/>
      <x:c r="N1145" s="68"/>
      <x:c r="O1145" s="68"/>
      <x:c r="P1145" s="71" t="str">
        <x:f>IF(A1145="","",IF(N1145&gt;0,N1145,M1145))</x:f>
      </x:c>
      <x:c r="Q1145" s="72" t="n">
        <x:f>IF(A1145="",0,IF(COUNTIF($A$5:A1145,A1145)=1,1,0))</x:f>
        <x:v>0</x:v>
      </x:c>
      <x:c r="R1145" s="64" t="str">
        <x:f>IF(A1145="","",IF(F1145="C1145成功",IF(AND(J1145&lt;&gt;"",K1145&lt;&gt;"",N1145&gt;0),"有证据","缺C1145证据"),IF(F1145="C1145发货确认中",IF(AND(J1145&lt;&gt;"",K1145&lt;&gt;""),"有证据","缺C1145证据"),IF(F1145="手动完结",IF(OR(L1145&lt;&gt;"",O1145&lt;&gt;"",S1145&lt;&gt;""),"有记录","缺手工证据"),IF(OR(F1145="卖出待补仓",F1145="提交结果待确认",F1145="异常待处理"),"持续跟踪","检查状态")))))</x:f>
      </x:c>
      <x:c r="T1145" s="64" t="str">
        <x:f>IF(A1145="","",IF(COUNTIF($A$5:$A$1204,A1145)&gt;1,"重复",""))</x:f>
      </x:c>
      <x:c r="U1145" s="64" t="str">
        <x:f>IF(A1145="","",IF(T1145="重复","检查重复",IF(OR(R1145="有证据",R1145="有记录",R1145="持续跟踪"),"可追踪","检查")))</x:f>
      </x:c>
    </x:row>
    <x:row r="1146">
      <x:c r="A1146" s="62"/>
      <x:c r="B1146" s="62"/>
      <x:c r="C1146" s="62"/>
      <x:c r="D1146" s="66"/>
      <x:c r="E1146" s="68"/>
      <x:c r="F1146" s="62"/>
      <x:c r="G1146" s="62"/>
      <x:c r="H1146" s="62"/>
      <x:c r="I1146" s="62"/>
      <x:c r="J1146" s="62"/>
      <x:c r="K1146" s="62"/>
      <x:c r="L1146" s="62"/>
      <x:c r="M1146" s="68"/>
      <x:c r="N1146" s="68"/>
      <x:c r="O1146" s="68"/>
      <x:c r="P1146" s="71" t="str">
        <x:f>IF(A1146="","",IF(N1146&gt;0,N1146,M1146))</x:f>
      </x:c>
      <x:c r="Q1146" s="72" t="n">
        <x:f>IF(A1146="",0,IF(COUNTIF($A$5:A1146,A1146)=1,1,0))</x:f>
        <x:v>0</x:v>
      </x:c>
      <x:c r="R1146" s="64" t="str">
        <x:f>IF(A1146="","",IF(F1146="C1146成功",IF(AND(J1146&lt;&gt;"",K1146&lt;&gt;"",N1146&gt;0),"有证据","缺C1146证据"),IF(F1146="C1146发货确认中",IF(AND(J1146&lt;&gt;"",K1146&lt;&gt;""),"有证据","缺C1146证据"),IF(F1146="手动完结",IF(OR(L1146&lt;&gt;"",O1146&lt;&gt;"",S1146&lt;&gt;""),"有记录","缺手工证据"),IF(OR(F1146="卖出待补仓",F1146="提交结果待确认",F1146="异常待处理"),"持续跟踪","检查状态")))))</x:f>
      </x:c>
      <x:c r="T1146" s="64" t="str">
        <x:f>IF(A1146="","",IF(COUNTIF($A$5:$A$1204,A1146)&gt;1,"重复",""))</x:f>
      </x:c>
      <x:c r="U1146" s="64" t="str">
        <x:f>IF(A1146="","",IF(T1146="重复","检查重复",IF(OR(R1146="有证据",R1146="有记录",R1146="持续跟踪"),"可追踪","检查")))</x:f>
      </x:c>
    </x:row>
    <x:row r="1147">
      <x:c r="A1147" s="62"/>
      <x:c r="B1147" s="62"/>
      <x:c r="C1147" s="62"/>
      <x:c r="D1147" s="66"/>
      <x:c r="E1147" s="68"/>
      <x:c r="F1147" s="62"/>
      <x:c r="G1147" s="62"/>
      <x:c r="H1147" s="62"/>
      <x:c r="I1147" s="62"/>
      <x:c r="J1147" s="62"/>
      <x:c r="K1147" s="62"/>
      <x:c r="L1147" s="62"/>
      <x:c r="M1147" s="68"/>
      <x:c r="N1147" s="68"/>
      <x:c r="O1147" s="68"/>
      <x:c r="P1147" s="71" t="str">
        <x:f>IF(A1147="","",IF(N1147&gt;0,N1147,M1147))</x:f>
      </x:c>
      <x:c r="Q1147" s="72" t="n">
        <x:f>IF(A1147="",0,IF(COUNTIF($A$5:A1147,A1147)=1,1,0))</x:f>
        <x:v>0</x:v>
      </x:c>
      <x:c r="R1147" s="64" t="str">
        <x:f>IF(A1147="","",IF(F1147="C1147成功",IF(AND(J1147&lt;&gt;"",K1147&lt;&gt;"",N1147&gt;0),"有证据","缺C1147证据"),IF(F1147="C1147发货确认中",IF(AND(J1147&lt;&gt;"",K1147&lt;&gt;""),"有证据","缺C1147证据"),IF(F1147="手动完结",IF(OR(L1147&lt;&gt;"",O1147&lt;&gt;"",S1147&lt;&gt;""),"有记录","缺手工证据"),IF(OR(F1147="卖出待补仓",F1147="提交结果待确认",F1147="异常待处理"),"持续跟踪","检查状态")))))</x:f>
      </x:c>
      <x:c r="T1147" s="64" t="str">
        <x:f>IF(A1147="","",IF(COUNTIF($A$5:$A$1204,A1147)&gt;1,"重复",""))</x:f>
      </x:c>
      <x:c r="U1147" s="64" t="str">
        <x:f>IF(A1147="","",IF(T1147="重复","检查重复",IF(OR(R1147="有证据",R1147="有记录",R1147="持续跟踪"),"可追踪","检查")))</x:f>
      </x:c>
    </x:row>
    <x:row r="1148">
      <x:c r="A1148" s="62"/>
      <x:c r="B1148" s="62"/>
      <x:c r="C1148" s="62"/>
      <x:c r="D1148" s="66"/>
      <x:c r="E1148" s="68"/>
      <x:c r="F1148" s="62"/>
      <x:c r="G1148" s="62"/>
      <x:c r="H1148" s="62"/>
      <x:c r="I1148" s="62"/>
      <x:c r="J1148" s="62"/>
      <x:c r="K1148" s="62"/>
      <x:c r="L1148" s="62"/>
      <x:c r="M1148" s="68"/>
      <x:c r="N1148" s="68"/>
      <x:c r="O1148" s="68"/>
      <x:c r="P1148" s="71" t="str">
        <x:f>IF(A1148="","",IF(N1148&gt;0,N1148,M1148))</x:f>
      </x:c>
      <x:c r="Q1148" s="72" t="n">
        <x:f>IF(A1148="",0,IF(COUNTIF($A$5:A1148,A1148)=1,1,0))</x:f>
        <x:v>0</x:v>
      </x:c>
      <x:c r="R1148" s="64" t="str">
        <x:f>IF(A1148="","",IF(F1148="C1148成功",IF(AND(J1148&lt;&gt;"",K1148&lt;&gt;"",N1148&gt;0),"有证据","缺C1148证据"),IF(F1148="C1148发货确认中",IF(AND(J1148&lt;&gt;"",K1148&lt;&gt;""),"有证据","缺C1148证据"),IF(F1148="手动完结",IF(OR(L1148&lt;&gt;"",O1148&lt;&gt;"",S1148&lt;&gt;""),"有记录","缺手工证据"),IF(OR(F1148="卖出待补仓",F1148="提交结果待确认",F1148="异常待处理"),"持续跟踪","检查状态")))))</x:f>
      </x:c>
      <x:c r="T1148" s="64" t="str">
        <x:f>IF(A1148="","",IF(COUNTIF($A$5:$A$1204,A1148)&gt;1,"重复",""))</x:f>
      </x:c>
      <x:c r="U1148" s="64" t="str">
        <x:f>IF(A1148="","",IF(T1148="重复","检查重复",IF(OR(R1148="有证据",R1148="有记录",R1148="持续跟踪"),"可追踪","检查")))</x:f>
      </x:c>
    </x:row>
    <x:row r="1149">
      <x:c r="A1149" s="62"/>
      <x:c r="B1149" s="62"/>
      <x:c r="C1149" s="62"/>
      <x:c r="D1149" s="66"/>
      <x:c r="E1149" s="68"/>
      <x:c r="F1149" s="62"/>
      <x:c r="G1149" s="62"/>
      <x:c r="H1149" s="62"/>
      <x:c r="I1149" s="62"/>
      <x:c r="J1149" s="62"/>
      <x:c r="K1149" s="62"/>
      <x:c r="L1149" s="62"/>
      <x:c r="M1149" s="68"/>
      <x:c r="N1149" s="68"/>
      <x:c r="O1149" s="68"/>
      <x:c r="P1149" s="71" t="str">
        <x:f>IF(A1149="","",IF(N1149&gt;0,N1149,M1149))</x:f>
      </x:c>
      <x:c r="Q1149" s="72" t="n">
        <x:f>IF(A1149="",0,IF(COUNTIF($A$5:A1149,A1149)=1,1,0))</x:f>
        <x:v>0</x:v>
      </x:c>
      <x:c r="R1149" s="64" t="str">
        <x:f>IF(A1149="","",IF(F1149="C1149成功",IF(AND(J1149&lt;&gt;"",K1149&lt;&gt;"",N1149&gt;0),"有证据","缺C1149证据"),IF(F1149="C1149发货确认中",IF(AND(J1149&lt;&gt;"",K1149&lt;&gt;""),"有证据","缺C1149证据"),IF(F1149="手动完结",IF(OR(L1149&lt;&gt;"",O1149&lt;&gt;"",S1149&lt;&gt;""),"有记录","缺手工证据"),IF(OR(F1149="卖出待补仓",F1149="提交结果待确认",F1149="异常待处理"),"持续跟踪","检查状态")))))</x:f>
      </x:c>
      <x:c r="T1149" s="64" t="str">
        <x:f>IF(A1149="","",IF(COUNTIF($A$5:$A$1204,A1149)&gt;1,"重复",""))</x:f>
      </x:c>
      <x:c r="U1149" s="64" t="str">
        <x:f>IF(A1149="","",IF(T1149="重复","检查重复",IF(OR(R1149="有证据",R1149="有记录",R1149="持续跟踪"),"可追踪","检查")))</x:f>
      </x:c>
    </x:row>
    <x:row r="1150">
      <x:c r="A1150" s="62"/>
      <x:c r="B1150" s="62"/>
      <x:c r="C1150" s="62"/>
      <x:c r="D1150" s="66"/>
      <x:c r="E1150" s="68"/>
      <x:c r="F1150" s="62"/>
      <x:c r="G1150" s="62"/>
      <x:c r="H1150" s="62"/>
      <x:c r="I1150" s="62"/>
      <x:c r="J1150" s="62"/>
      <x:c r="K1150" s="62"/>
      <x:c r="L1150" s="62"/>
      <x:c r="M1150" s="68"/>
      <x:c r="N1150" s="68"/>
      <x:c r="O1150" s="68"/>
      <x:c r="P1150" s="71" t="str">
        <x:f>IF(A1150="","",IF(N1150&gt;0,N1150,M1150))</x:f>
      </x:c>
      <x:c r="Q1150" s="72" t="n">
        <x:f>IF(A1150="",0,IF(COUNTIF($A$5:A1150,A1150)=1,1,0))</x:f>
        <x:v>0</x:v>
      </x:c>
      <x:c r="R1150" s="64" t="str">
        <x:f>IF(A1150="","",IF(F1150="C1150成功",IF(AND(J1150&lt;&gt;"",K1150&lt;&gt;"",N1150&gt;0),"有证据","缺C1150证据"),IF(F1150="C1150发货确认中",IF(AND(J1150&lt;&gt;"",K1150&lt;&gt;""),"有证据","缺C1150证据"),IF(F1150="手动完结",IF(OR(L1150&lt;&gt;"",O1150&lt;&gt;"",S1150&lt;&gt;""),"有记录","缺手工证据"),IF(OR(F1150="卖出待补仓",F1150="提交结果待确认",F1150="异常待处理"),"持续跟踪","检查状态")))))</x:f>
      </x:c>
      <x:c r="T1150" s="64" t="str">
        <x:f>IF(A1150="","",IF(COUNTIF($A$5:$A$1204,A1150)&gt;1,"重复",""))</x:f>
      </x:c>
      <x:c r="U1150" s="64" t="str">
        <x:f>IF(A1150="","",IF(T1150="重复","检查重复",IF(OR(R1150="有证据",R1150="有记录",R1150="持续跟踪"),"可追踪","检查")))</x:f>
      </x:c>
    </x:row>
    <x:row r="1151">
      <x:c r="A1151" s="62"/>
      <x:c r="B1151" s="62"/>
      <x:c r="C1151" s="62"/>
      <x:c r="D1151" s="66"/>
      <x:c r="E1151" s="68"/>
      <x:c r="F1151" s="62"/>
      <x:c r="G1151" s="62"/>
      <x:c r="H1151" s="62"/>
      <x:c r="I1151" s="62"/>
      <x:c r="J1151" s="62"/>
      <x:c r="K1151" s="62"/>
      <x:c r="L1151" s="62"/>
      <x:c r="M1151" s="68"/>
      <x:c r="N1151" s="68"/>
      <x:c r="O1151" s="68"/>
      <x:c r="P1151" s="71" t="str">
        <x:f>IF(A1151="","",IF(N1151&gt;0,N1151,M1151))</x:f>
      </x:c>
      <x:c r="Q1151" s="72" t="n">
        <x:f>IF(A1151="",0,IF(COUNTIF($A$5:A1151,A1151)=1,1,0))</x:f>
        <x:v>0</x:v>
      </x:c>
      <x:c r="R1151" s="64" t="str">
        <x:f>IF(A1151="","",IF(F1151="C1151成功",IF(AND(J1151&lt;&gt;"",K1151&lt;&gt;"",N1151&gt;0),"有证据","缺C1151证据"),IF(F1151="C1151发货确认中",IF(AND(J1151&lt;&gt;"",K1151&lt;&gt;""),"有证据","缺C1151证据"),IF(F1151="手动完结",IF(OR(L1151&lt;&gt;"",O1151&lt;&gt;"",S1151&lt;&gt;""),"有记录","缺手工证据"),IF(OR(F1151="卖出待补仓",F1151="提交结果待确认",F1151="异常待处理"),"持续跟踪","检查状态")))))</x:f>
      </x:c>
      <x:c r="T1151" s="64" t="str">
        <x:f>IF(A1151="","",IF(COUNTIF($A$5:$A$1204,A1151)&gt;1,"重复",""))</x:f>
      </x:c>
      <x:c r="U1151" s="64" t="str">
        <x:f>IF(A1151="","",IF(T1151="重复","检查重复",IF(OR(R1151="有证据",R1151="有记录",R1151="持续跟踪"),"可追踪","检查")))</x:f>
      </x:c>
    </x:row>
    <x:row r="1152">
      <x:c r="A1152" s="62"/>
      <x:c r="B1152" s="62"/>
      <x:c r="C1152" s="62"/>
      <x:c r="D1152" s="66"/>
      <x:c r="E1152" s="68"/>
      <x:c r="F1152" s="62"/>
      <x:c r="G1152" s="62"/>
      <x:c r="H1152" s="62"/>
      <x:c r="I1152" s="62"/>
      <x:c r="J1152" s="62"/>
      <x:c r="K1152" s="62"/>
      <x:c r="L1152" s="62"/>
      <x:c r="M1152" s="68"/>
      <x:c r="N1152" s="68"/>
      <x:c r="O1152" s="68"/>
      <x:c r="P1152" s="71" t="str">
        <x:f>IF(A1152="","",IF(N1152&gt;0,N1152,M1152))</x:f>
      </x:c>
      <x:c r="Q1152" s="72" t="n">
        <x:f>IF(A1152="",0,IF(COUNTIF($A$5:A1152,A1152)=1,1,0))</x:f>
        <x:v>0</x:v>
      </x:c>
      <x:c r="R1152" s="64" t="str">
        <x:f>IF(A1152="","",IF(F1152="C1152成功",IF(AND(J1152&lt;&gt;"",K1152&lt;&gt;"",N1152&gt;0),"有证据","缺C1152证据"),IF(F1152="C1152发货确认中",IF(AND(J1152&lt;&gt;"",K1152&lt;&gt;""),"有证据","缺C1152证据"),IF(F1152="手动完结",IF(OR(L1152&lt;&gt;"",O1152&lt;&gt;"",S1152&lt;&gt;""),"有记录","缺手工证据"),IF(OR(F1152="卖出待补仓",F1152="提交结果待确认",F1152="异常待处理"),"持续跟踪","检查状态")))))</x:f>
      </x:c>
      <x:c r="T1152" s="64" t="str">
        <x:f>IF(A1152="","",IF(COUNTIF($A$5:$A$1204,A1152)&gt;1,"重复",""))</x:f>
      </x:c>
      <x:c r="U1152" s="64" t="str">
        <x:f>IF(A1152="","",IF(T1152="重复","检查重复",IF(OR(R1152="有证据",R1152="有记录",R1152="持续跟踪"),"可追踪","检查")))</x:f>
      </x:c>
    </x:row>
    <x:row r="1153">
      <x:c r="A1153" s="62"/>
      <x:c r="B1153" s="62"/>
      <x:c r="C1153" s="62"/>
      <x:c r="D1153" s="66"/>
      <x:c r="E1153" s="68"/>
      <x:c r="F1153" s="62"/>
      <x:c r="G1153" s="62"/>
      <x:c r="H1153" s="62"/>
      <x:c r="I1153" s="62"/>
      <x:c r="J1153" s="62"/>
      <x:c r="K1153" s="62"/>
      <x:c r="L1153" s="62"/>
      <x:c r="M1153" s="68"/>
      <x:c r="N1153" s="68"/>
      <x:c r="O1153" s="68"/>
      <x:c r="P1153" s="71" t="str">
        <x:f>IF(A1153="","",IF(N1153&gt;0,N1153,M1153))</x:f>
      </x:c>
      <x:c r="Q1153" s="72" t="n">
        <x:f>IF(A1153="",0,IF(COUNTIF($A$5:A1153,A1153)=1,1,0))</x:f>
        <x:v>0</x:v>
      </x:c>
      <x:c r="R1153" s="64" t="str">
        <x:f>IF(A1153="","",IF(F1153="C1153成功",IF(AND(J1153&lt;&gt;"",K1153&lt;&gt;"",N1153&gt;0),"有证据","缺C1153证据"),IF(F1153="C1153发货确认中",IF(AND(J1153&lt;&gt;"",K1153&lt;&gt;""),"有证据","缺C1153证据"),IF(F1153="手动完结",IF(OR(L1153&lt;&gt;"",O1153&lt;&gt;"",S1153&lt;&gt;""),"有记录","缺手工证据"),IF(OR(F1153="卖出待补仓",F1153="提交结果待确认",F1153="异常待处理"),"持续跟踪","检查状态")))))</x:f>
      </x:c>
      <x:c r="T1153" s="64" t="str">
        <x:f>IF(A1153="","",IF(COUNTIF($A$5:$A$1204,A1153)&gt;1,"重复",""))</x:f>
      </x:c>
      <x:c r="U1153" s="64" t="str">
        <x:f>IF(A1153="","",IF(T1153="重复","检查重复",IF(OR(R1153="有证据",R1153="有记录",R1153="持续跟踪"),"可追踪","检查")))</x:f>
      </x:c>
    </x:row>
    <x:row r="1154">
      <x:c r="A1154" s="62"/>
      <x:c r="B1154" s="62"/>
      <x:c r="C1154" s="62"/>
      <x:c r="D1154" s="66"/>
      <x:c r="E1154" s="68"/>
      <x:c r="F1154" s="62"/>
      <x:c r="G1154" s="62"/>
      <x:c r="H1154" s="62"/>
      <x:c r="I1154" s="62"/>
      <x:c r="J1154" s="62"/>
      <x:c r="K1154" s="62"/>
      <x:c r="L1154" s="62"/>
      <x:c r="M1154" s="68"/>
      <x:c r="N1154" s="68"/>
      <x:c r="O1154" s="68"/>
      <x:c r="P1154" s="71" t="str">
        <x:f>IF(A1154="","",IF(N1154&gt;0,N1154,M1154))</x:f>
      </x:c>
      <x:c r="Q1154" s="72" t="n">
        <x:f>IF(A1154="",0,IF(COUNTIF($A$5:A1154,A1154)=1,1,0))</x:f>
        <x:v>0</x:v>
      </x:c>
      <x:c r="R1154" s="64" t="str">
        <x:f>IF(A1154="","",IF(F1154="C1154成功",IF(AND(J1154&lt;&gt;"",K1154&lt;&gt;"",N1154&gt;0),"有证据","缺C1154证据"),IF(F1154="C1154发货确认中",IF(AND(J1154&lt;&gt;"",K1154&lt;&gt;""),"有证据","缺C1154证据"),IF(F1154="手动完结",IF(OR(L1154&lt;&gt;"",O1154&lt;&gt;"",S1154&lt;&gt;""),"有记录","缺手工证据"),IF(OR(F1154="卖出待补仓",F1154="提交结果待确认",F1154="异常待处理"),"持续跟踪","检查状态")))))</x:f>
      </x:c>
      <x:c r="T1154" s="64" t="str">
        <x:f>IF(A1154="","",IF(COUNTIF($A$5:$A$1204,A1154)&gt;1,"重复",""))</x:f>
      </x:c>
      <x:c r="U1154" s="64" t="str">
        <x:f>IF(A1154="","",IF(T1154="重复","检查重复",IF(OR(R1154="有证据",R1154="有记录",R1154="持续跟踪"),"可追踪","检查")))</x:f>
      </x:c>
    </x:row>
    <x:row r="1155">
      <x:c r="A1155" s="62"/>
      <x:c r="B1155" s="62"/>
      <x:c r="C1155" s="62"/>
      <x:c r="D1155" s="66"/>
      <x:c r="E1155" s="68"/>
      <x:c r="F1155" s="62"/>
      <x:c r="G1155" s="62"/>
      <x:c r="H1155" s="62"/>
      <x:c r="I1155" s="62"/>
      <x:c r="J1155" s="62"/>
      <x:c r="K1155" s="62"/>
      <x:c r="L1155" s="62"/>
      <x:c r="M1155" s="68"/>
      <x:c r="N1155" s="68"/>
      <x:c r="O1155" s="68"/>
      <x:c r="P1155" s="71" t="str">
        <x:f>IF(A1155="","",IF(N1155&gt;0,N1155,M1155))</x:f>
      </x:c>
      <x:c r="Q1155" s="72" t="n">
        <x:f>IF(A1155="",0,IF(COUNTIF($A$5:A1155,A1155)=1,1,0))</x:f>
        <x:v>0</x:v>
      </x:c>
      <x:c r="R1155" s="64" t="str">
        <x:f>IF(A1155="","",IF(F1155="C1155成功",IF(AND(J1155&lt;&gt;"",K1155&lt;&gt;"",N1155&gt;0),"有证据","缺C1155证据"),IF(F1155="C1155发货确认中",IF(AND(J1155&lt;&gt;"",K1155&lt;&gt;""),"有证据","缺C1155证据"),IF(F1155="手动完结",IF(OR(L1155&lt;&gt;"",O1155&lt;&gt;"",S1155&lt;&gt;""),"有记录","缺手工证据"),IF(OR(F1155="卖出待补仓",F1155="提交结果待确认",F1155="异常待处理"),"持续跟踪","检查状态")))))</x:f>
      </x:c>
      <x:c r="T1155" s="64" t="str">
        <x:f>IF(A1155="","",IF(COUNTIF($A$5:$A$1204,A1155)&gt;1,"重复",""))</x:f>
      </x:c>
      <x:c r="U1155" s="64" t="str">
        <x:f>IF(A1155="","",IF(T1155="重复","检查重复",IF(OR(R1155="有证据",R1155="有记录",R1155="持续跟踪"),"可追踪","检查")))</x:f>
      </x:c>
    </x:row>
    <x:row r="1156">
      <x:c r="A1156" s="62"/>
      <x:c r="B1156" s="62"/>
      <x:c r="C1156" s="62"/>
      <x:c r="D1156" s="66"/>
      <x:c r="E1156" s="68"/>
      <x:c r="F1156" s="62"/>
      <x:c r="G1156" s="62"/>
      <x:c r="H1156" s="62"/>
      <x:c r="I1156" s="62"/>
      <x:c r="J1156" s="62"/>
      <x:c r="K1156" s="62"/>
      <x:c r="L1156" s="62"/>
      <x:c r="M1156" s="68"/>
      <x:c r="N1156" s="68"/>
      <x:c r="O1156" s="68"/>
      <x:c r="P1156" s="71" t="str">
        <x:f>IF(A1156="","",IF(N1156&gt;0,N1156,M1156))</x:f>
      </x:c>
      <x:c r="Q1156" s="72" t="n">
        <x:f>IF(A1156="",0,IF(COUNTIF($A$5:A1156,A1156)=1,1,0))</x:f>
        <x:v>0</x:v>
      </x:c>
      <x:c r="R1156" s="64" t="str">
        <x:f>IF(A1156="","",IF(F1156="C1156成功",IF(AND(J1156&lt;&gt;"",K1156&lt;&gt;"",N1156&gt;0),"有证据","缺C1156证据"),IF(F1156="C1156发货确认中",IF(AND(J1156&lt;&gt;"",K1156&lt;&gt;""),"有证据","缺C1156证据"),IF(F1156="手动完结",IF(OR(L1156&lt;&gt;"",O1156&lt;&gt;"",S1156&lt;&gt;""),"有记录","缺手工证据"),IF(OR(F1156="卖出待补仓",F1156="提交结果待确认",F1156="异常待处理"),"持续跟踪","检查状态")))))</x:f>
      </x:c>
      <x:c r="T1156" s="64" t="str">
        <x:f>IF(A1156="","",IF(COUNTIF($A$5:$A$1204,A1156)&gt;1,"重复",""))</x:f>
      </x:c>
      <x:c r="U1156" s="64" t="str">
        <x:f>IF(A1156="","",IF(T1156="重复","检查重复",IF(OR(R1156="有证据",R1156="有记录",R1156="持续跟踪"),"可追踪","检查")))</x:f>
      </x:c>
    </x:row>
    <x:row r="1157">
      <x:c r="A1157" s="62"/>
      <x:c r="B1157" s="62"/>
      <x:c r="C1157" s="62"/>
      <x:c r="D1157" s="66"/>
      <x:c r="E1157" s="68"/>
      <x:c r="F1157" s="62"/>
      <x:c r="G1157" s="62"/>
      <x:c r="H1157" s="62"/>
      <x:c r="I1157" s="62"/>
      <x:c r="J1157" s="62"/>
      <x:c r="K1157" s="62"/>
      <x:c r="L1157" s="62"/>
      <x:c r="M1157" s="68"/>
      <x:c r="N1157" s="68"/>
      <x:c r="O1157" s="68"/>
      <x:c r="P1157" s="71" t="str">
        <x:f>IF(A1157="","",IF(N1157&gt;0,N1157,M1157))</x:f>
      </x:c>
      <x:c r="Q1157" s="72" t="n">
        <x:f>IF(A1157="",0,IF(COUNTIF($A$5:A1157,A1157)=1,1,0))</x:f>
        <x:v>0</x:v>
      </x:c>
      <x:c r="R1157" s="64" t="str">
        <x:f>IF(A1157="","",IF(F1157="C1157成功",IF(AND(J1157&lt;&gt;"",K1157&lt;&gt;"",N1157&gt;0),"有证据","缺C1157证据"),IF(F1157="C1157发货确认中",IF(AND(J1157&lt;&gt;"",K1157&lt;&gt;""),"有证据","缺C1157证据"),IF(F1157="手动完结",IF(OR(L1157&lt;&gt;"",O1157&lt;&gt;"",S1157&lt;&gt;""),"有记录","缺手工证据"),IF(OR(F1157="卖出待补仓",F1157="提交结果待确认",F1157="异常待处理"),"持续跟踪","检查状态")))))</x:f>
      </x:c>
      <x:c r="T1157" s="64" t="str">
        <x:f>IF(A1157="","",IF(COUNTIF($A$5:$A$1204,A1157)&gt;1,"重复",""))</x:f>
      </x:c>
      <x:c r="U1157" s="64" t="str">
        <x:f>IF(A1157="","",IF(T1157="重复","检查重复",IF(OR(R1157="有证据",R1157="有记录",R1157="持续跟踪"),"可追踪","检查")))</x:f>
      </x:c>
    </x:row>
    <x:row r="1158">
      <x:c r="A1158" s="62"/>
      <x:c r="B1158" s="62"/>
      <x:c r="C1158" s="62"/>
      <x:c r="D1158" s="66"/>
      <x:c r="E1158" s="68"/>
      <x:c r="F1158" s="62"/>
      <x:c r="G1158" s="62"/>
      <x:c r="H1158" s="62"/>
      <x:c r="I1158" s="62"/>
      <x:c r="J1158" s="62"/>
      <x:c r="K1158" s="62"/>
      <x:c r="L1158" s="62"/>
      <x:c r="M1158" s="68"/>
      <x:c r="N1158" s="68"/>
      <x:c r="O1158" s="68"/>
      <x:c r="P1158" s="71" t="str">
        <x:f>IF(A1158="","",IF(N1158&gt;0,N1158,M1158))</x:f>
      </x:c>
      <x:c r="Q1158" s="72" t="n">
        <x:f>IF(A1158="",0,IF(COUNTIF($A$5:A1158,A1158)=1,1,0))</x:f>
        <x:v>0</x:v>
      </x:c>
      <x:c r="R1158" s="64" t="str">
        <x:f>IF(A1158="","",IF(F1158="C1158成功",IF(AND(J1158&lt;&gt;"",K1158&lt;&gt;"",N1158&gt;0),"有证据","缺C1158证据"),IF(F1158="C1158发货确认中",IF(AND(J1158&lt;&gt;"",K1158&lt;&gt;""),"有证据","缺C1158证据"),IF(F1158="手动完结",IF(OR(L1158&lt;&gt;"",O1158&lt;&gt;"",S1158&lt;&gt;""),"有记录","缺手工证据"),IF(OR(F1158="卖出待补仓",F1158="提交结果待确认",F1158="异常待处理"),"持续跟踪","检查状态")))))</x:f>
      </x:c>
      <x:c r="T1158" s="64" t="str">
        <x:f>IF(A1158="","",IF(COUNTIF($A$5:$A$1204,A1158)&gt;1,"重复",""))</x:f>
      </x:c>
      <x:c r="U1158" s="64" t="str">
        <x:f>IF(A1158="","",IF(T1158="重复","检查重复",IF(OR(R1158="有证据",R1158="有记录",R1158="持续跟踪"),"可追踪","检查")))</x:f>
      </x:c>
    </x:row>
    <x:row r="1159">
      <x:c r="A1159" s="62"/>
      <x:c r="B1159" s="62"/>
      <x:c r="C1159" s="62"/>
      <x:c r="D1159" s="66"/>
      <x:c r="E1159" s="68"/>
      <x:c r="F1159" s="62"/>
      <x:c r="G1159" s="62"/>
      <x:c r="H1159" s="62"/>
      <x:c r="I1159" s="62"/>
      <x:c r="J1159" s="62"/>
      <x:c r="K1159" s="62"/>
      <x:c r="L1159" s="62"/>
      <x:c r="M1159" s="68"/>
      <x:c r="N1159" s="68"/>
      <x:c r="O1159" s="68"/>
      <x:c r="P1159" s="71" t="str">
        <x:f>IF(A1159="","",IF(N1159&gt;0,N1159,M1159))</x:f>
      </x:c>
      <x:c r="Q1159" s="72" t="n">
        <x:f>IF(A1159="",0,IF(COUNTIF($A$5:A1159,A1159)=1,1,0))</x:f>
        <x:v>0</x:v>
      </x:c>
      <x:c r="R1159" s="64" t="str">
        <x:f>IF(A1159="","",IF(F1159="C1159成功",IF(AND(J1159&lt;&gt;"",K1159&lt;&gt;"",N1159&gt;0),"有证据","缺C1159证据"),IF(F1159="C1159发货确认中",IF(AND(J1159&lt;&gt;"",K1159&lt;&gt;""),"有证据","缺C1159证据"),IF(F1159="手动完结",IF(OR(L1159&lt;&gt;"",O1159&lt;&gt;"",S1159&lt;&gt;""),"有记录","缺手工证据"),IF(OR(F1159="卖出待补仓",F1159="提交结果待确认",F1159="异常待处理"),"持续跟踪","检查状态")))))</x:f>
      </x:c>
      <x:c r="T1159" s="64" t="str">
        <x:f>IF(A1159="","",IF(COUNTIF($A$5:$A$1204,A1159)&gt;1,"重复",""))</x:f>
      </x:c>
      <x:c r="U1159" s="64" t="str">
        <x:f>IF(A1159="","",IF(T1159="重复","检查重复",IF(OR(R1159="有证据",R1159="有记录",R1159="持续跟踪"),"可追踪","检查")))</x:f>
      </x:c>
    </x:row>
    <x:row r="1160">
      <x:c r="A1160" s="62"/>
      <x:c r="B1160" s="62"/>
      <x:c r="C1160" s="62"/>
      <x:c r="D1160" s="66"/>
      <x:c r="E1160" s="68"/>
      <x:c r="F1160" s="62"/>
      <x:c r="G1160" s="62"/>
      <x:c r="H1160" s="62"/>
      <x:c r="I1160" s="62"/>
      <x:c r="J1160" s="62"/>
      <x:c r="K1160" s="62"/>
      <x:c r="L1160" s="62"/>
      <x:c r="M1160" s="68"/>
      <x:c r="N1160" s="68"/>
      <x:c r="O1160" s="68"/>
      <x:c r="P1160" s="71" t="str">
        <x:f>IF(A1160="","",IF(N1160&gt;0,N1160,M1160))</x:f>
      </x:c>
      <x:c r="Q1160" s="72" t="n">
        <x:f>IF(A1160="",0,IF(COUNTIF($A$5:A1160,A1160)=1,1,0))</x:f>
        <x:v>0</x:v>
      </x:c>
      <x:c r="R1160" s="64" t="str">
        <x:f>IF(A1160="","",IF(F1160="C1160成功",IF(AND(J1160&lt;&gt;"",K1160&lt;&gt;"",N1160&gt;0),"有证据","缺C1160证据"),IF(F1160="C1160发货确认中",IF(AND(J1160&lt;&gt;"",K1160&lt;&gt;""),"有证据","缺C1160证据"),IF(F1160="手动完结",IF(OR(L1160&lt;&gt;"",O1160&lt;&gt;"",S1160&lt;&gt;""),"有记录","缺手工证据"),IF(OR(F1160="卖出待补仓",F1160="提交结果待确认",F1160="异常待处理"),"持续跟踪","检查状态")))))</x:f>
      </x:c>
      <x:c r="T1160" s="64" t="str">
        <x:f>IF(A1160="","",IF(COUNTIF($A$5:$A$1204,A1160)&gt;1,"重复",""))</x:f>
      </x:c>
      <x:c r="U1160" s="64" t="str">
        <x:f>IF(A1160="","",IF(T1160="重复","检查重复",IF(OR(R1160="有证据",R1160="有记录",R1160="持续跟踪"),"可追踪","检查")))</x:f>
      </x:c>
    </x:row>
    <x:row r="1161">
      <x:c r="A1161" s="62"/>
      <x:c r="B1161" s="62"/>
      <x:c r="C1161" s="62"/>
      <x:c r="D1161" s="66"/>
      <x:c r="E1161" s="68"/>
      <x:c r="F1161" s="62"/>
      <x:c r="G1161" s="62"/>
      <x:c r="H1161" s="62"/>
      <x:c r="I1161" s="62"/>
      <x:c r="J1161" s="62"/>
      <x:c r="K1161" s="62"/>
      <x:c r="L1161" s="62"/>
      <x:c r="M1161" s="68"/>
      <x:c r="N1161" s="68"/>
      <x:c r="O1161" s="68"/>
      <x:c r="P1161" s="71" t="str">
        <x:f>IF(A1161="","",IF(N1161&gt;0,N1161,M1161))</x:f>
      </x:c>
      <x:c r="Q1161" s="72" t="n">
        <x:f>IF(A1161="",0,IF(COUNTIF($A$5:A1161,A1161)=1,1,0))</x:f>
        <x:v>0</x:v>
      </x:c>
      <x:c r="R1161" s="64" t="str">
        <x:f>IF(A1161="","",IF(F1161="C1161成功",IF(AND(J1161&lt;&gt;"",K1161&lt;&gt;"",N1161&gt;0),"有证据","缺C1161证据"),IF(F1161="C1161发货确认中",IF(AND(J1161&lt;&gt;"",K1161&lt;&gt;""),"有证据","缺C1161证据"),IF(F1161="手动完结",IF(OR(L1161&lt;&gt;"",O1161&lt;&gt;"",S1161&lt;&gt;""),"有记录","缺手工证据"),IF(OR(F1161="卖出待补仓",F1161="提交结果待确认",F1161="异常待处理"),"持续跟踪","检查状态")))))</x:f>
      </x:c>
      <x:c r="T1161" s="64" t="str">
        <x:f>IF(A1161="","",IF(COUNTIF($A$5:$A$1204,A1161)&gt;1,"重复",""))</x:f>
      </x:c>
      <x:c r="U1161" s="64" t="str">
        <x:f>IF(A1161="","",IF(T1161="重复","检查重复",IF(OR(R1161="有证据",R1161="有记录",R1161="持续跟踪"),"可追踪","检查")))</x:f>
      </x:c>
    </x:row>
    <x:row r="1162">
      <x:c r="A1162" s="62"/>
      <x:c r="B1162" s="62"/>
      <x:c r="C1162" s="62"/>
      <x:c r="D1162" s="66"/>
      <x:c r="E1162" s="68"/>
      <x:c r="F1162" s="62"/>
      <x:c r="G1162" s="62"/>
      <x:c r="H1162" s="62"/>
      <x:c r="I1162" s="62"/>
      <x:c r="J1162" s="62"/>
      <x:c r="K1162" s="62"/>
      <x:c r="L1162" s="62"/>
      <x:c r="M1162" s="68"/>
      <x:c r="N1162" s="68"/>
      <x:c r="O1162" s="68"/>
      <x:c r="P1162" s="71" t="str">
        <x:f>IF(A1162="","",IF(N1162&gt;0,N1162,M1162))</x:f>
      </x:c>
      <x:c r="Q1162" s="72" t="n">
        <x:f>IF(A1162="",0,IF(COUNTIF($A$5:A1162,A1162)=1,1,0))</x:f>
        <x:v>0</x:v>
      </x:c>
      <x:c r="R1162" s="64" t="str">
        <x:f>IF(A1162="","",IF(F1162="C1162成功",IF(AND(J1162&lt;&gt;"",K1162&lt;&gt;"",N1162&gt;0),"有证据","缺C1162证据"),IF(F1162="C1162发货确认中",IF(AND(J1162&lt;&gt;"",K1162&lt;&gt;""),"有证据","缺C1162证据"),IF(F1162="手动完结",IF(OR(L1162&lt;&gt;"",O1162&lt;&gt;"",S1162&lt;&gt;""),"有记录","缺手工证据"),IF(OR(F1162="卖出待补仓",F1162="提交结果待确认",F1162="异常待处理"),"持续跟踪","检查状态")))))</x:f>
      </x:c>
      <x:c r="T1162" s="64" t="str">
        <x:f>IF(A1162="","",IF(COUNTIF($A$5:$A$1204,A1162)&gt;1,"重复",""))</x:f>
      </x:c>
      <x:c r="U1162" s="64" t="str">
        <x:f>IF(A1162="","",IF(T1162="重复","检查重复",IF(OR(R1162="有证据",R1162="有记录",R1162="持续跟踪"),"可追踪","检查")))</x:f>
      </x:c>
    </x:row>
    <x:row r="1163">
      <x:c r="A1163" s="62"/>
      <x:c r="B1163" s="62"/>
      <x:c r="C1163" s="62"/>
      <x:c r="D1163" s="66"/>
      <x:c r="E1163" s="68"/>
      <x:c r="F1163" s="62"/>
      <x:c r="G1163" s="62"/>
      <x:c r="H1163" s="62"/>
      <x:c r="I1163" s="62"/>
      <x:c r="J1163" s="62"/>
      <x:c r="K1163" s="62"/>
      <x:c r="L1163" s="62"/>
      <x:c r="M1163" s="68"/>
      <x:c r="N1163" s="68"/>
      <x:c r="O1163" s="68"/>
      <x:c r="P1163" s="71" t="str">
        <x:f>IF(A1163="","",IF(N1163&gt;0,N1163,M1163))</x:f>
      </x:c>
      <x:c r="Q1163" s="72" t="n">
        <x:f>IF(A1163="",0,IF(COUNTIF($A$5:A1163,A1163)=1,1,0))</x:f>
        <x:v>0</x:v>
      </x:c>
      <x:c r="R1163" s="64" t="str">
        <x:f>IF(A1163="","",IF(F1163="C1163成功",IF(AND(J1163&lt;&gt;"",K1163&lt;&gt;"",N1163&gt;0),"有证据","缺C1163证据"),IF(F1163="C1163发货确认中",IF(AND(J1163&lt;&gt;"",K1163&lt;&gt;""),"有证据","缺C1163证据"),IF(F1163="手动完结",IF(OR(L1163&lt;&gt;"",O1163&lt;&gt;"",S1163&lt;&gt;""),"有记录","缺手工证据"),IF(OR(F1163="卖出待补仓",F1163="提交结果待确认",F1163="异常待处理"),"持续跟踪","检查状态")))))</x:f>
      </x:c>
      <x:c r="T1163" s="64" t="str">
        <x:f>IF(A1163="","",IF(COUNTIF($A$5:$A$1204,A1163)&gt;1,"重复",""))</x:f>
      </x:c>
      <x:c r="U1163" s="64" t="str">
        <x:f>IF(A1163="","",IF(T1163="重复","检查重复",IF(OR(R1163="有证据",R1163="有记录",R1163="持续跟踪"),"可追踪","检查")))</x:f>
      </x:c>
    </x:row>
    <x:row r="1164">
      <x:c r="A1164" s="62"/>
      <x:c r="B1164" s="62"/>
      <x:c r="C1164" s="62"/>
      <x:c r="D1164" s="66"/>
      <x:c r="E1164" s="68"/>
      <x:c r="F1164" s="62"/>
      <x:c r="G1164" s="62"/>
      <x:c r="H1164" s="62"/>
      <x:c r="I1164" s="62"/>
      <x:c r="J1164" s="62"/>
      <x:c r="K1164" s="62"/>
      <x:c r="L1164" s="62"/>
      <x:c r="M1164" s="68"/>
      <x:c r="N1164" s="68"/>
      <x:c r="O1164" s="68"/>
      <x:c r="P1164" s="71" t="str">
        <x:f>IF(A1164="","",IF(N1164&gt;0,N1164,M1164))</x:f>
      </x:c>
      <x:c r="Q1164" s="72" t="n">
        <x:f>IF(A1164="",0,IF(COUNTIF($A$5:A1164,A1164)=1,1,0))</x:f>
        <x:v>0</x:v>
      </x:c>
      <x:c r="R1164" s="64" t="str">
        <x:f>IF(A1164="","",IF(F1164="C1164成功",IF(AND(J1164&lt;&gt;"",K1164&lt;&gt;"",N1164&gt;0),"有证据","缺C1164证据"),IF(F1164="C1164发货确认中",IF(AND(J1164&lt;&gt;"",K1164&lt;&gt;""),"有证据","缺C1164证据"),IF(F1164="手动完结",IF(OR(L1164&lt;&gt;"",O1164&lt;&gt;"",S1164&lt;&gt;""),"有记录","缺手工证据"),IF(OR(F1164="卖出待补仓",F1164="提交结果待确认",F1164="异常待处理"),"持续跟踪","检查状态")))))</x:f>
      </x:c>
      <x:c r="T1164" s="64" t="str">
        <x:f>IF(A1164="","",IF(COUNTIF($A$5:$A$1204,A1164)&gt;1,"重复",""))</x:f>
      </x:c>
      <x:c r="U1164" s="64" t="str">
        <x:f>IF(A1164="","",IF(T1164="重复","检查重复",IF(OR(R1164="有证据",R1164="有记录",R1164="持续跟踪"),"可追踪","检查")))</x:f>
      </x:c>
    </x:row>
    <x:row r="1165">
      <x:c r="A1165" s="62"/>
      <x:c r="B1165" s="62"/>
      <x:c r="C1165" s="62"/>
      <x:c r="D1165" s="66"/>
      <x:c r="E1165" s="68"/>
      <x:c r="F1165" s="62"/>
      <x:c r="G1165" s="62"/>
      <x:c r="H1165" s="62"/>
      <x:c r="I1165" s="62"/>
      <x:c r="J1165" s="62"/>
      <x:c r="K1165" s="62"/>
      <x:c r="L1165" s="62"/>
      <x:c r="M1165" s="68"/>
      <x:c r="N1165" s="68"/>
      <x:c r="O1165" s="68"/>
      <x:c r="P1165" s="71" t="str">
        <x:f>IF(A1165="","",IF(N1165&gt;0,N1165,M1165))</x:f>
      </x:c>
      <x:c r="Q1165" s="72" t="n">
        <x:f>IF(A1165="",0,IF(COUNTIF($A$5:A1165,A1165)=1,1,0))</x:f>
        <x:v>0</x:v>
      </x:c>
      <x:c r="R1165" s="64" t="str">
        <x:f>IF(A1165="","",IF(F1165="C1165成功",IF(AND(J1165&lt;&gt;"",K1165&lt;&gt;"",N1165&gt;0),"有证据","缺C1165证据"),IF(F1165="C1165发货确认中",IF(AND(J1165&lt;&gt;"",K1165&lt;&gt;""),"有证据","缺C1165证据"),IF(F1165="手动完结",IF(OR(L1165&lt;&gt;"",O1165&lt;&gt;"",S1165&lt;&gt;""),"有记录","缺手工证据"),IF(OR(F1165="卖出待补仓",F1165="提交结果待确认",F1165="异常待处理"),"持续跟踪","检查状态")))))</x:f>
      </x:c>
      <x:c r="T1165" s="64" t="str">
        <x:f>IF(A1165="","",IF(COUNTIF($A$5:$A$1204,A1165)&gt;1,"重复",""))</x:f>
      </x:c>
      <x:c r="U1165" s="64" t="str">
        <x:f>IF(A1165="","",IF(T1165="重复","检查重复",IF(OR(R1165="有证据",R1165="有记录",R1165="持续跟踪"),"可追踪","检查")))</x:f>
      </x:c>
    </x:row>
    <x:row r="1166">
      <x:c r="A1166" s="62"/>
      <x:c r="B1166" s="62"/>
      <x:c r="C1166" s="62"/>
      <x:c r="D1166" s="66"/>
      <x:c r="E1166" s="68"/>
      <x:c r="F1166" s="62"/>
      <x:c r="G1166" s="62"/>
      <x:c r="H1166" s="62"/>
      <x:c r="I1166" s="62"/>
      <x:c r="J1166" s="62"/>
      <x:c r="K1166" s="62"/>
      <x:c r="L1166" s="62"/>
      <x:c r="M1166" s="68"/>
      <x:c r="N1166" s="68"/>
      <x:c r="O1166" s="68"/>
      <x:c r="P1166" s="71" t="str">
        <x:f>IF(A1166="","",IF(N1166&gt;0,N1166,M1166))</x:f>
      </x:c>
      <x:c r="Q1166" s="72" t="n">
        <x:f>IF(A1166="",0,IF(COUNTIF($A$5:A1166,A1166)=1,1,0))</x:f>
        <x:v>0</x:v>
      </x:c>
      <x:c r="R1166" s="64" t="str">
        <x:f>IF(A1166="","",IF(F1166="C1166成功",IF(AND(J1166&lt;&gt;"",K1166&lt;&gt;"",N1166&gt;0),"有证据","缺C1166证据"),IF(F1166="C1166发货确认中",IF(AND(J1166&lt;&gt;"",K1166&lt;&gt;""),"有证据","缺C1166证据"),IF(F1166="手动完结",IF(OR(L1166&lt;&gt;"",O1166&lt;&gt;"",S1166&lt;&gt;""),"有记录","缺手工证据"),IF(OR(F1166="卖出待补仓",F1166="提交结果待确认",F1166="异常待处理"),"持续跟踪","检查状态")))))</x:f>
      </x:c>
      <x:c r="T1166" s="64" t="str">
        <x:f>IF(A1166="","",IF(COUNTIF($A$5:$A$1204,A1166)&gt;1,"重复",""))</x:f>
      </x:c>
      <x:c r="U1166" s="64" t="str">
        <x:f>IF(A1166="","",IF(T1166="重复","检查重复",IF(OR(R1166="有证据",R1166="有记录",R1166="持续跟踪"),"可追踪","检查")))</x:f>
      </x:c>
    </x:row>
    <x:row r="1167">
      <x:c r="A1167" s="62"/>
      <x:c r="B1167" s="62"/>
      <x:c r="C1167" s="62"/>
      <x:c r="D1167" s="66"/>
      <x:c r="E1167" s="68"/>
      <x:c r="F1167" s="62"/>
      <x:c r="G1167" s="62"/>
      <x:c r="H1167" s="62"/>
      <x:c r="I1167" s="62"/>
      <x:c r="J1167" s="62"/>
      <x:c r="K1167" s="62"/>
      <x:c r="L1167" s="62"/>
      <x:c r="M1167" s="68"/>
      <x:c r="N1167" s="68"/>
      <x:c r="O1167" s="68"/>
      <x:c r="P1167" s="71" t="str">
        <x:f>IF(A1167="","",IF(N1167&gt;0,N1167,M1167))</x:f>
      </x:c>
      <x:c r="Q1167" s="72" t="n">
        <x:f>IF(A1167="",0,IF(COUNTIF($A$5:A1167,A1167)=1,1,0))</x:f>
        <x:v>0</x:v>
      </x:c>
      <x:c r="R1167" s="64" t="str">
        <x:f>IF(A1167="","",IF(F1167="C1167成功",IF(AND(J1167&lt;&gt;"",K1167&lt;&gt;"",N1167&gt;0),"有证据","缺C1167证据"),IF(F1167="C1167发货确认中",IF(AND(J1167&lt;&gt;"",K1167&lt;&gt;""),"有证据","缺C1167证据"),IF(F1167="手动完结",IF(OR(L1167&lt;&gt;"",O1167&lt;&gt;"",S1167&lt;&gt;""),"有记录","缺手工证据"),IF(OR(F1167="卖出待补仓",F1167="提交结果待确认",F1167="异常待处理"),"持续跟踪","检查状态")))))</x:f>
      </x:c>
      <x:c r="T1167" s="64" t="str">
        <x:f>IF(A1167="","",IF(COUNTIF($A$5:$A$1204,A1167)&gt;1,"重复",""))</x:f>
      </x:c>
      <x:c r="U1167" s="64" t="str">
        <x:f>IF(A1167="","",IF(T1167="重复","检查重复",IF(OR(R1167="有证据",R1167="有记录",R1167="持续跟踪"),"可追踪","检查")))</x:f>
      </x:c>
    </x:row>
    <x:row r="1168">
      <x:c r="A1168" s="62"/>
      <x:c r="B1168" s="62"/>
      <x:c r="C1168" s="62"/>
      <x:c r="D1168" s="66"/>
      <x:c r="E1168" s="68"/>
      <x:c r="F1168" s="62"/>
      <x:c r="G1168" s="62"/>
      <x:c r="H1168" s="62"/>
      <x:c r="I1168" s="62"/>
      <x:c r="J1168" s="62"/>
      <x:c r="K1168" s="62"/>
      <x:c r="L1168" s="62"/>
      <x:c r="M1168" s="68"/>
      <x:c r="N1168" s="68"/>
      <x:c r="O1168" s="68"/>
      <x:c r="P1168" s="71" t="str">
        <x:f>IF(A1168="","",IF(N1168&gt;0,N1168,M1168))</x:f>
      </x:c>
      <x:c r="Q1168" s="72" t="n">
        <x:f>IF(A1168="",0,IF(COUNTIF($A$5:A1168,A1168)=1,1,0))</x:f>
        <x:v>0</x:v>
      </x:c>
      <x:c r="R1168" s="64" t="str">
        <x:f>IF(A1168="","",IF(F1168="C1168成功",IF(AND(J1168&lt;&gt;"",K1168&lt;&gt;"",N1168&gt;0),"有证据","缺C1168证据"),IF(F1168="C1168发货确认中",IF(AND(J1168&lt;&gt;"",K1168&lt;&gt;""),"有证据","缺C1168证据"),IF(F1168="手动完结",IF(OR(L1168&lt;&gt;"",O1168&lt;&gt;"",S1168&lt;&gt;""),"有记录","缺手工证据"),IF(OR(F1168="卖出待补仓",F1168="提交结果待确认",F1168="异常待处理"),"持续跟踪","检查状态")))))</x:f>
      </x:c>
      <x:c r="T1168" s="64" t="str">
        <x:f>IF(A1168="","",IF(COUNTIF($A$5:$A$1204,A1168)&gt;1,"重复",""))</x:f>
      </x:c>
      <x:c r="U1168" s="64" t="str">
        <x:f>IF(A1168="","",IF(T1168="重复","检查重复",IF(OR(R1168="有证据",R1168="有记录",R1168="持续跟踪"),"可追踪","检查")))</x:f>
      </x:c>
    </x:row>
    <x:row r="1169">
      <x:c r="A1169" s="62"/>
      <x:c r="B1169" s="62"/>
      <x:c r="C1169" s="62"/>
      <x:c r="D1169" s="66"/>
      <x:c r="E1169" s="68"/>
      <x:c r="F1169" s="62"/>
      <x:c r="G1169" s="62"/>
      <x:c r="H1169" s="62"/>
      <x:c r="I1169" s="62"/>
      <x:c r="J1169" s="62"/>
      <x:c r="K1169" s="62"/>
      <x:c r="L1169" s="62"/>
      <x:c r="M1169" s="68"/>
      <x:c r="N1169" s="68"/>
      <x:c r="O1169" s="68"/>
      <x:c r="P1169" s="71" t="str">
        <x:f>IF(A1169="","",IF(N1169&gt;0,N1169,M1169))</x:f>
      </x:c>
      <x:c r="Q1169" s="72" t="n">
        <x:f>IF(A1169="",0,IF(COUNTIF($A$5:A1169,A1169)=1,1,0))</x:f>
        <x:v>0</x:v>
      </x:c>
      <x:c r="R1169" s="64" t="str">
        <x:f>IF(A1169="","",IF(F1169="C1169成功",IF(AND(J1169&lt;&gt;"",K1169&lt;&gt;"",N1169&gt;0),"有证据","缺C1169证据"),IF(F1169="C1169发货确认中",IF(AND(J1169&lt;&gt;"",K1169&lt;&gt;""),"有证据","缺C1169证据"),IF(F1169="手动完结",IF(OR(L1169&lt;&gt;"",O1169&lt;&gt;"",S1169&lt;&gt;""),"有记录","缺手工证据"),IF(OR(F1169="卖出待补仓",F1169="提交结果待确认",F1169="异常待处理"),"持续跟踪","检查状态")))))</x:f>
      </x:c>
      <x:c r="T1169" s="64" t="str">
        <x:f>IF(A1169="","",IF(COUNTIF($A$5:$A$1204,A1169)&gt;1,"重复",""))</x:f>
      </x:c>
      <x:c r="U1169" s="64" t="str">
        <x:f>IF(A1169="","",IF(T1169="重复","检查重复",IF(OR(R1169="有证据",R1169="有记录",R1169="持续跟踪"),"可追踪","检查")))</x:f>
      </x:c>
    </x:row>
    <x:row r="1170">
      <x:c r="A1170" s="62"/>
      <x:c r="B1170" s="62"/>
      <x:c r="C1170" s="62"/>
      <x:c r="D1170" s="66"/>
      <x:c r="E1170" s="68"/>
      <x:c r="F1170" s="62"/>
      <x:c r="G1170" s="62"/>
      <x:c r="H1170" s="62"/>
      <x:c r="I1170" s="62"/>
      <x:c r="J1170" s="62"/>
      <x:c r="K1170" s="62"/>
      <x:c r="L1170" s="62"/>
      <x:c r="M1170" s="68"/>
      <x:c r="N1170" s="68"/>
      <x:c r="O1170" s="68"/>
      <x:c r="P1170" s="71" t="str">
        <x:f>IF(A1170="","",IF(N1170&gt;0,N1170,M1170))</x:f>
      </x:c>
      <x:c r="Q1170" s="72" t="n">
        <x:f>IF(A1170="",0,IF(COUNTIF($A$5:A1170,A1170)=1,1,0))</x:f>
        <x:v>0</x:v>
      </x:c>
      <x:c r="R1170" s="64" t="str">
        <x:f>IF(A1170="","",IF(F1170="C1170成功",IF(AND(J1170&lt;&gt;"",K1170&lt;&gt;"",N1170&gt;0),"有证据","缺C1170证据"),IF(F1170="C1170发货确认中",IF(AND(J1170&lt;&gt;"",K1170&lt;&gt;""),"有证据","缺C1170证据"),IF(F1170="手动完结",IF(OR(L1170&lt;&gt;"",O1170&lt;&gt;"",S1170&lt;&gt;""),"有记录","缺手工证据"),IF(OR(F1170="卖出待补仓",F1170="提交结果待确认",F1170="异常待处理"),"持续跟踪","检查状态")))))</x:f>
      </x:c>
      <x:c r="T1170" s="64" t="str">
        <x:f>IF(A1170="","",IF(COUNTIF($A$5:$A$1204,A1170)&gt;1,"重复",""))</x:f>
      </x:c>
      <x:c r="U1170" s="64" t="str">
        <x:f>IF(A1170="","",IF(T1170="重复","检查重复",IF(OR(R1170="有证据",R1170="有记录",R1170="持续跟踪"),"可追踪","检查")))</x:f>
      </x:c>
    </x:row>
    <x:row r="1171">
      <x:c r="A1171" s="62"/>
      <x:c r="B1171" s="62"/>
      <x:c r="C1171" s="62"/>
      <x:c r="D1171" s="66"/>
      <x:c r="E1171" s="68"/>
      <x:c r="F1171" s="62"/>
      <x:c r="G1171" s="62"/>
      <x:c r="H1171" s="62"/>
      <x:c r="I1171" s="62"/>
      <x:c r="J1171" s="62"/>
      <x:c r="K1171" s="62"/>
      <x:c r="L1171" s="62"/>
      <x:c r="M1171" s="68"/>
      <x:c r="N1171" s="68"/>
      <x:c r="O1171" s="68"/>
      <x:c r="P1171" s="71" t="str">
        <x:f>IF(A1171="","",IF(N1171&gt;0,N1171,M1171))</x:f>
      </x:c>
      <x:c r="Q1171" s="72" t="n">
        <x:f>IF(A1171="",0,IF(COUNTIF($A$5:A1171,A1171)=1,1,0))</x:f>
        <x:v>0</x:v>
      </x:c>
      <x:c r="R1171" s="64" t="str">
        <x:f>IF(A1171="","",IF(F1171="C1171成功",IF(AND(J1171&lt;&gt;"",K1171&lt;&gt;"",N1171&gt;0),"有证据","缺C1171证据"),IF(F1171="C1171发货确认中",IF(AND(J1171&lt;&gt;"",K1171&lt;&gt;""),"有证据","缺C1171证据"),IF(F1171="手动完结",IF(OR(L1171&lt;&gt;"",O1171&lt;&gt;"",S1171&lt;&gt;""),"有记录","缺手工证据"),IF(OR(F1171="卖出待补仓",F1171="提交结果待确认",F1171="异常待处理"),"持续跟踪","检查状态")))))</x:f>
      </x:c>
      <x:c r="T1171" s="64" t="str">
        <x:f>IF(A1171="","",IF(COUNTIF($A$5:$A$1204,A1171)&gt;1,"重复",""))</x:f>
      </x:c>
      <x:c r="U1171" s="64" t="str">
        <x:f>IF(A1171="","",IF(T1171="重复","检查重复",IF(OR(R1171="有证据",R1171="有记录",R1171="持续跟踪"),"可追踪","检查")))</x:f>
      </x:c>
    </x:row>
    <x:row r="1172">
      <x:c r="A1172" s="62"/>
      <x:c r="B1172" s="62"/>
      <x:c r="C1172" s="62"/>
      <x:c r="D1172" s="66"/>
      <x:c r="E1172" s="68"/>
      <x:c r="F1172" s="62"/>
      <x:c r="G1172" s="62"/>
      <x:c r="H1172" s="62"/>
      <x:c r="I1172" s="62"/>
      <x:c r="J1172" s="62"/>
      <x:c r="K1172" s="62"/>
      <x:c r="L1172" s="62"/>
      <x:c r="M1172" s="68"/>
      <x:c r="N1172" s="68"/>
      <x:c r="O1172" s="68"/>
      <x:c r="P1172" s="71" t="str">
        <x:f>IF(A1172="","",IF(N1172&gt;0,N1172,M1172))</x:f>
      </x:c>
      <x:c r="Q1172" s="72" t="n">
        <x:f>IF(A1172="",0,IF(COUNTIF($A$5:A1172,A1172)=1,1,0))</x:f>
        <x:v>0</x:v>
      </x:c>
      <x:c r="R1172" s="64" t="str">
        <x:f>IF(A1172="","",IF(F1172="C1172成功",IF(AND(J1172&lt;&gt;"",K1172&lt;&gt;"",N1172&gt;0),"有证据","缺C1172证据"),IF(F1172="C1172发货确认中",IF(AND(J1172&lt;&gt;"",K1172&lt;&gt;""),"有证据","缺C1172证据"),IF(F1172="手动完结",IF(OR(L1172&lt;&gt;"",O1172&lt;&gt;"",S1172&lt;&gt;""),"有记录","缺手工证据"),IF(OR(F1172="卖出待补仓",F1172="提交结果待确认",F1172="异常待处理"),"持续跟踪","检查状态")))))</x:f>
      </x:c>
      <x:c r="T1172" s="64" t="str">
        <x:f>IF(A1172="","",IF(COUNTIF($A$5:$A$1204,A1172)&gt;1,"重复",""))</x:f>
      </x:c>
      <x:c r="U1172" s="64" t="str">
        <x:f>IF(A1172="","",IF(T1172="重复","检查重复",IF(OR(R1172="有证据",R1172="有记录",R1172="持续跟踪"),"可追踪","检查")))</x:f>
      </x:c>
    </x:row>
    <x:row r="1173">
      <x:c r="A1173" s="62"/>
      <x:c r="B1173" s="62"/>
      <x:c r="C1173" s="62"/>
      <x:c r="D1173" s="66"/>
      <x:c r="E1173" s="68"/>
      <x:c r="F1173" s="62"/>
      <x:c r="G1173" s="62"/>
      <x:c r="H1173" s="62"/>
      <x:c r="I1173" s="62"/>
      <x:c r="J1173" s="62"/>
      <x:c r="K1173" s="62"/>
      <x:c r="L1173" s="62"/>
      <x:c r="M1173" s="68"/>
      <x:c r="N1173" s="68"/>
      <x:c r="O1173" s="68"/>
      <x:c r="P1173" s="71" t="str">
        <x:f>IF(A1173="","",IF(N1173&gt;0,N1173,M1173))</x:f>
      </x:c>
      <x:c r="Q1173" s="72" t="n">
        <x:f>IF(A1173="",0,IF(COUNTIF($A$5:A1173,A1173)=1,1,0))</x:f>
        <x:v>0</x:v>
      </x:c>
      <x:c r="R1173" s="64" t="str">
        <x:f>IF(A1173="","",IF(F1173="C1173成功",IF(AND(J1173&lt;&gt;"",K1173&lt;&gt;"",N1173&gt;0),"有证据","缺C1173证据"),IF(F1173="C1173发货确认中",IF(AND(J1173&lt;&gt;"",K1173&lt;&gt;""),"有证据","缺C1173证据"),IF(F1173="手动完结",IF(OR(L1173&lt;&gt;"",O1173&lt;&gt;"",S1173&lt;&gt;""),"有记录","缺手工证据"),IF(OR(F1173="卖出待补仓",F1173="提交结果待确认",F1173="异常待处理"),"持续跟踪","检查状态")))))</x:f>
      </x:c>
      <x:c r="T1173" s="64" t="str">
        <x:f>IF(A1173="","",IF(COUNTIF($A$5:$A$1204,A1173)&gt;1,"重复",""))</x:f>
      </x:c>
      <x:c r="U1173" s="64" t="str">
        <x:f>IF(A1173="","",IF(T1173="重复","检查重复",IF(OR(R1173="有证据",R1173="有记录",R1173="持续跟踪"),"可追踪","检查")))</x:f>
      </x:c>
    </x:row>
    <x:row r="1174">
      <x:c r="A1174" s="62"/>
      <x:c r="B1174" s="62"/>
      <x:c r="C1174" s="62"/>
      <x:c r="D1174" s="66"/>
      <x:c r="E1174" s="68"/>
      <x:c r="F1174" s="62"/>
      <x:c r="G1174" s="62"/>
      <x:c r="H1174" s="62"/>
      <x:c r="I1174" s="62"/>
      <x:c r="J1174" s="62"/>
      <x:c r="K1174" s="62"/>
      <x:c r="L1174" s="62"/>
      <x:c r="M1174" s="68"/>
      <x:c r="N1174" s="68"/>
      <x:c r="O1174" s="68"/>
      <x:c r="P1174" s="71" t="str">
        <x:f>IF(A1174="","",IF(N1174&gt;0,N1174,M1174))</x:f>
      </x:c>
      <x:c r="Q1174" s="72" t="n">
        <x:f>IF(A1174="",0,IF(COUNTIF($A$5:A1174,A1174)=1,1,0))</x:f>
        <x:v>0</x:v>
      </x:c>
      <x:c r="R1174" s="64" t="str">
        <x:f>IF(A1174="","",IF(F1174="C1174成功",IF(AND(J1174&lt;&gt;"",K1174&lt;&gt;"",N1174&gt;0),"有证据","缺C1174证据"),IF(F1174="C1174发货确认中",IF(AND(J1174&lt;&gt;"",K1174&lt;&gt;""),"有证据","缺C1174证据"),IF(F1174="手动完结",IF(OR(L1174&lt;&gt;"",O1174&lt;&gt;"",S1174&lt;&gt;""),"有记录","缺手工证据"),IF(OR(F1174="卖出待补仓",F1174="提交结果待确认",F1174="异常待处理"),"持续跟踪","检查状态")))))</x:f>
      </x:c>
      <x:c r="T1174" s="64" t="str">
        <x:f>IF(A1174="","",IF(COUNTIF($A$5:$A$1204,A1174)&gt;1,"重复",""))</x:f>
      </x:c>
      <x:c r="U1174" s="64" t="str">
        <x:f>IF(A1174="","",IF(T1174="重复","检查重复",IF(OR(R1174="有证据",R1174="有记录",R1174="持续跟踪"),"可追踪","检查")))</x:f>
      </x:c>
    </x:row>
    <x:row r="1175">
      <x:c r="A1175" s="62"/>
      <x:c r="B1175" s="62"/>
      <x:c r="C1175" s="62"/>
      <x:c r="D1175" s="66"/>
      <x:c r="E1175" s="68"/>
      <x:c r="F1175" s="62"/>
      <x:c r="G1175" s="62"/>
      <x:c r="H1175" s="62"/>
      <x:c r="I1175" s="62"/>
      <x:c r="J1175" s="62"/>
      <x:c r="K1175" s="62"/>
      <x:c r="L1175" s="62"/>
      <x:c r="M1175" s="68"/>
      <x:c r="N1175" s="68"/>
      <x:c r="O1175" s="68"/>
      <x:c r="P1175" s="71" t="str">
        <x:f>IF(A1175="","",IF(N1175&gt;0,N1175,M1175))</x:f>
      </x:c>
      <x:c r="Q1175" s="72" t="n">
        <x:f>IF(A1175="",0,IF(COUNTIF($A$5:A1175,A1175)=1,1,0))</x:f>
        <x:v>0</x:v>
      </x:c>
      <x:c r="R1175" s="64" t="str">
        <x:f>IF(A1175="","",IF(F1175="C1175成功",IF(AND(J1175&lt;&gt;"",K1175&lt;&gt;"",N1175&gt;0),"有证据","缺C1175证据"),IF(F1175="C1175发货确认中",IF(AND(J1175&lt;&gt;"",K1175&lt;&gt;""),"有证据","缺C1175证据"),IF(F1175="手动完结",IF(OR(L1175&lt;&gt;"",O1175&lt;&gt;"",S1175&lt;&gt;""),"有记录","缺手工证据"),IF(OR(F1175="卖出待补仓",F1175="提交结果待确认",F1175="异常待处理"),"持续跟踪","检查状态")))))</x:f>
      </x:c>
      <x:c r="T1175" s="64" t="str">
        <x:f>IF(A1175="","",IF(COUNTIF($A$5:$A$1204,A1175)&gt;1,"重复",""))</x:f>
      </x:c>
      <x:c r="U1175" s="64" t="str">
        <x:f>IF(A1175="","",IF(T1175="重复","检查重复",IF(OR(R1175="有证据",R1175="有记录",R1175="持续跟踪"),"可追踪","检查")))</x:f>
      </x:c>
    </x:row>
    <x:row r="1176">
      <x:c r="A1176" s="62"/>
      <x:c r="B1176" s="62"/>
      <x:c r="C1176" s="62"/>
      <x:c r="D1176" s="66"/>
      <x:c r="E1176" s="68"/>
      <x:c r="F1176" s="62"/>
      <x:c r="G1176" s="62"/>
      <x:c r="H1176" s="62"/>
      <x:c r="I1176" s="62"/>
      <x:c r="J1176" s="62"/>
      <x:c r="K1176" s="62"/>
      <x:c r="L1176" s="62"/>
      <x:c r="M1176" s="68"/>
      <x:c r="N1176" s="68"/>
      <x:c r="O1176" s="68"/>
      <x:c r="P1176" s="71" t="str">
        <x:f>IF(A1176="","",IF(N1176&gt;0,N1176,M1176))</x:f>
      </x:c>
      <x:c r="Q1176" s="72" t="n">
        <x:f>IF(A1176="",0,IF(COUNTIF($A$5:A1176,A1176)=1,1,0))</x:f>
        <x:v>0</x:v>
      </x:c>
      <x:c r="R1176" s="64" t="str">
        <x:f>IF(A1176="","",IF(F1176="C1176成功",IF(AND(J1176&lt;&gt;"",K1176&lt;&gt;"",N1176&gt;0),"有证据","缺C1176证据"),IF(F1176="C1176发货确认中",IF(AND(J1176&lt;&gt;"",K1176&lt;&gt;""),"有证据","缺C1176证据"),IF(F1176="手动完结",IF(OR(L1176&lt;&gt;"",O1176&lt;&gt;"",S1176&lt;&gt;""),"有记录","缺手工证据"),IF(OR(F1176="卖出待补仓",F1176="提交结果待确认",F1176="异常待处理"),"持续跟踪","检查状态")))))</x:f>
      </x:c>
      <x:c r="T1176" s="64" t="str">
        <x:f>IF(A1176="","",IF(COUNTIF($A$5:$A$1204,A1176)&gt;1,"重复",""))</x:f>
      </x:c>
      <x:c r="U1176" s="64" t="str">
        <x:f>IF(A1176="","",IF(T1176="重复","检查重复",IF(OR(R1176="有证据",R1176="有记录",R1176="持续跟踪"),"可追踪","检查")))</x:f>
      </x:c>
    </x:row>
    <x:row r="1177">
      <x:c r="A1177" s="62"/>
      <x:c r="B1177" s="62"/>
      <x:c r="C1177" s="62"/>
      <x:c r="D1177" s="66"/>
      <x:c r="E1177" s="68"/>
      <x:c r="F1177" s="62"/>
      <x:c r="G1177" s="62"/>
      <x:c r="H1177" s="62"/>
      <x:c r="I1177" s="62"/>
      <x:c r="J1177" s="62"/>
      <x:c r="K1177" s="62"/>
      <x:c r="L1177" s="62"/>
      <x:c r="M1177" s="68"/>
      <x:c r="N1177" s="68"/>
      <x:c r="O1177" s="68"/>
      <x:c r="P1177" s="71" t="str">
        <x:f>IF(A1177="","",IF(N1177&gt;0,N1177,M1177))</x:f>
      </x:c>
      <x:c r="Q1177" s="72" t="n">
        <x:f>IF(A1177="",0,IF(COUNTIF($A$5:A1177,A1177)=1,1,0))</x:f>
        <x:v>0</x:v>
      </x:c>
      <x:c r="R1177" s="64" t="str">
        <x:f>IF(A1177="","",IF(F1177="C1177成功",IF(AND(J1177&lt;&gt;"",K1177&lt;&gt;"",N1177&gt;0),"有证据","缺C1177证据"),IF(F1177="C1177发货确认中",IF(AND(J1177&lt;&gt;"",K1177&lt;&gt;""),"有证据","缺C1177证据"),IF(F1177="手动完结",IF(OR(L1177&lt;&gt;"",O1177&lt;&gt;"",S1177&lt;&gt;""),"有记录","缺手工证据"),IF(OR(F1177="卖出待补仓",F1177="提交结果待确认",F1177="异常待处理"),"持续跟踪","检查状态")))))</x:f>
      </x:c>
      <x:c r="T1177" s="64" t="str">
        <x:f>IF(A1177="","",IF(COUNTIF($A$5:$A$1204,A1177)&gt;1,"重复",""))</x:f>
      </x:c>
      <x:c r="U1177" s="64" t="str">
        <x:f>IF(A1177="","",IF(T1177="重复","检查重复",IF(OR(R1177="有证据",R1177="有记录",R1177="持续跟踪"),"可追踪","检查")))</x:f>
      </x:c>
    </x:row>
    <x:row r="1178">
      <x:c r="A1178" s="62"/>
      <x:c r="B1178" s="62"/>
      <x:c r="C1178" s="62"/>
      <x:c r="D1178" s="66"/>
      <x:c r="E1178" s="68"/>
      <x:c r="F1178" s="62"/>
      <x:c r="G1178" s="62"/>
      <x:c r="H1178" s="62"/>
      <x:c r="I1178" s="62"/>
      <x:c r="J1178" s="62"/>
      <x:c r="K1178" s="62"/>
      <x:c r="L1178" s="62"/>
      <x:c r="M1178" s="68"/>
      <x:c r="N1178" s="68"/>
      <x:c r="O1178" s="68"/>
      <x:c r="P1178" s="71" t="str">
        <x:f>IF(A1178="","",IF(N1178&gt;0,N1178,M1178))</x:f>
      </x:c>
      <x:c r="Q1178" s="72" t="n">
        <x:f>IF(A1178="",0,IF(COUNTIF($A$5:A1178,A1178)=1,1,0))</x:f>
        <x:v>0</x:v>
      </x:c>
      <x:c r="R1178" s="64" t="str">
        <x:f>IF(A1178="","",IF(F1178="C1178成功",IF(AND(J1178&lt;&gt;"",K1178&lt;&gt;"",N1178&gt;0),"有证据","缺C1178证据"),IF(F1178="C1178发货确认中",IF(AND(J1178&lt;&gt;"",K1178&lt;&gt;""),"有证据","缺C1178证据"),IF(F1178="手动完结",IF(OR(L1178&lt;&gt;"",O1178&lt;&gt;"",S1178&lt;&gt;""),"有记录","缺手工证据"),IF(OR(F1178="卖出待补仓",F1178="提交结果待确认",F1178="异常待处理"),"持续跟踪","检查状态")))))</x:f>
      </x:c>
      <x:c r="T1178" s="64" t="str">
        <x:f>IF(A1178="","",IF(COUNTIF($A$5:$A$1204,A1178)&gt;1,"重复",""))</x:f>
      </x:c>
      <x:c r="U1178" s="64" t="str">
        <x:f>IF(A1178="","",IF(T1178="重复","检查重复",IF(OR(R1178="有证据",R1178="有记录",R1178="持续跟踪"),"可追踪","检查")))</x:f>
      </x:c>
    </x:row>
    <x:row r="1179">
      <x:c r="A1179" s="62"/>
      <x:c r="B1179" s="62"/>
      <x:c r="C1179" s="62"/>
      <x:c r="D1179" s="66"/>
      <x:c r="E1179" s="68"/>
      <x:c r="F1179" s="62"/>
      <x:c r="G1179" s="62"/>
      <x:c r="H1179" s="62"/>
      <x:c r="I1179" s="62"/>
      <x:c r="J1179" s="62"/>
      <x:c r="K1179" s="62"/>
      <x:c r="L1179" s="62"/>
      <x:c r="M1179" s="68"/>
      <x:c r="N1179" s="68"/>
      <x:c r="O1179" s="68"/>
      <x:c r="P1179" s="71" t="str">
        <x:f>IF(A1179="","",IF(N1179&gt;0,N1179,M1179))</x:f>
      </x:c>
      <x:c r="Q1179" s="72" t="n">
        <x:f>IF(A1179="",0,IF(COUNTIF($A$5:A1179,A1179)=1,1,0))</x:f>
        <x:v>0</x:v>
      </x:c>
      <x:c r="R1179" s="64" t="str">
        <x:f>IF(A1179="","",IF(F1179="C1179成功",IF(AND(J1179&lt;&gt;"",K1179&lt;&gt;"",N1179&gt;0),"有证据","缺C1179证据"),IF(F1179="C1179发货确认中",IF(AND(J1179&lt;&gt;"",K1179&lt;&gt;""),"有证据","缺C1179证据"),IF(F1179="手动完结",IF(OR(L1179&lt;&gt;"",O1179&lt;&gt;"",S1179&lt;&gt;""),"有记录","缺手工证据"),IF(OR(F1179="卖出待补仓",F1179="提交结果待确认",F1179="异常待处理"),"持续跟踪","检查状态")))))</x:f>
      </x:c>
      <x:c r="T1179" s="64" t="str">
        <x:f>IF(A1179="","",IF(COUNTIF($A$5:$A$1204,A1179)&gt;1,"重复",""))</x:f>
      </x:c>
      <x:c r="U1179" s="64" t="str">
        <x:f>IF(A1179="","",IF(T1179="重复","检查重复",IF(OR(R1179="有证据",R1179="有记录",R1179="持续跟踪"),"可追踪","检查")))</x:f>
      </x:c>
    </x:row>
    <x:row r="1180">
      <x:c r="A1180" s="62"/>
      <x:c r="B1180" s="62"/>
      <x:c r="C1180" s="62"/>
      <x:c r="D1180" s="66"/>
      <x:c r="E1180" s="68"/>
      <x:c r="F1180" s="62"/>
      <x:c r="G1180" s="62"/>
      <x:c r="H1180" s="62"/>
      <x:c r="I1180" s="62"/>
      <x:c r="J1180" s="62"/>
      <x:c r="K1180" s="62"/>
      <x:c r="L1180" s="62"/>
      <x:c r="M1180" s="68"/>
      <x:c r="N1180" s="68"/>
      <x:c r="O1180" s="68"/>
      <x:c r="P1180" s="71" t="str">
        <x:f>IF(A1180="","",IF(N1180&gt;0,N1180,M1180))</x:f>
      </x:c>
      <x:c r="Q1180" s="72" t="n">
        <x:f>IF(A1180="",0,IF(COUNTIF($A$5:A1180,A1180)=1,1,0))</x:f>
        <x:v>0</x:v>
      </x:c>
      <x:c r="R1180" s="64" t="str">
        <x:f>IF(A1180="","",IF(F1180="C1180成功",IF(AND(J1180&lt;&gt;"",K1180&lt;&gt;"",N1180&gt;0),"有证据","缺C1180证据"),IF(F1180="C1180发货确认中",IF(AND(J1180&lt;&gt;"",K1180&lt;&gt;""),"有证据","缺C1180证据"),IF(F1180="手动完结",IF(OR(L1180&lt;&gt;"",O1180&lt;&gt;"",S1180&lt;&gt;""),"有记录","缺手工证据"),IF(OR(F1180="卖出待补仓",F1180="提交结果待确认",F1180="异常待处理"),"持续跟踪","检查状态")))))</x:f>
      </x:c>
      <x:c r="T1180" s="64" t="str">
        <x:f>IF(A1180="","",IF(COUNTIF($A$5:$A$1204,A1180)&gt;1,"重复",""))</x:f>
      </x:c>
      <x:c r="U1180" s="64" t="str">
        <x:f>IF(A1180="","",IF(T1180="重复","检查重复",IF(OR(R1180="有证据",R1180="有记录",R1180="持续跟踪"),"可追踪","检查")))</x:f>
      </x:c>
    </x:row>
    <x:row r="1181">
      <x:c r="A1181" s="62"/>
      <x:c r="B1181" s="62"/>
      <x:c r="C1181" s="62"/>
      <x:c r="D1181" s="66"/>
      <x:c r="E1181" s="68"/>
      <x:c r="F1181" s="62"/>
      <x:c r="G1181" s="62"/>
      <x:c r="H1181" s="62"/>
      <x:c r="I1181" s="62"/>
      <x:c r="J1181" s="62"/>
      <x:c r="K1181" s="62"/>
      <x:c r="L1181" s="62"/>
      <x:c r="M1181" s="68"/>
      <x:c r="N1181" s="68"/>
      <x:c r="O1181" s="68"/>
      <x:c r="P1181" s="71" t="str">
        <x:f>IF(A1181="","",IF(N1181&gt;0,N1181,M1181))</x:f>
      </x:c>
      <x:c r="Q1181" s="72" t="n">
        <x:f>IF(A1181="",0,IF(COUNTIF($A$5:A1181,A1181)=1,1,0))</x:f>
        <x:v>0</x:v>
      </x:c>
      <x:c r="R1181" s="64" t="str">
        <x:f>IF(A1181="","",IF(F1181="C1181成功",IF(AND(J1181&lt;&gt;"",K1181&lt;&gt;"",N1181&gt;0),"有证据","缺C1181证据"),IF(F1181="C1181发货确认中",IF(AND(J1181&lt;&gt;"",K1181&lt;&gt;""),"有证据","缺C1181证据"),IF(F1181="手动完结",IF(OR(L1181&lt;&gt;"",O1181&lt;&gt;"",S1181&lt;&gt;""),"有记录","缺手工证据"),IF(OR(F1181="卖出待补仓",F1181="提交结果待确认",F1181="异常待处理"),"持续跟踪","检查状态")))))</x:f>
      </x:c>
      <x:c r="T1181" s="64" t="str">
        <x:f>IF(A1181="","",IF(COUNTIF($A$5:$A$1204,A1181)&gt;1,"重复",""))</x:f>
      </x:c>
      <x:c r="U1181" s="64" t="str">
        <x:f>IF(A1181="","",IF(T1181="重复","检查重复",IF(OR(R1181="有证据",R1181="有记录",R1181="持续跟踪"),"可追踪","检查")))</x:f>
      </x:c>
    </x:row>
    <x:row r="1182">
      <x:c r="A1182" s="62"/>
      <x:c r="B1182" s="62"/>
      <x:c r="C1182" s="62"/>
      <x:c r="D1182" s="66"/>
      <x:c r="E1182" s="68"/>
      <x:c r="F1182" s="62"/>
      <x:c r="G1182" s="62"/>
      <x:c r="H1182" s="62"/>
      <x:c r="I1182" s="62"/>
      <x:c r="J1182" s="62"/>
      <x:c r="K1182" s="62"/>
      <x:c r="L1182" s="62"/>
      <x:c r="M1182" s="68"/>
      <x:c r="N1182" s="68"/>
      <x:c r="O1182" s="68"/>
      <x:c r="P1182" s="71" t="str">
        <x:f>IF(A1182="","",IF(N1182&gt;0,N1182,M1182))</x:f>
      </x:c>
      <x:c r="Q1182" s="72" t="n">
        <x:f>IF(A1182="",0,IF(COUNTIF($A$5:A1182,A1182)=1,1,0))</x:f>
        <x:v>0</x:v>
      </x:c>
      <x:c r="R1182" s="64" t="str">
        <x:f>IF(A1182="","",IF(F1182="C1182成功",IF(AND(J1182&lt;&gt;"",K1182&lt;&gt;"",N1182&gt;0),"有证据","缺C1182证据"),IF(F1182="C1182发货确认中",IF(AND(J1182&lt;&gt;"",K1182&lt;&gt;""),"有证据","缺C1182证据"),IF(F1182="手动完结",IF(OR(L1182&lt;&gt;"",O1182&lt;&gt;"",S1182&lt;&gt;""),"有记录","缺手工证据"),IF(OR(F1182="卖出待补仓",F1182="提交结果待确认",F1182="异常待处理"),"持续跟踪","检查状态")))))</x:f>
      </x:c>
      <x:c r="T1182" s="64" t="str">
        <x:f>IF(A1182="","",IF(COUNTIF($A$5:$A$1204,A1182)&gt;1,"重复",""))</x:f>
      </x:c>
      <x:c r="U1182" s="64" t="str">
        <x:f>IF(A1182="","",IF(T1182="重复","检查重复",IF(OR(R1182="有证据",R1182="有记录",R1182="持续跟踪"),"可追踪","检查")))</x:f>
      </x:c>
    </x:row>
    <x:row r="1183">
      <x:c r="A1183" s="62"/>
      <x:c r="B1183" s="62"/>
      <x:c r="C1183" s="62"/>
      <x:c r="D1183" s="66"/>
      <x:c r="E1183" s="68"/>
      <x:c r="F1183" s="62"/>
      <x:c r="G1183" s="62"/>
      <x:c r="H1183" s="62"/>
      <x:c r="I1183" s="62"/>
      <x:c r="J1183" s="62"/>
      <x:c r="K1183" s="62"/>
      <x:c r="L1183" s="62"/>
      <x:c r="M1183" s="68"/>
      <x:c r="N1183" s="68"/>
      <x:c r="O1183" s="68"/>
      <x:c r="P1183" s="71" t="str">
        <x:f>IF(A1183="","",IF(N1183&gt;0,N1183,M1183))</x:f>
      </x:c>
      <x:c r="Q1183" s="72" t="n">
        <x:f>IF(A1183="",0,IF(COUNTIF($A$5:A1183,A1183)=1,1,0))</x:f>
        <x:v>0</x:v>
      </x:c>
      <x:c r="R1183" s="64" t="str">
        <x:f>IF(A1183="","",IF(F1183="C1183成功",IF(AND(J1183&lt;&gt;"",K1183&lt;&gt;"",N1183&gt;0),"有证据","缺C1183证据"),IF(F1183="C1183发货确认中",IF(AND(J1183&lt;&gt;"",K1183&lt;&gt;""),"有证据","缺C1183证据"),IF(F1183="手动完结",IF(OR(L1183&lt;&gt;"",O1183&lt;&gt;"",S1183&lt;&gt;""),"有记录","缺手工证据"),IF(OR(F1183="卖出待补仓",F1183="提交结果待确认",F1183="异常待处理"),"持续跟踪","检查状态")))))</x:f>
      </x:c>
      <x:c r="T1183" s="64" t="str">
        <x:f>IF(A1183="","",IF(COUNTIF($A$5:$A$1204,A1183)&gt;1,"重复",""))</x:f>
      </x:c>
      <x:c r="U1183" s="64" t="str">
        <x:f>IF(A1183="","",IF(T1183="重复","检查重复",IF(OR(R1183="有证据",R1183="有记录",R1183="持续跟踪"),"可追踪","检查")))</x:f>
      </x:c>
    </x:row>
    <x:row r="1184">
      <x:c r="A1184" s="62"/>
      <x:c r="B1184" s="62"/>
      <x:c r="C1184" s="62"/>
      <x:c r="D1184" s="66"/>
      <x:c r="E1184" s="68"/>
      <x:c r="F1184" s="62"/>
      <x:c r="G1184" s="62"/>
      <x:c r="H1184" s="62"/>
      <x:c r="I1184" s="62"/>
      <x:c r="J1184" s="62"/>
      <x:c r="K1184" s="62"/>
      <x:c r="L1184" s="62"/>
      <x:c r="M1184" s="68"/>
      <x:c r="N1184" s="68"/>
      <x:c r="O1184" s="68"/>
      <x:c r="P1184" s="71" t="str">
        <x:f>IF(A1184="","",IF(N1184&gt;0,N1184,M1184))</x:f>
      </x:c>
      <x:c r="Q1184" s="72" t="n">
        <x:f>IF(A1184="",0,IF(COUNTIF($A$5:A1184,A1184)=1,1,0))</x:f>
        <x:v>0</x:v>
      </x:c>
      <x:c r="R1184" s="64" t="str">
        <x:f>IF(A1184="","",IF(F1184="C1184成功",IF(AND(J1184&lt;&gt;"",K1184&lt;&gt;"",N1184&gt;0),"有证据","缺C1184证据"),IF(F1184="C1184发货确认中",IF(AND(J1184&lt;&gt;"",K1184&lt;&gt;""),"有证据","缺C1184证据"),IF(F1184="手动完结",IF(OR(L1184&lt;&gt;"",O1184&lt;&gt;"",S1184&lt;&gt;""),"有记录","缺手工证据"),IF(OR(F1184="卖出待补仓",F1184="提交结果待确认",F1184="异常待处理"),"持续跟踪","检查状态")))))</x:f>
      </x:c>
      <x:c r="T1184" s="64" t="str">
        <x:f>IF(A1184="","",IF(COUNTIF($A$5:$A$1204,A1184)&gt;1,"重复",""))</x:f>
      </x:c>
      <x:c r="U1184" s="64" t="str">
        <x:f>IF(A1184="","",IF(T1184="重复","检查重复",IF(OR(R1184="有证据",R1184="有记录",R1184="持续跟踪"),"可追踪","检查")))</x:f>
      </x:c>
    </x:row>
    <x:row r="1185">
      <x:c r="A1185" s="62"/>
      <x:c r="B1185" s="62"/>
      <x:c r="C1185" s="62"/>
      <x:c r="D1185" s="66"/>
      <x:c r="E1185" s="68"/>
      <x:c r="F1185" s="62"/>
      <x:c r="G1185" s="62"/>
      <x:c r="H1185" s="62"/>
      <x:c r="I1185" s="62"/>
      <x:c r="J1185" s="62"/>
      <x:c r="K1185" s="62"/>
      <x:c r="L1185" s="62"/>
      <x:c r="M1185" s="68"/>
      <x:c r="N1185" s="68"/>
      <x:c r="O1185" s="68"/>
      <x:c r="P1185" s="71" t="str">
        <x:f>IF(A1185="","",IF(N1185&gt;0,N1185,M1185))</x:f>
      </x:c>
      <x:c r="Q1185" s="72" t="n">
        <x:f>IF(A1185="",0,IF(COUNTIF($A$5:A1185,A1185)=1,1,0))</x:f>
        <x:v>0</x:v>
      </x:c>
      <x:c r="R1185" s="64" t="str">
        <x:f>IF(A1185="","",IF(F1185="C1185成功",IF(AND(J1185&lt;&gt;"",K1185&lt;&gt;"",N1185&gt;0),"有证据","缺C1185证据"),IF(F1185="C1185发货确认中",IF(AND(J1185&lt;&gt;"",K1185&lt;&gt;""),"有证据","缺C1185证据"),IF(F1185="手动完结",IF(OR(L1185&lt;&gt;"",O1185&lt;&gt;"",S1185&lt;&gt;""),"有记录","缺手工证据"),IF(OR(F1185="卖出待补仓",F1185="提交结果待确认",F1185="异常待处理"),"持续跟踪","检查状态")))))</x:f>
      </x:c>
      <x:c r="T1185" s="64" t="str">
        <x:f>IF(A1185="","",IF(COUNTIF($A$5:$A$1204,A1185)&gt;1,"重复",""))</x:f>
      </x:c>
      <x:c r="U1185" s="64" t="str">
        <x:f>IF(A1185="","",IF(T1185="重复","检查重复",IF(OR(R1185="有证据",R1185="有记录",R1185="持续跟踪"),"可追踪","检查")))</x:f>
      </x:c>
    </x:row>
    <x:row r="1186">
      <x:c r="A1186" s="62"/>
      <x:c r="B1186" s="62"/>
      <x:c r="C1186" s="62"/>
      <x:c r="D1186" s="66"/>
      <x:c r="E1186" s="68"/>
      <x:c r="F1186" s="62"/>
      <x:c r="G1186" s="62"/>
      <x:c r="H1186" s="62"/>
      <x:c r="I1186" s="62"/>
      <x:c r="J1186" s="62"/>
      <x:c r="K1186" s="62"/>
      <x:c r="L1186" s="62"/>
      <x:c r="M1186" s="68"/>
      <x:c r="N1186" s="68"/>
      <x:c r="O1186" s="68"/>
      <x:c r="P1186" s="71" t="str">
        <x:f>IF(A1186="","",IF(N1186&gt;0,N1186,M1186))</x:f>
      </x:c>
      <x:c r="Q1186" s="72" t="n">
        <x:f>IF(A1186="",0,IF(COUNTIF($A$5:A1186,A1186)=1,1,0))</x:f>
        <x:v>0</x:v>
      </x:c>
      <x:c r="R1186" s="64" t="str">
        <x:f>IF(A1186="","",IF(F1186="C1186成功",IF(AND(J1186&lt;&gt;"",K1186&lt;&gt;"",N1186&gt;0),"有证据","缺C1186证据"),IF(F1186="C1186发货确认中",IF(AND(J1186&lt;&gt;"",K1186&lt;&gt;""),"有证据","缺C1186证据"),IF(F1186="手动完结",IF(OR(L1186&lt;&gt;"",O1186&lt;&gt;"",S1186&lt;&gt;""),"有记录","缺手工证据"),IF(OR(F1186="卖出待补仓",F1186="提交结果待确认",F1186="异常待处理"),"持续跟踪","检查状态")))))</x:f>
      </x:c>
      <x:c r="T1186" s="64" t="str">
        <x:f>IF(A1186="","",IF(COUNTIF($A$5:$A$1204,A1186)&gt;1,"重复",""))</x:f>
      </x:c>
      <x:c r="U1186" s="64" t="str">
        <x:f>IF(A1186="","",IF(T1186="重复","检查重复",IF(OR(R1186="有证据",R1186="有记录",R1186="持续跟踪"),"可追踪","检查")))</x:f>
      </x:c>
    </x:row>
    <x:row r="1187">
      <x:c r="A1187" s="62"/>
      <x:c r="B1187" s="62"/>
      <x:c r="C1187" s="62"/>
      <x:c r="D1187" s="66"/>
      <x:c r="E1187" s="68"/>
      <x:c r="F1187" s="62"/>
      <x:c r="G1187" s="62"/>
      <x:c r="H1187" s="62"/>
      <x:c r="I1187" s="62"/>
      <x:c r="J1187" s="62"/>
      <x:c r="K1187" s="62"/>
      <x:c r="L1187" s="62"/>
      <x:c r="M1187" s="68"/>
      <x:c r="N1187" s="68"/>
      <x:c r="O1187" s="68"/>
      <x:c r="P1187" s="71" t="str">
        <x:f>IF(A1187="","",IF(N1187&gt;0,N1187,M1187))</x:f>
      </x:c>
      <x:c r="Q1187" s="72" t="n">
        <x:f>IF(A1187="",0,IF(COUNTIF($A$5:A1187,A1187)=1,1,0))</x:f>
        <x:v>0</x:v>
      </x:c>
      <x:c r="R1187" s="64" t="str">
        <x:f>IF(A1187="","",IF(F1187="C1187成功",IF(AND(J1187&lt;&gt;"",K1187&lt;&gt;"",N1187&gt;0),"有证据","缺C1187证据"),IF(F1187="C1187发货确认中",IF(AND(J1187&lt;&gt;"",K1187&lt;&gt;""),"有证据","缺C1187证据"),IF(F1187="手动完结",IF(OR(L1187&lt;&gt;"",O1187&lt;&gt;"",S1187&lt;&gt;""),"有记录","缺手工证据"),IF(OR(F1187="卖出待补仓",F1187="提交结果待确认",F1187="异常待处理"),"持续跟踪","检查状态")))))</x:f>
      </x:c>
      <x:c r="T1187" s="64" t="str">
        <x:f>IF(A1187="","",IF(COUNTIF($A$5:$A$1204,A1187)&gt;1,"重复",""))</x:f>
      </x:c>
      <x:c r="U1187" s="64" t="str">
        <x:f>IF(A1187="","",IF(T1187="重复","检查重复",IF(OR(R1187="有证据",R1187="有记录",R1187="持续跟踪"),"可追踪","检查")))</x:f>
      </x:c>
    </x:row>
    <x:row r="1188">
      <x:c r="A1188" s="62"/>
      <x:c r="B1188" s="62"/>
      <x:c r="C1188" s="62"/>
      <x:c r="D1188" s="66"/>
      <x:c r="E1188" s="68"/>
      <x:c r="F1188" s="62"/>
      <x:c r="G1188" s="62"/>
      <x:c r="H1188" s="62"/>
      <x:c r="I1188" s="62"/>
      <x:c r="J1188" s="62"/>
      <x:c r="K1188" s="62"/>
      <x:c r="L1188" s="62"/>
      <x:c r="M1188" s="68"/>
      <x:c r="N1188" s="68"/>
      <x:c r="O1188" s="68"/>
      <x:c r="P1188" s="71" t="str">
        <x:f>IF(A1188="","",IF(N1188&gt;0,N1188,M1188))</x:f>
      </x:c>
      <x:c r="Q1188" s="72" t="n">
        <x:f>IF(A1188="",0,IF(COUNTIF($A$5:A1188,A1188)=1,1,0))</x:f>
        <x:v>0</x:v>
      </x:c>
      <x:c r="R1188" s="64" t="str">
        <x:f>IF(A1188="","",IF(F1188="C1188成功",IF(AND(J1188&lt;&gt;"",K1188&lt;&gt;"",N1188&gt;0),"有证据","缺C1188证据"),IF(F1188="C1188发货确认中",IF(AND(J1188&lt;&gt;"",K1188&lt;&gt;""),"有证据","缺C1188证据"),IF(F1188="手动完结",IF(OR(L1188&lt;&gt;"",O1188&lt;&gt;"",S1188&lt;&gt;""),"有记录","缺手工证据"),IF(OR(F1188="卖出待补仓",F1188="提交结果待确认",F1188="异常待处理"),"持续跟踪","检查状态")))))</x:f>
      </x:c>
      <x:c r="T1188" s="64" t="str">
        <x:f>IF(A1188="","",IF(COUNTIF($A$5:$A$1204,A1188)&gt;1,"重复",""))</x:f>
      </x:c>
      <x:c r="U1188" s="64" t="str">
        <x:f>IF(A1188="","",IF(T1188="重复","检查重复",IF(OR(R1188="有证据",R1188="有记录",R1188="持续跟踪"),"可追踪","检查")))</x:f>
      </x:c>
    </x:row>
    <x:row r="1189">
      <x:c r="A1189" s="62"/>
      <x:c r="B1189" s="62"/>
      <x:c r="C1189" s="62"/>
      <x:c r="D1189" s="66"/>
      <x:c r="E1189" s="68"/>
      <x:c r="F1189" s="62"/>
      <x:c r="G1189" s="62"/>
      <x:c r="H1189" s="62"/>
      <x:c r="I1189" s="62"/>
      <x:c r="J1189" s="62"/>
      <x:c r="K1189" s="62"/>
      <x:c r="L1189" s="62"/>
      <x:c r="M1189" s="68"/>
      <x:c r="N1189" s="68"/>
      <x:c r="O1189" s="68"/>
      <x:c r="P1189" s="71" t="str">
        <x:f>IF(A1189="","",IF(N1189&gt;0,N1189,M1189))</x:f>
      </x:c>
      <x:c r="Q1189" s="72" t="n">
        <x:f>IF(A1189="",0,IF(COUNTIF($A$5:A1189,A1189)=1,1,0))</x:f>
        <x:v>0</x:v>
      </x:c>
      <x:c r="R1189" s="64" t="str">
        <x:f>IF(A1189="","",IF(F1189="C1189成功",IF(AND(J1189&lt;&gt;"",K1189&lt;&gt;"",N1189&gt;0),"有证据","缺C1189证据"),IF(F1189="C1189发货确认中",IF(AND(J1189&lt;&gt;"",K1189&lt;&gt;""),"有证据","缺C1189证据"),IF(F1189="手动完结",IF(OR(L1189&lt;&gt;"",O1189&lt;&gt;"",S1189&lt;&gt;""),"有记录","缺手工证据"),IF(OR(F1189="卖出待补仓",F1189="提交结果待确认",F1189="异常待处理"),"持续跟踪","检查状态")))))</x:f>
      </x:c>
      <x:c r="T1189" s="64" t="str">
        <x:f>IF(A1189="","",IF(COUNTIF($A$5:$A$1204,A1189)&gt;1,"重复",""))</x:f>
      </x:c>
      <x:c r="U1189" s="64" t="str">
        <x:f>IF(A1189="","",IF(T1189="重复","检查重复",IF(OR(R1189="有证据",R1189="有记录",R1189="持续跟踪"),"可追踪","检查")))</x:f>
      </x:c>
    </x:row>
    <x:row r="1190">
      <x:c r="A1190" s="62"/>
      <x:c r="B1190" s="62"/>
      <x:c r="C1190" s="62"/>
      <x:c r="D1190" s="66"/>
      <x:c r="E1190" s="68"/>
      <x:c r="F1190" s="62"/>
      <x:c r="G1190" s="62"/>
      <x:c r="H1190" s="62"/>
      <x:c r="I1190" s="62"/>
      <x:c r="J1190" s="62"/>
      <x:c r="K1190" s="62"/>
      <x:c r="L1190" s="62"/>
      <x:c r="M1190" s="68"/>
      <x:c r="N1190" s="68"/>
      <x:c r="O1190" s="68"/>
      <x:c r="P1190" s="71" t="str">
        <x:f>IF(A1190="","",IF(N1190&gt;0,N1190,M1190))</x:f>
      </x:c>
      <x:c r="Q1190" s="72" t="n">
        <x:f>IF(A1190="",0,IF(COUNTIF($A$5:A1190,A1190)=1,1,0))</x:f>
        <x:v>0</x:v>
      </x:c>
      <x:c r="R1190" s="64" t="str">
        <x:f>IF(A1190="","",IF(F1190="C1190成功",IF(AND(J1190&lt;&gt;"",K1190&lt;&gt;"",N1190&gt;0),"有证据","缺C1190证据"),IF(F1190="C1190发货确认中",IF(AND(J1190&lt;&gt;"",K1190&lt;&gt;""),"有证据","缺C1190证据"),IF(F1190="手动完结",IF(OR(L1190&lt;&gt;"",O1190&lt;&gt;"",S1190&lt;&gt;""),"有记录","缺手工证据"),IF(OR(F1190="卖出待补仓",F1190="提交结果待确认",F1190="异常待处理"),"持续跟踪","检查状态")))))</x:f>
      </x:c>
      <x:c r="T1190" s="64" t="str">
        <x:f>IF(A1190="","",IF(COUNTIF($A$5:$A$1204,A1190)&gt;1,"重复",""))</x:f>
      </x:c>
      <x:c r="U1190" s="64" t="str">
        <x:f>IF(A1190="","",IF(T1190="重复","检查重复",IF(OR(R1190="有证据",R1190="有记录",R1190="持续跟踪"),"可追踪","检查")))</x:f>
      </x:c>
    </x:row>
    <x:row r="1191">
      <x:c r="A1191" s="62"/>
      <x:c r="B1191" s="62"/>
      <x:c r="C1191" s="62"/>
      <x:c r="D1191" s="66"/>
      <x:c r="E1191" s="68"/>
      <x:c r="F1191" s="62"/>
      <x:c r="G1191" s="62"/>
      <x:c r="H1191" s="62"/>
      <x:c r="I1191" s="62"/>
      <x:c r="J1191" s="62"/>
      <x:c r="K1191" s="62"/>
      <x:c r="L1191" s="62"/>
      <x:c r="M1191" s="68"/>
      <x:c r="N1191" s="68"/>
      <x:c r="O1191" s="68"/>
      <x:c r="P1191" s="71" t="str">
        <x:f>IF(A1191="","",IF(N1191&gt;0,N1191,M1191))</x:f>
      </x:c>
      <x:c r="Q1191" s="72" t="n">
        <x:f>IF(A1191="",0,IF(COUNTIF($A$5:A1191,A1191)=1,1,0))</x:f>
        <x:v>0</x:v>
      </x:c>
      <x:c r="R1191" s="64" t="str">
        <x:f>IF(A1191="","",IF(F1191="C1191成功",IF(AND(J1191&lt;&gt;"",K1191&lt;&gt;"",N1191&gt;0),"有证据","缺C1191证据"),IF(F1191="C1191发货确认中",IF(AND(J1191&lt;&gt;"",K1191&lt;&gt;""),"有证据","缺C1191证据"),IF(F1191="手动完结",IF(OR(L1191&lt;&gt;"",O1191&lt;&gt;"",S1191&lt;&gt;""),"有记录","缺手工证据"),IF(OR(F1191="卖出待补仓",F1191="提交结果待确认",F1191="异常待处理"),"持续跟踪","检查状态")))))</x:f>
      </x:c>
      <x:c r="T1191" s="64" t="str">
        <x:f>IF(A1191="","",IF(COUNTIF($A$5:$A$1204,A1191)&gt;1,"重复",""))</x:f>
      </x:c>
      <x:c r="U1191" s="64" t="str">
        <x:f>IF(A1191="","",IF(T1191="重复","检查重复",IF(OR(R1191="有证据",R1191="有记录",R1191="持续跟踪"),"可追踪","检查")))</x:f>
      </x:c>
    </x:row>
    <x:row r="1192">
      <x:c r="A1192" s="62"/>
      <x:c r="B1192" s="62"/>
      <x:c r="C1192" s="62"/>
      <x:c r="D1192" s="66"/>
      <x:c r="E1192" s="68"/>
      <x:c r="F1192" s="62"/>
      <x:c r="G1192" s="62"/>
      <x:c r="H1192" s="62"/>
      <x:c r="I1192" s="62"/>
      <x:c r="J1192" s="62"/>
      <x:c r="K1192" s="62"/>
      <x:c r="L1192" s="62"/>
      <x:c r="M1192" s="68"/>
      <x:c r="N1192" s="68"/>
      <x:c r="O1192" s="68"/>
      <x:c r="P1192" s="71" t="str">
        <x:f>IF(A1192="","",IF(N1192&gt;0,N1192,M1192))</x:f>
      </x:c>
      <x:c r="Q1192" s="72" t="n">
        <x:f>IF(A1192="",0,IF(COUNTIF($A$5:A1192,A1192)=1,1,0))</x:f>
        <x:v>0</x:v>
      </x:c>
      <x:c r="R1192" s="64" t="str">
        <x:f>IF(A1192="","",IF(F1192="C1192成功",IF(AND(J1192&lt;&gt;"",K1192&lt;&gt;"",N1192&gt;0),"有证据","缺C1192证据"),IF(F1192="C1192发货确认中",IF(AND(J1192&lt;&gt;"",K1192&lt;&gt;""),"有证据","缺C1192证据"),IF(F1192="手动完结",IF(OR(L1192&lt;&gt;"",O1192&lt;&gt;"",S1192&lt;&gt;""),"有记录","缺手工证据"),IF(OR(F1192="卖出待补仓",F1192="提交结果待确认",F1192="异常待处理"),"持续跟踪","检查状态")))))</x:f>
      </x:c>
      <x:c r="T1192" s="64" t="str">
        <x:f>IF(A1192="","",IF(COUNTIF($A$5:$A$1204,A1192)&gt;1,"重复",""))</x:f>
      </x:c>
      <x:c r="U1192" s="64" t="str">
        <x:f>IF(A1192="","",IF(T1192="重复","检查重复",IF(OR(R1192="有证据",R1192="有记录",R1192="持续跟踪"),"可追踪","检查")))</x:f>
      </x:c>
    </x:row>
    <x:row r="1193">
      <x:c r="A1193" s="62"/>
      <x:c r="B1193" s="62"/>
      <x:c r="C1193" s="62"/>
      <x:c r="D1193" s="66"/>
      <x:c r="E1193" s="68"/>
      <x:c r="F1193" s="62"/>
      <x:c r="G1193" s="62"/>
      <x:c r="H1193" s="62"/>
      <x:c r="I1193" s="62"/>
      <x:c r="J1193" s="62"/>
      <x:c r="K1193" s="62"/>
      <x:c r="L1193" s="62"/>
      <x:c r="M1193" s="68"/>
      <x:c r="N1193" s="68"/>
      <x:c r="O1193" s="68"/>
      <x:c r="P1193" s="71" t="str">
        <x:f>IF(A1193="","",IF(N1193&gt;0,N1193,M1193))</x:f>
      </x:c>
      <x:c r="Q1193" s="72" t="n">
        <x:f>IF(A1193="",0,IF(COUNTIF($A$5:A1193,A1193)=1,1,0))</x:f>
        <x:v>0</x:v>
      </x:c>
      <x:c r="R1193" s="64" t="str">
        <x:f>IF(A1193="","",IF(F1193="C1193成功",IF(AND(J1193&lt;&gt;"",K1193&lt;&gt;"",N1193&gt;0),"有证据","缺C1193证据"),IF(F1193="C1193发货确认中",IF(AND(J1193&lt;&gt;"",K1193&lt;&gt;""),"有证据","缺C1193证据"),IF(F1193="手动完结",IF(OR(L1193&lt;&gt;"",O1193&lt;&gt;"",S1193&lt;&gt;""),"有记录","缺手工证据"),IF(OR(F1193="卖出待补仓",F1193="提交结果待确认",F1193="异常待处理"),"持续跟踪","检查状态")))))</x:f>
      </x:c>
      <x:c r="T1193" s="64" t="str">
        <x:f>IF(A1193="","",IF(COUNTIF($A$5:$A$1204,A1193)&gt;1,"重复",""))</x:f>
      </x:c>
      <x:c r="U1193" s="64" t="str">
        <x:f>IF(A1193="","",IF(T1193="重复","检查重复",IF(OR(R1193="有证据",R1193="有记录",R1193="持续跟踪"),"可追踪","检查")))</x:f>
      </x:c>
    </x:row>
    <x:row r="1194">
      <x:c r="A1194" s="62"/>
      <x:c r="B1194" s="62"/>
      <x:c r="C1194" s="62"/>
      <x:c r="D1194" s="66"/>
      <x:c r="E1194" s="68"/>
      <x:c r="F1194" s="62"/>
      <x:c r="G1194" s="62"/>
      <x:c r="H1194" s="62"/>
      <x:c r="I1194" s="62"/>
      <x:c r="J1194" s="62"/>
      <x:c r="K1194" s="62"/>
      <x:c r="L1194" s="62"/>
      <x:c r="M1194" s="68"/>
      <x:c r="N1194" s="68"/>
      <x:c r="O1194" s="68"/>
      <x:c r="P1194" s="71" t="str">
        <x:f>IF(A1194="","",IF(N1194&gt;0,N1194,M1194))</x:f>
      </x:c>
      <x:c r="Q1194" s="72" t="n">
        <x:f>IF(A1194="",0,IF(COUNTIF($A$5:A1194,A1194)=1,1,0))</x:f>
        <x:v>0</x:v>
      </x:c>
      <x:c r="R1194" s="64" t="str">
        <x:f>IF(A1194="","",IF(F1194="C1194成功",IF(AND(J1194&lt;&gt;"",K1194&lt;&gt;"",N1194&gt;0),"有证据","缺C1194证据"),IF(F1194="C1194发货确认中",IF(AND(J1194&lt;&gt;"",K1194&lt;&gt;""),"有证据","缺C1194证据"),IF(F1194="手动完结",IF(OR(L1194&lt;&gt;"",O1194&lt;&gt;"",S1194&lt;&gt;""),"有记录","缺手工证据"),IF(OR(F1194="卖出待补仓",F1194="提交结果待确认",F1194="异常待处理"),"持续跟踪","检查状态")))))</x:f>
      </x:c>
      <x:c r="T1194" s="64" t="str">
        <x:f>IF(A1194="","",IF(COUNTIF($A$5:$A$1204,A1194)&gt;1,"重复",""))</x:f>
      </x:c>
      <x:c r="U1194" s="64" t="str">
        <x:f>IF(A1194="","",IF(T1194="重复","检查重复",IF(OR(R1194="有证据",R1194="有记录",R1194="持续跟踪"),"可追踪","检查")))</x:f>
      </x:c>
    </x:row>
    <x:row r="1195">
      <x:c r="A1195" s="62"/>
      <x:c r="B1195" s="62"/>
      <x:c r="C1195" s="62"/>
      <x:c r="D1195" s="66"/>
      <x:c r="E1195" s="68"/>
      <x:c r="F1195" s="62"/>
      <x:c r="G1195" s="62"/>
      <x:c r="H1195" s="62"/>
      <x:c r="I1195" s="62"/>
      <x:c r="J1195" s="62"/>
      <x:c r="K1195" s="62"/>
      <x:c r="L1195" s="62"/>
      <x:c r="M1195" s="68"/>
      <x:c r="N1195" s="68"/>
      <x:c r="O1195" s="68"/>
      <x:c r="P1195" s="71" t="str">
        <x:f>IF(A1195="","",IF(N1195&gt;0,N1195,M1195))</x:f>
      </x:c>
      <x:c r="Q1195" s="72" t="n">
        <x:f>IF(A1195="",0,IF(COUNTIF($A$5:A1195,A1195)=1,1,0))</x:f>
        <x:v>0</x:v>
      </x:c>
      <x:c r="R1195" s="64" t="str">
        <x:f>IF(A1195="","",IF(F1195="C1195成功",IF(AND(J1195&lt;&gt;"",K1195&lt;&gt;"",N1195&gt;0),"有证据","缺C1195证据"),IF(F1195="C1195发货确认中",IF(AND(J1195&lt;&gt;"",K1195&lt;&gt;""),"有证据","缺C1195证据"),IF(F1195="手动完结",IF(OR(L1195&lt;&gt;"",O1195&lt;&gt;"",S1195&lt;&gt;""),"有记录","缺手工证据"),IF(OR(F1195="卖出待补仓",F1195="提交结果待确认",F1195="异常待处理"),"持续跟踪","检查状态")))))</x:f>
      </x:c>
      <x:c r="T1195" s="64" t="str">
        <x:f>IF(A1195="","",IF(COUNTIF($A$5:$A$1204,A1195)&gt;1,"重复",""))</x:f>
      </x:c>
      <x:c r="U1195" s="64" t="str">
        <x:f>IF(A1195="","",IF(T1195="重复","检查重复",IF(OR(R1195="有证据",R1195="有记录",R1195="持续跟踪"),"可追踪","检查")))</x:f>
      </x:c>
    </x:row>
    <x:row r="1196">
      <x:c r="A1196" s="62"/>
      <x:c r="B1196" s="62"/>
      <x:c r="C1196" s="62"/>
      <x:c r="D1196" s="66"/>
      <x:c r="E1196" s="68"/>
      <x:c r="F1196" s="62"/>
      <x:c r="G1196" s="62"/>
      <x:c r="H1196" s="62"/>
      <x:c r="I1196" s="62"/>
      <x:c r="J1196" s="62"/>
      <x:c r="K1196" s="62"/>
      <x:c r="L1196" s="62"/>
      <x:c r="M1196" s="68"/>
      <x:c r="N1196" s="68"/>
      <x:c r="O1196" s="68"/>
      <x:c r="P1196" s="71" t="str">
        <x:f>IF(A1196="","",IF(N1196&gt;0,N1196,M1196))</x:f>
      </x:c>
      <x:c r="Q1196" s="72" t="n">
        <x:f>IF(A1196="",0,IF(COUNTIF($A$5:A1196,A1196)=1,1,0))</x:f>
        <x:v>0</x:v>
      </x:c>
      <x:c r="R1196" s="64" t="str">
        <x:f>IF(A1196="","",IF(F1196="C1196成功",IF(AND(J1196&lt;&gt;"",K1196&lt;&gt;"",N1196&gt;0),"有证据","缺C1196证据"),IF(F1196="C1196发货确认中",IF(AND(J1196&lt;&gt;"",K1196&lt;&gt;""),"有证据","缺C1196证据"),IF(F1196="手动完结",IF(OR(L1196&lt;&gt;"",O1196&lt;&gt;"",S1196&lt;&gt;""),"有记录","缺手工证据"),IF(OR(F1196="卖出待补仓",F1196="提交结果待确认",F1196="异常待处理"),"持续跟踪","检查状态")))))</x:f>
      </x:c>
      <x:c r="T1196" s="64" t="str">
        <x:f>IF(A1196="","",IF(COUNTIF($A$5:$A$1204,A1196)&gt;1,"重复",""))</x:f>
      </x:c>
      <x:c r="U1196" s="64" t="str">
        <x:f>IF(A1196="","",IF(T1196="重复","检查重复",IF(OR(R1196="有证据",R1196="有记录",R1196="持续跟踪"),"可追踪","检查")))</x:f>
      </x:c>
    </x:row>
    <x:row r="1197">
      <x:c r="A1197" s="62"/>
      <x:c r="B1197" s="62"/>
      <x:c r="C1197" s="62"/>
      <x:c r="D1197" s="66"/>
      <x:c r="E1197" s="68"/>
      <x:c r="F1197" s="62"/>
      <x:c r="G1197" s="62"/>
      <x:c r="H1197" s="62"/>
      <x:c r="I1197" s="62"/>
      <x:c r="J1197" s="62"/>
      <x:c r="K1197" s="62"/>
      <x:c r="L1197" s="62"/>
      <x:c r="M1197" s="68"/>
      <x:c r="N1197" s="68"/>
      <x:c r="O1197" s="68"/>
      <x:c r="P1197" s="71" t="str">
        <x:f>IF(A1197="","",IF(N1197&gt;0,N1197,M1197))</x:f>
      </x:c>
      <x:c r="Q1197" s="72" t="n">
        <x:f>IF(A1197="",0,IF(COUNTIF($A$5:A1197,A1197)=1,1,0))</x:f>
        <x:v>0</x:v>
      </x:c>
      <x:c r="R1197" s="64" t="str">
        <x:f>IF(A1197="","",IF(F1197="C1197成功",IF(AND(J1197&lt;&gt;"",K1197&lt;&gt;"",N1197&gt;0),"有证据","缺C1197证据"),IF(F1197="C1197发货确认中",IF(AND(J1197&lt;&gt;"",K1197&lt;&gt;""),"有证据","缺C1197证据"),IF(F1197="手动完结",IF(OR(L1197&lt;&gt;"",O1197&lt;&gt;"",S1197&lt;&gt;""),"有记录","缺手工证据"),IF(OR(F1197="卖出待补仓",F1197="提交结果待确认",F1197="异常待处理"),"持续跟踪","检查状态")))))</x:f>
      </x:c>
      <x:c r="T1197" s="64" t="str">
        <x:f>IF(A1197="","",IF(COUNTIF($A$5:$A$1204,A1197)&gt;1,"重复",""))</x:f>
      </x:c>
      <x:c r="U1197" s="64" t="str">
        <x:f>IF(A1197="","",IF(T1197="重复","检查重复",IF(OR(R1197="有证据",R1197="有记录",R1197="持续跟踪"),"可追踪","检查")))</x:f>
      </x:c>
    </x:row>
    <x:row r="1198">
      <x:c r="A1198" s="62"/>
      <x:c r="B1198" s="62"/>
      <x:c r="C1198" s="62"/>
      <x:c r="D1198" s="66"/>
      <x:c r="E1198" s="68"/>
      <x:c r="F1198" s="62"/>
      <x:c r="G1198" s="62"/>
      <x:c r="H1198" s="62"/>
      <x:c r="I1198" s="62"/>
      <x:c r="J1198" s="62"/>
      <x:c r="K1198" s="62"/>
      <x:c r="L1198" s="62"/>
      <x:c r="M1198" s="68"/>
      <x:c r="N1198" s="68"/>
      <x:c r="O1198" s="68"/>
      <x:c r="P1198" s="71" t="str">
        <x:f>IF(A1198="","",IF(N1198&gt;0,N1198,M1198))</x:f>
      </x:c>
      <x:c r="Q1198" s="72" t="n">
        <x:f>IF(A1198="",0,IF(COUNTIF($A$5:A1198,A1198)=1,1,0))</x:f>
        <x:v>0</x:v>
      </x:c>
      <x:c r="R1198" s="64" t="str">
        <x:f>IF(A1198="","",IF(F1198="C1198成功",IF(AND(J1198&lt;&gt;"",K1198&lt;&gt;"",N1198&gt;0),"有证据","缺C1198证据"),IF(F1198="C1198发货确认中",IF(AND(J1198&lt;&gt;"",K1198&lt;&gt;""),"有证据","缺C1198证据"),IF(F1198="手动完结",IF(OR(L1198&lt;&gt;"",O1198&lt;&gt;"",S1198&lt;&gt;""),"有记录","缺手工证据"),IF(OR(F1198="卖出待补仓",F1198="提交结果待确认",F1198="异常待处理"),"持续跟踪","检查状态")))))</x:f>
      </x:c>
      <x:c r="T1198" s="64" t="str">
        <x:f>IF(A1198="","",IF(COUNTIF($A$5:$A$1204,A1198)&gt;1,"重复",""))</x:f>
      </x:c>
      <x:c r="U1198" s="64" t="str">
        <x:f>IF(A1198="","",IF(T1198="重复","检查重复",IF(OR(R1198="有证据",R1198="有记录",R1198="持续跟踪"),"可追踪","检查")))</x:f>
      </x:c>
    </x:row>
    <x:row r="1199">
      <x:c r="A1199" s="62"/>
      <x:c r="B1199" s="62"/>
      <x:c r="C1199" s="62"/>
      <x:c r="D1199" s="66"/>
      <x:c r="E1199" s="68"/>
      <x:c r="F1199" s="62"/>
      <x:c r="G1199" s="62"/>
      <x:c r="H1199" s="62"/>
      <x:c r="I1199" s="62"/>
      <x:c r="J1199" s="62"/>
      <x:c r="K1199" s="62"/>
      <x:c r="L1199" s="62"/>
      <x:c r="M1199" s="68"/>
      <x:c r="N1199" s="68"/>
      <x:c r="O1199" s="68"/>
      <x:c r="P1199" s="71" t="str">
        <x:f>IF(A1199="","",IF(N1199&gt;0,N1199,M1199))</x:f>
      </x:c>
      <x:c r="Q1199" s="72" t="n">
        <x:f>IF(A1199="",0,IF(COUNTIF($A$5:A1199,A1199)=1,1,0))</x:f>
        <x:v>0</x:v>
      </x:c>
      <x:c r="R1199" s="64" t="str">
        <x:f>IF(A1199="","",IF(F1199="C1199成功",IF(AND(J1199&lt;&gt;"",K1199&lt;&gt;"",N1199&gt;0),"有证据","缺C1199证据"),IF(F1199="C1199发货确认中",IF(AND(J1199&lt;&gt;"",K1199&lt;&gt;""),"有证据","缺C1199证据"),IF(F1199="手动完结",IF(OR(L1199&lt;&gt;"",O1199&lt;&gt;"",S1199&lt;&gt;""),"有记录","缺手工证据"),IF(OR(F1199="卖出待补仓",F1199="提交结果待确认",F1199="异常待处理"),"持续跟踪","检查状态")))))</x:f>
      </x:c>
      <x:c r="T1199" s="64" t="str">
        <x:f>IF(A1199="","",IF(COUNTIF($A$5:$A$1204,A1199)&gt;1,"重复",""))</x:f>
      </x:c>
      <x:c r="U1199" s="64" t="str">
        <x:f>IF(A1199="","",IF(T1199="重复","检查重复",IF(OR(R1199="有证据",R1199="有记录",R1199="持续跟踪"),"可追踪","检查")))</x:f>
      </x:c>
    </x:row>
    <x:row r="1200">
      <x:c r="A1200" s="62"/>
      <x:c r="B1200" s="62"/>
      <x:c r="C1200" s="62"/>
      <x:c r="D1200" s="66"/>
      <x:c r="E1200" s="68"/>
      <x:c r="F1200" s="62"/>
      <x:c r="G1200" s="62"/>
      <x:c r="H1200" s="62"/>
      <x:c r="I1200" s="62"/>
      <x:c r="J1200" s="62"/>
      <x:c r="K1200" s="62"/>
      <x:c r="L1200" s="62"/>
      <x:c r="M1200" s="68"/>
      <x:c r="N1200" s="68"/>
      <x:c r="O1200" s="68"/>
      <x:c r="P1200" s="71" t="str">
        <x:f>IF(A1200="","",IF(N1200&gt;0,N1200,M1200))</x:f>
      </x:c>
      <x:c r="Q1200" s="72" t="n">
        <x:f>IF(A1200="",0,IF(COUNTIF($A$5:A1200,A1200)=1,1,0))</x:f>
        <x:v>0</x:v>
      </x:c>
      <x:c r="R1200" s="64" t="str">
        <x:f>IF(A1200="","",IF(F1200="C1200成功",IF(AND(J1200&lt;&gt;"",K1200&lt;&gt;"",N1200&gt;0),"有证据","缺C1200证据"),IF(F1200="C1200发货确认中",IF(AND(J1200&lt;&gt;"",K1200&lt;&gt;""),"有证据","缺C1200证据"),IF(F1200="手动完结",IF(OR(L1200&lt;&gt;"",O1200&lt;&gt;"",S1200&lt;&gt;""),"有记录","缺手工证据"),IF(OR(F1200="卖出待补仓",F1200="提交结果待确认",F1200="异常待处理"),"持续跟踪","检查状态")))))</x:f>
      </x:c>
      <x:c r="T1200" s="64" t="str">
        <x:f>IF(A1200="","",IF(COUNTIF($A$5:$A$1204,A1200)&gt;1,"重复",""))</x:f>
      </x:c>
      <x:c r="U1200" s="64" t="str">
        <x:f>IF(A1200="","",IF(T1200="重复","检查重复",IF(OR(R1200="有证据",R1200="有记录",R1200="持续跟踪"),"可追踪","检查")))</x:f>
      </x:c>
    </x:row>
    <x:row r="1201">
      <x:c r="A1201" s="62"/>
      <x:c r="B1201" s="62"/>
      <x:c r="C1201" s="62"/>
      <x:c r="D1201" s="66"/>
      <x:c r="E1201" s="68"/>
      <x:c r="F1201" s="62"/>
      <x:c r="G1201" s="62"/>
      <x:c r="H1201" s="62"/>
      <x:c r="I1201" s="62"/>
      <x:c r="J1201" s="62"/>
      <x:c r="K1201" s="62"/>
      <x:c r="L1201" s="62"/>
      <x:c r="M1201" s="68"/>
      <x:c r="N1201" s="68"/>
      <x:c r="O1201" s="68"/>
      <x:c r="P1201" s="71" t="str">
        <x:f>IF(A1201="","",IF(N1201&gt;0,N1201,M1201))</x:f>
      </x:c>
      <x:c r="Q1201" s="72" t="n">
        <x:f>IF(A1201="",0,IF(COUNTIF($A$5:A1201,A1201)=1,1,0))</x:f>
        <x:v>0</x:v>
      </x:c>
      <x:c r="R1201" s="64" t="str">
        <x:f>IF(A1201="","",IF(F1201="C1201成功",IF(AND(J1201&lt;&gt;"",K1201&lt;&gt;"",N1201&gt;0),"有证据","缺C1201证据"),IF(F1201="C1201发货确认中",IF(AND(J1201&lt;&gt;"",K1201&lt;&gt;""),"有证据","缺C1201证据"),IF(F1201="手动完结",IF(OR(L1201&lt;&gt;"",O1201&lt;&gt;"",S1201&lt;&gt;""),"有记录","缺手工证据"),IF(OR(F1201="卖出待补仓",F1201="提交结果待确认",F1201="异常待处理"),"持续跟踪","检查状态")))))</x:f>
      </x:c>
      <x:c r="T1201" s="64" t="str">
        <x:f>IF(A1201="","",IF(COUNTIF($A$5:$A$1204,A1201)&gt;1,"重复",""))</x:f>
      </x:c>
      <x:c r="U1201" s="64" t="str">
        <x:f>IF(A1201="","",IF(T1201="重复","检查重复",IF(OR(R1201="有证据",R1201="有记录",R1201="持续跟踪"),"可追踪","检查")))</x:f>
      </x:c>
    </x:row>
    <x:row r="1202">
      <x:c r="A1202" s="62"/>
      <x:c r="B1202" s="62"/>
      <x:c r="C1202" s="62"/>
      <x:c r="D1202" s="66"/>
      <x:c r="E1202" s="68"/>
      <x:c r="F1202" s="62"/>
      <x:c r="G1202" s="62"/>
      <x:c r="H1202" s="62"/>
      <x:c r="I1202" s="62"/>
      <x:c r="J1202" s="62"/>
      <x:c r="K1202" s="62"/>
      <x:c r="L1202" s="62"/>
      <x:c r="M1202" s="68"/>
      <x:c r="N1202" s="68"/>
      <x:c r="O1202" s="68"/>
      <x:c r="P1202" s="71" t="str">
        <x:f>IF(A1202="","",IF(N1202&gt;0,N1202,M1202))</x:f>
      </x:c>
      <x:c r="Q1202" s="72" t="n">
        <x:f>IF(A1202="",0,IF(COUNTIF($A$5:A1202,A1202)=1,1,0))</x:f>
        <x:v>0</x:v>
      </x:c>
      <x:c r="R1202" s="64" t="str">
        <x:f>IF(A1202="","",IF(F1202="C1202成功",IF(AND(J1202&lt;&gt;"",K1202&lt;&gt;"",N1202&gt;0),"有证据","缺C1202证据"),IF(F1202="C1202发货确认中",IF(AND(J1202&lt;&gt;"",K1202&lt;&gt;""),"有证据","缺C1202证据"),IF(F1202="手动完结",IF(OR(L1202&lt;&gt;"",O1202&lt;&gt;"",S1202&lt;&gt;""),"有记录","缺手工证据"),IF(OR(F1202="卖出待补仓",F1202="提交结果待确认",F1202="异常待处理"),"持续跟踪","检查状态")))))</x:f>
      </x:c>
      <x:c r="T1202" s="64" t="str">
        <x:f>IF(A1202="","",IF(COUNTIF($A$5:$A$1204,A1202)&gt;1,"重复",""))</x:f>
      </x:c>
      <x:c r="U1202" s="64" t="str">
        <x:f>IF(A1202="","",IF(T1202="重复","检查重复",IF(OR(R1202="有证据",R1202="有记录",R1202="持续跟踪"),"可追踪","检查")))</x:f>
      </x:c>
    </x:row>
    <x:row r="1203">
      <x:c r="A1203" s="62"/>
      <x:c r="B1203" s="62"/>
      <x:c r="C1203" s="62"/>
      <x:c r="D1203" s="66"/>
      <x:c r="E1203" s="68"/>
      <x:c r="F1203" s="62"/>
      <x:c r="G1203" s="62"/>
      <x:c r="H1203" s="62"/>
      <x:c r="I1203" s="62"/>
      <x:c r="J1203" s="62"/>
      <x:c r="K1203" s="62"/>
      <x:c r="L1203" s="62"/>
      <x:c r="M1203" s="68"/>
      <x:c r="N1203" s="68"/>
      <x:c r="O1203" s="68"/>
      <x:c r="P1203" s="71" t="str">
        <x:f>IF(A1203="","",IF(N1203&gt;0,N1203,M1203))</x:f>
      </x:c>
      <x:c r="Q1203" s="72" t="n">
        <x:f>IF(A1203="",0,IF(COUNTIF($A$5:A1203,A1203)=1,1,0))</x:f>
        <x:v>0</x:v>
      </x:c>
      <x:c r="R1203" s="64" t="str">
        <x:f>IF(A1203="","",IF(F1203="C1203成功",IF(AND(J1203&lt;&gt;"",K1203&lt;&gt;"",N1203&gt;0),"有证据","缺C1203证据"),IF(F1203="C1203发货确认中",IF(AND(J1203&lt;&gt;"",K1203&lt;&gt;""),"有证据","缺C1203证据"),IF(F1203="手动完结",IF(OR(L1203&lt;&gt;"",O1203&lt;&gt;"",S1203&lt;&gt;""),"有记录","缺手工证据"),IF(OR(F1203="卖出待补仓",F1203="提交结果待确认",F1203="异常待处理"),"持续跟踪","检查状态")))))</x:f>
      </x:c>
      <x:c r="T1203" s="64" t="str">
        <x:f>IF(A1203="","",IF(COUNTIF($A$5:$A$1204,A1203)&gt;1,"重复",""))</x:f>
      </x:c>
      <x:c r="U1203" s="64" t="str">
        <x:f>IF(A1203="","",IF(T1203="重复","检查重复",IF(OR(R1203="有证据",R1203="有记录",R1203="持续跟踪"),"可追踪","检查")))</x:f>
      </x:c>
    </x:row>
    <x:row r="1204">
      <x:c r="A1204" s="62"/>
      <x:c r="B1204" s="62"/>
      <x:c r="C1204" s="62"/>
      <x:c r="D1204" s="66"/>
      <x:c r="E1204" s="68"/>
      <x:c r="F1204" s="62"/>
      <x:c r="G1204" s="62"/>
      <x:c r="H1204" s="62"/>
      <x:c r="I1204" s="62"/>
      <x:c r="J1204" s="62"/>
      <x:c r="K1204" s="62"/>
      <x:c r="L1204" s="62"/>
      <x:c r="M1204" s="68"/>
      <x:c r="N1204" s="68"/>
      <x:c r="O1204" s="68"/>
      <x:c r="P1204" s="71" t="str">
        <x:f>IF(A1204="","",IF(N1204&gt;0,N1204,M1204))</x:f>
      </x:c>
      <x:c r="Q1204" s="72" t="n">
        <x:f>IF(A1204="",0,IF(COUNTIF($A$5:A1204,A1204)=1,1,0))</x:f>
        <x:v>0</x:v>
      </x:c>
      <x:c r="R1204" s="64" t="str">
        <x:f>IF(A1204="","",IF(F1204="C1204成功",IF(AND(J1204&lt;&gt;"",K1204&lt;&gt;"",N1204&gt;0),"有证据","缺C1204证据"),IF(F1204="C1204发货确认中",IF(AND(J1204&lt;&gt;"",K1204&lt;&gt;""),"有证据","缺C1204证据"),IF(F1204="手动完结",IF(OR(L1204&lt;&gt;"",O1204&lt;&gt;"",S1204&lt;&gt;""),"有记录","缺手工证据"),IF(OR(F1204="卖出待补仓",F1204="提交结果待确认",F1204="异常待处理"),"持续跟踪","检查状态")))))</x:f>
      </x:c>
      <x:c r="T1204" s="64" t="str">
        <x:f>IF(A1204="","",IF(COUNTIF($A$5:$A$1204,A1204)&gt;1,"重复",""))</x:f>
      </x:c>
      <x:c r="U1204" s="64" t="str">
        <x:f>IF(A1204="","",IF(T1204="重复","检查重复",IF(OR(R1204="有证据",R1204="有记录",R1204="持续跟踪"),"可追踪","检查")))</x:f>
      </x:c>
    </x:row>
  </x:sheetData>
  <x:mergeCells>
    <x:mergeCell ref="A1:U1"/>
    <x:mergeCell ref="A2:U2"/>
  </x:mergeCells>
  <x:dataValidations count="2">
    <x:dataValidation type="list" sqref="F5:F1204">
      <x:formula1>"C5成功,手动完结,C5发货确认中,卖出待补仓,提交结果待确认,异常待处理"</x:formula1>
    </x:dataValidation>
    <x:dataValidation type="list" sqref="G5:G1204">
      <x:formula1>"C5,BUFF,悠悠有品,其他平台,未确定"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2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20" hidden="0" customWidth="1"/>
  </x:cols>
  <x:sheetData>
    <x:row r="1" ht="30" customHeight="1">
      <x:c r="A1" s="4" t="str">
        <x:v>各物品数量守恒</x:v>
      </x:c>
      <x:c r="B1" s="4" t="str">
        <x:v>各物品数量守恒</x:v>
      </x:c>
      <x:c r="C1" s="4" t="str">
        <x:v>各物品数量守恒</x:v>
      </x:c>
      <x:c r="D1" s="4" t="str">
        <x:v>各物品数量守恒</x:v>
      </x:c>
      <x:c r="E1" s="4" t="str">
        <x:v>各物品数量守恒</x:v>
      </x:c>
      <x:c r="F1" s="4" t="str">
        <x:v>各物品数量守恒</x:v>
      </x:c>
      <x:c r="G1" s="4" t="str">
        <x:v>各物品数量守恒</x:v>
      </x:c>
      <x:c r="H1" s="4" t="str">
        <x:v>各物品数量守恒</x:v>
      </x:c>
      <x:c r="I1" s="4" t="str">
        <x:v>各物品数量守恒</x:v>
      </x:c>
      <x:c r="J1" s="4" t="str">
        <x:v>各物品数量守恒</x:v>
      </x:c>
      <x:c r="K1" s="4" t="str">
        <x:v>各物品数量守恒</x:v>
      </x:c>
      <x:c r="L1" s="4" t="str">
        <x:v>各物品数量守恒</x:v>
      </x:c>
      <x:c r="M1" s="4" t="str">
        <x:v>各物品数量守恒</x:v>
      </x:c>
      <x:c r="N1" s="4" t="str">
        <x:v>各物品数量守恒</x:v>
      </x:c>
      <x:c r="O1" s="1"/>
      <x:c r="P1" s="1"/>
      <x:c r="Q1" s="1"/>
      <x:c r="R1" s="1"/>
      <x:c r="S1" s="1"/>
      <x:c r="T1" s="1"/>
      <x:c r="U1" s="1"/>
    </x:row>
    <x:row r="2" ht="30" customHeight="1">
      <x:c r="A2" s="8" t="str">
        <x:v>按物品核对 Steam 官方卖出与当前补仓去向。A列填写本期出现的物品名称，其余列自动计算。</x:v>
      </x:c>
      <x:c r="B2" s="8" t="str">
        <x:v>按物品核对 Steam 官方卖出与当前补仓去向。A列填写本期出现的物品名称，其余列自动计算。</x:v>
      </x:c>
      <x:c r="C2" s="8" t="str">
        <x:v>按物品核对 Steam 官方卖出与当前补仓去向。A列填写本期出现的物品名称，其余列自动计算。</x:v>
      </x:c>
      <x:c r="D2" s="8" t="str">
        <x:v>按物品核对 Steam 官方卖出与当前补仓去向。A列填写本期出现的物品名称，其余列自动计算。</x:v>
      </x:c>
      <x:c r="E2" s="8" t="str">
        <x:v>按物品核对 Steam 官方卖出与当前补仓去向。A列填写本期出现的物品名称，其余列自动计算。</x:v>
      </x:c>
      <x:c r="F2" s="8" t="str">
        <x:v>按物品核对 Steam 官方卖出与当前补仓去向。A列填写本期出现的物品名称，其余列自动计算。</x:v>
      </x:c>
      <x:c r="G2" s="8" t="str">
        <x:v>按物品核对 Steam 官方卖出与当前补仓去向。A列填写本期出现的物品名称，其余列自动计算。</x:v>
      </x:c>
      <x:c r="H2" s="8" t="str">
        <x:v>按物品核对 Steam 官方卖出与当前补仓去向。A列填写本期出现的物品名称，其余列自动计算。</x:v>
      </x:c>
      <x:c r="I2" s="8" t="str">
        <x:v>按物品核对 Steam 官方卖出与当前补仓去向。A列填写本期出现的物品名称，其余列自动计算。</x:v>
      </x:c>
      <x:c r="J2" s="8" t="str">
        <x:v>按物品核对 Steam 官方卖出与当前补仓去向。A列填写本期出现的物品名称，其余列自动计算。</x:v>
      </x:c>
      <x:c r="K2" s="8" t="str">
        <x:v>按物品核对 Steam 官方卖出与当前补仓去向。A列填写本期出现的物品名称，其余列自动计算。</x:v>
      </x:c>
      <x:c r="L2" s="8" t="str">
        <x:v>按物品核对 Steam 官方卖出与当前补仓去向。A列填写本期出现的物品名称，其余列自动计算。</x:v>
      </x:c>
      <x:c r="M2" s="8" t="str">
        <x:v>按物品核对 Steam 官方卖出与当前补仓去向。A列填写本期出现的物品名称，其余列自动计算。</x:v>
      </x:c>
      <x:c r="N2" s="8" t="str">
        <x:v>按物品核对 Steam 官方卖出与当前补仓去向。A列填写本期出现的物品名称，其余列自动计算。</x:v>
      </x:c>
      <x:c r="O2" s="1"/>
      <x:c r="P2" s="1"/>
      <x:c r="Q2" s="1"/>
      <x:c r="R2" s="1"/>
      <x:c r="S2" s="1"/>
      <x:c r="T2" s="1"/>
      <x:c r="U2" s="1"/>
    </x:row>
    <x:row r="3" ht="3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30" customHeight="1">
      <x:c r="A4" s="26" t="str">
        <x:v>物品</x:v>
      </x:c>
      <x:c r="B4" s="27" t="str">
        <x:v>程序卖出</x:v>
      </x:c>
      <x:c r="C4" s="27" t="str">
        <x:v>官方卖出</x:v>
      </x:c>
      <x:c r="D4" s="27" t="str">
        <x:v>C5成功</x:v>
      </x:c>
      <x:c r="E4" s="27" t="str">
        <x:v>手动完结</x:v>
      </x:c>
      <x:c r="F4" s="27" t="str">
        <x:v>发货确认中</x:v>
      </x:c>
      <x:c r="G4" s="27" t="str">
        <x:v>待补仓</x:v>
      </x:c>
      <x:c r="H4" s="27" t="str">
        <x:v>提交待确认</x:v>
      </x:c>
      <x:c r="I4" s="27" t="str">
        <x:v>异常待处理</x:v>
      </x:c>
      <x:c r="J4" s="27" t="str">
        <x:v>总追踪</x:v>
      </x:c>
      <x:c r="K4" s="27" t="str">
        <x:v>数量差</x:v>
      </x:c>
      <x:c r="L4" s="27" t="str">
        <x:v>已实际补回</x:v>
      </x:c>
      <x:c r="M4" s="27" t="str">
        <x:v>未完成义务</x:v>
      </x:c>
      <x:c r="N4" s="28" t="str">
        <x:v>状态</x:v>
      </x:c>
      <x:c r="O4" s="1"/>
      <x:c r="P4" s="1"/>
      <x:c r="Q4" s="1"/>
      <x:c r="R4" s="1"/>
      <x:c r="S4" s="1"/>
      <x:c r="T4" s="1"/>
      <x:c r="U4" s="1"/>
    </x:row>
    <x:row r="5">
      <x:c r="A5" s="94"/>
      <x:c r="B5" s="88" t="str">
        <x:f>IF(A5="","",COUNTIFS('Steam卖出对账'!$C$5:$C$1204,A5,'Steam卖出对账'!$H$5:$H$1204,"&gt;0"))</x:f>
      </x:c>
      <x:c r="C5" s="88" t="str">
        <x:f>IF(A5="","",COUNTIFS('Steam卖出对账'!$C$5:$C$1204,A5,'Steam卖出对账'!$I$5:$I$1204,"&gt;0"))</x:f>
      </x:c>
      <x:c r="D5" s="88" t="str">
        <x:f>IF($A5="","",SUMIFS('补仓对账'!$Q$5:$Q$1204,'补仓对账'!$B$5:$B$1204,$A5,'补仓对账'!$F$5:$F$1204,"C5成功"))</x:f>
      </x:c>
      <x:c r="E5" s="88" t="str">
        <x:f>IF($A5="","",SUMIFS('补仓对账'!$Q$5:$Q$1204,'补仓对账'!$B$5:$B$1204,$A5,'补仓对账'!$F$5:$F$1204,"手动完结"))</x:f>
      </x:c>
      <x:c r="F5" s="88" t="str">
        <x:f>IF($A5="","",SUMIFS('补仓对账'!$Q$5:$Q$1204,'补仓对账'!$B$5:$B$1204,$A5,'补仓对账'!$F$5:$F$1204,"C5发货确认中"))</x:f>
      </x:c>
      <x:c r="G5" s="88" t="str">
        <x:f>IF($A5="","",SUMIFS('补仓对账'!$Q$5:$Q$1204,'补仓对账'!$B$5:$B$1204,$A5,'补仓对账'!$F$5:$F$1204,"卖出待补仓"))</x:f>
      </x:c>
      <x:c r="H5" s="88" t="str">
        <x:f>IF($A5="","",SUMIFS('补仓对账'!$Q$5:$Q$1204,'补仓对账'!$B$5:$B$1204,$A5,'补仓对账'!$F$5:$F$1204,"提交结果待确认"))</x:f>
      </x:c>
      <x:c r="I5" s="88" t="str">
        <x:f>IF($A5="","",SUMIFS('补仓对账'!$Q$5:$Q$1204,'补仓对账'!$B$5:$B$1204,$A5,'补仓对账'!$F$5:$F$1204,"异常待处理"))</x:f>
      </x:c>
      <x:c r="J5" s="88" t="str">
        <x:f>IF(A5="","",SUM(D5:I5))</x:f>
      </x:c>
      <x:c r="K5" s="88" t="str">
        <x:f>IF(A5="","",C5-J5)</x:f>
      </x:c>
      <x:c r="L5" s="88" t="str">
        <x:f>IF(A5="","",D5+E5)</x:f>
      </x:c>
      <x:c r="M5" s="88" t="str">
        <x:f>IF(A5="","",F5+G5+H5+I5)</x:f>
      </x:c>
      <x:c r="N5" s="89" t="str">
        <x:f>IF(A5="","",IF(AND(B5=C5,K5=0),IF(M5=0,"最终库存已闭环","流向对平，仍有待办"),"检查"))</x:f>
      </x:c>
      <x:c r="O5" s="1"/>
      <x:c r="P5" s="1"/>
      <x:c r="Q5" s="1"/>
      <x:c r="R5" s="1"/>
      <x:c r="S5" s="1"/>
      <x:c r="T5" s="1"/>
      <x:c r="U5" s="1"/>
    </x:row>
    <x:row r="6">
      <x:c r="A6" s="94"/>
      <x:c r="B6" s="88" t="str">
        <x:f>IF(A6="","",COUNTIFS('Steam卖出对账'!$C$5:$C$1204,A6,'Steam卖出对账'!$H$5:$H$1204,"&gt;0"))</x:f>
      </x:c>
      <x:c r="C6" s="88" t="str">
        <x:f>IF(A6="","",COUNTIFS('Steam卖出对账'!$C$5:$C$1204,A6,'Steam卖出对账'!$I$5:$I$1204,"&gt;0"))</x:f>
      </x:c>
      <x:c r="D6" s="88" t="str">
        <x:f>IF($A6="","",SUMIFS('补仓对账'!$Q$5:$Q$1204,'补仓对账'!$B$5:$B$1204,$A6,'补仓对账'!$F$5:$F$1204,"C6成功"))</x:f>
      </x:c>
      <x:c r="E6" s="88" t="str">
        <x:f>IF($A6="","",SUMIFS('补仓对账'!$Q$5:$Q$1204,'补仓对账'!$B$5:$B$1204,$A6,'补仓对账'!$F$5:$F$1204,"手动完结"))</x:f>
      </x:c>
      <x:c r="F6" s="88" t="str">
        <x:f>IF($A6="","",SUMIFS('补仓对账'!$Q$5:$Q$1204,'补仓对账'!$B$5:$B$1204,$A6,'补仓对账'!$F$5:$F$1204,"C6发货确认中"))</x:f>
      </x:c>
      <x:c r="G6" s="88" t="str">
        <x:f>IF($A6="","",SUMIFS('补仓对账'!$Q$5:$Q$1204,'补仓对账'!$B$5:$B$1204,$A6,'补仓对账'!$F$5:$F$1204,"卖出待补仓"))</x:f>
      </x:c>
      <x:c r="H6" s="88" t="str">
        <x:f>IF($A6="","",SUMIFS('补仓对账'!$Q$5:$Q$1204,'补仓对账'!$B$5:$B$1204,$A6,'补仓对账'!$F$5:$F$1204,"提交结果待确认"))</x:f>
      </x:c>
      <x:c r="I6" s="88" t="str">
        <x:f>IF($A6="","",SUMIFS('补仓对账'!$Q$5:$Q$1204,'补仓对账'!$B$5:$B$1204,$A6,'补仓对账'!$F$5:$F$1204,"异常待处理"))</x:f>
      </x:c>
      <x:c r="J6" s="88" t="str">
        <x:f>IF(A6="","",SUM(D6:I6))</x:f>
      </x:c>
      <x:c r="K6" s="88" t="str">
        <x:f>IF(A6="","",C6-J6)</x:f>
      </x:c>
      <x:c r="L6" s="88" t="str">
        <x:f>IF(A6="","",D6+E6)</x:f>
      </x:c>
      <x:c r="M6" s="88" t="str">
        <x:f>IF(A6="","",F6+G6+H6+I6)</x:f>
      </x:c>
      <x:c r="N6" s="89" t="str">
        <x:f>IF(A6="","",IF(AND(B6=C6,K6=0),IF(M6=0,"最终库存已闭环","流向对平，仍有待办"),"检查"))</x:f>
      </x:c>
      <x:c r="O6" s="1"/>
      <x:c r="P6" s="1"/>
      <x:c r="Q6" s="1"/>
      <x:c r="R6" s="1"/>
      <x:c r="S6" s="1"/>
      <x:c r="T6" s="1"/>
      <x:c r="U6" s="1"/>
    </x:row>
    <x:row r="7">
      <x:c r="A7" s="94"/>
      <x:c r="B7" s="88" t="str">
        <x:f>IF(A7="","",COUNTIFS('Steam卖出对账'!$C$5:$C$1204,A7,'Steam卖出对账'!$H$5:$H$1204,"&gt;0"))</x:f>
      </x:c>
      <x:c r="C7" s="88" t="str">
        <x:f>IF(A7="","",COUNTIFS('Steam卖出对账'!$C$5:$C$1204,A7,'Steam卖出对账'!$I$5:$I$1204,"&gt;0"))</x:f>
      </x:c>
      <x:c r="D7" s="88" t="str">
        <x:f>IF($A7="","",SUMIFS('补仓对账'!$Q$5:$Q$1204,'补仓对账'!$B$5:$B$1204,$A7,'补仓对账'!$F$5:$F$1204,"C7成功"))</x:f>
      </x:c>
      <x:c r="E7" s="88" t="str">
        <x:f>IF($A7="","",SUMIFS('补仓对账'!$Q$5:$Q$1204,'补仓对账'!$B$5:$B$1204,$A7,'补仓对账'!$F$5:$F$1204,"手动完结"))</x:f>
      </x:c>
      <x:c r="F7" s="88" t="str">
        <x:f>IF($A7="","",SUMIFS('补仓对账'!$Q$5:$Q$1204,'补仓对账'!$B$5:$B$1204,$A7,'补仓对账'!$F$5:$F$1204,"C7发货确认中"))</x:f>
      </x:c>
      <x:c r="G7" s="88" t="str">
        <x:f>IF($A7="","",SUMIFS('补仓对账'!$Q$5:$Q$1204,'补仓对账'!$B$5:$B$1204,$A7,'补仓对账'!$F$5:$F$1204,"卖出待补仓"))</x:f>
      </x:c>
      <x:c r="H7" s="88" t="str">
        <x:f>IF($A7="","",SUMIFS('补仓对账'!$Q$5:$Q$1204,'补仓对账'!$B$5:$B$1204,$A7,'补仓对账'!$F$5:$F$1204,"提交结果待确认"))</x:f>
      </x:c>
      <x:c r="I7" s="88" t="str">
        <x:f>IF($A7="","",SUMIFS('补仓对账'!$Q$5:$Q$1204,'补仓对账'!$B$5:$B$1204,$A7,'补仓对账'!$F$5:$F$1204,"异常待处理"))</x:f>
      </x:c>
      <x:c r="J7" s="88" t="str">
        <x:f>IF(A7="","",SUM(D7:I7))</x:f>
      </x:c>
      <x:c r="K7" s="88" t="str">
        <x:f>IF(A7="","",C7-J7)</x:f>
      </x:c>
      <x:c r="L7" s="88" t="str">
        <x:f>IF(A7="","",D7+E7)</x:f>
      </x:c>
      <x:c r="M7" s="88" t="str">
        <x:f>IF(A7="","",F7+G7+H7+I7)</x:f>
      </x:c>
      <x:c r="N7" s="89" t="str">
        <x:f>IF(A7="","",IF(AND(B7=C7,K7=0),IF(M7=0,"最终库存已闭环","流向对平，仍有待办"),"检查"))</x:f>
      </x:c>
      <x:c r="O7" s="1"/>
      <x:c r="P7" s="1"/>
      <x:c r="Q7" s="1"/>
      <x:c r="R7" s="1"/>
      <x:c r="S7" s="1"/>
      <x:c r="T7" s="1"/>
      <x:c r="U7" s="1"/>
    </x:row>
    <x:row r="8">
      <x:c r="A8" s="94"/>
      <x:c r="B8" s="88" t="str">
        <x:f>IF(A8="","",COUNTIFS('Steam卖出对账'!$C$5:$C$1204,A8,'Steam卖出对账'!$H$5:$H$1204,"&gt;0"))</x:f>
      </x:c>
      <x:c r="C8" s="88" t="str">
        <x:f>IF(A8="","",COUNTIFS('Steam卖出对账'!$C$5:$C$1204,A8,'Steam卖出对账'!$I$5:$I$1204,"&gt;0"))</x:f>
      </x:c>
      <x:c r="D8" s="88" t="str">
        <x:f>IF($A8="","",SUMIFS('补仓对账'!$Q$5:$Q$1204,'补仓对账'!$B$5:$B$1204,$A8,'补仓对账'!$F$5:$F$1204,"C8成功"))</x:f>
      </x:c>
      <x:c r="E8" s="88" t="str">
        <x:f>IF($A8="","",SUMIFS('补仓对账'!$Q$5:$Q$1204,'补仓对账'!$B$5:$B$1204,$A8,'补仓对账'!$F$5:$F$1204,"手动完结"))</x:f>
      </x:c>
      <x:c r="F8" s="88" t="str">
        <x:f>IF($A8="","",SUMIFS('补仓对账'!$Q$5:$Q$1204,'补仓对账'!$B$5:$B$1204,$A8,'补仓对账'!$F$5:$F$1204,"C8发货确认中"))</x:f>
      </x:c>
      <x:c r="G8" s="88" t="str">
        <x:f>IF($A8="","",SUMIFS('补仓对账'!$Q$5:$Q$1204,'补仓对账'!$B$5:$B$1204,$A8,'补仓对账'!$F$5:$F$1204,"卖出待补仓"))</x:f>
      </x:c>
      <x:c r="H8" s="88" t="str">
        <x:f>IF($A8="","",SUMIFS('补仓对账'!$Q$5:$Q$1204,'补仓对账'!$B$5:$B$1204,$A8,'补仓对账'!$F$5:$F$1204,"提交结果待确认"))</x:f>
      </x:c>
      <x:c r="I8" s="88" t="str">
        <x:f>IF($A8="","",SUMIFS('补仓对账'!$Q$5:$Q$1204,'补仓对账'!$B$5:$B$1204,$A8,'补仓对账'!$F$5:$F$1204,"异常待处理"))</x:f>
      </x:c>
      <x:c r="J8" s="88" t="str">
        <x:f>IF(A8="","",SUM(D8:I8))</x:f>
      </x:c>
      <x:c r="K8" s="88" t="str">
        <x:f>IF(A8="","",C8-J8)</x:f>
      </x:c>
      <x:c r="L8" s="88" t="str">
        <x:f>IF(A8="","",D8+E8)</x:f>
      </x:c>
      <x:c r="M8" s="88" t="str">
        <x:f>IF(A8="","",F8+G8+H8+I8)</x:f>
      </x:c>
      <x:c r="N8" s="89" t="str">
        <x:f>IF(A8="","",IF(AND(B8=C8,K8=0),IF(M8=0,"最终库存已闭环","流向对平，仍有待办"),"检查"))</x:f>
      </x:c>
      <x:c r="O8" s="1"/>
      <x:c r="P8" s="1"/>
      <x:c r="Q8" s="1"/>
      <x:c r="R8" s="1"/>
      <x:c r="S8" s="1"/>
      <x:c r="T8" s="1"/>
      <x:c r="U8" s="1"/>
    </x:row>
    <x:row r="9">
      <x:c r="A9" s="94"/>
      <x:c r="B9" s="88" t="str">
        <x:f>IF(A9="","",COUNTIFS('Steam卖出对账'!$C$5:$C$1204,A9,'Steam卖出对账'!$H$5:$H$1204,"&gt;0"))</x:f>
      </x:c>
      <x:c r="C9" s="88" t="str">
        <x:f>IF(A9="","",COUNTIFS('Steam卖出对账'!$C$5:$C$1204,A9,'Steam卖出对账'!$I$5:$I$1204,"&gt;0"))</x:f>
      </x:c>
      <x:c r="D9" s="88" t="str">
        <x:f>IF($A9="","",SUMIFS('补仓对账'!$Q$5:$Q$1204,'补仓对账'!$B$5:$B$1204,$A9,'补仓对账'!$F$5:$F$1204,"C9成功"))</x:f>
      </x:c>
      <x:c r="E9" s="88" t="str">
        <x:f>IF($A9="","",SUMIFS('补仓对账'!$Q$5:$Q$1204,'补仓对账'!$B$5:$B$1204,$A9,'补仓对账'!$F$5:$F$1204,"手动完结"))</x:f>
      </x:c>
      <x:c r="F9" s="88" t="str">
        <x:f>IF($A9="","",SUMIFS('补仓对账'!$Q$5:$Q$1204,'补仓对账'!$B$5:$B$1204,$A9,'补仓对账'!$F$5:$F$1204,"C9发货确认中"))</x:f>
      </x:c>
      <x:c r="G9" s="88" t="str">
        <x:f>IF($A9="","",SUMIFS('补仓对账'!$Q$5:$Q$1204,'补仓对账'!$B$5:$B$1204,$A9,'补仓对账'!$F$5:$F$1204,"卖出待补仓"))</x:f>
      </x:c>
      <x:c r="H9" s="88" t="str">
        <x:f>IF($A9="","",SUMIFS('补仓对账'!$Q$5:$Q$1204,'补仓对账'!$B$5:$B$1204,$A9,'补仓对账'!$F$5:$F$1204,"提交结果待确认"))</x:f>
      </x:c>
      <x:c r="I9" s="88" t="str">
        <x:f>IF($A9="","",SUMIFS('补仓对账'!$Q$5:$Q$1204,'补仓对账'!$B$5:$B$1204,$A9,'补仓对账'!$F$5:$F$1204,"异常待处理"))</x:f>
      </x:c>
      <x:c r="J9" s="88" t="str">
        <x:f>IF(A9="","",SUM(D9:I9))</x:f>
      </x:c>
      <x:c r="K9" s="88" t="str">
        <x:f>IF(A9="","",C9-J9)</x:f>
      </x:c>
      <x:c r="L9" s="88" t="str">
        <x:f>IF(A9="","",D9+E9)</x:f>
      </x:c>
      <x:c r="M9" s="88" t="str">
        <x:f>IF(A9="","",F9+G9+H9+I9)</x:f>
      </x:c>
      <x:c r="N9" s="89" t="str">
        <x:f>IF(A9="","",IF(AND(B9=C9,K9=0),IF(M9=0,"最终库存已闭环","流向对平，仍有待办"),"检查"))</x:f>
      </x:c>
      <x:c r="O9" s="1"/>
      <x:c r="P9" s="1"/>
      <x:c r="Q9" s="1"/>
      <x:c r="R9" s="1"/>
      <x:c r="S9" s="1"/>
      <x:c r="T9" s="1"/>
      <x:c r="U9" s="1"/>
    </x:row>
    <x:row r="10">
      <x:c r="A10" s="94"/>
      <x:c r="B10" s="88" t="str">
        <x:f>IF(A10="","",COUNTIFS('Steam卖出对账'!$C$5:$C$1204,A10,'Steam卖出对账'!$H$5:$H$1204,"&gt;0"))</x:f>
      </x:c>
      <x:c r="C10" s="88" t="str">
        <x:f>IF(A10="","",COUNTIFS('Steam卖出对账'!$C$5:$C$1204,A10,'Steam卖出对账'!$I$5:$I$1204,"&gt;0"))</x:f>
      </x:c>
      <x:c r="D10" s="88" t="str">
        <x:f>IF($A10="","",SUMIFS('补仓对账'!$Q$5:$Q$1204,'补仓对账'!$B$5:$B$1204,$A10,'补仓对账'!$F$5:$F$1204,"C10成功"))</x:f>
      </x:c>
      <x:c r="E10" s="88" t="str">
        <x:f>IF($A10="","",SUMIFS('补仓对账'!$Q$5:$Q$1204,'补仓对账'!$B$5:$B$1204,$A10,'补仓对账'!$F$5:$F$1204,"手动完结"))</x:f>
      </x:c>
      <x:c r="F10" s="88" t="str">
        <x:f>IF($A10="","",SUMIFS('补仓对账'!$Q$5:$Q$1204,'补仓对账'!$B$5:$B$1204,$A10,'补仓对账'!$F$5:$F$1204,"C10发货确认中"))</x:f>
      </x:c>
      <x:c r="G10" s="88" t="str">
        <x:f>IF($A10="","",SUMIFS('补仓对账'!$Q$5:$Q$1204,'补仓对账'!$B$5:$B$1204,$A10,'补仓对账'!$F$5:$F$1204,"卖出待补仓"))</x:f>
      </x:c>
      <x:c r="H10" s="88" t="str">
        <x:f>IF($A10="","",SUMIFS('补仓对账'!$Q$5:$Q$1204,'补仓对账'!$B$5:$B$1204,$A10,'补仓对账'!$F$5:$F$1204,"提交结果待确认"))</x:f>
      </x:c>
      <x:c r="I10" s="88" t="str">
        <x:f>IF($A10="","",SUMIFS('补仓对账'!$Q$5:$Q$1204,'补仓对账'!$B$5:$B$1204,$A10,'补仓对账'!$F$5:$F$1204,"异常待处理"))</x:f>
      </x:c>
      <x:c r="J10" s="88" t="str">
        <x:f>IF(A10="","",SUM(D10:I10))</x:f>
      </x:c>
      <x:c r="K10" s="88" t="str">
        <x:f>IF(A10="","",C10-J10)</x:f>
      </x:c>
      <x:c r="L10" s="88" t="str">
        <x:f>IF(A10="","",D10+E10)</x:f>
      </x:c>
      <x:c r="M10" s="88" t="str">
        <x:f>IF(A10="","",F10+G10+H10+I10)</x:f>
      </x:c>
      <x:c r="N10" s="89" t="str">
        <x:f>IF(A10="","",IF(AND(B10=C10,K10=0),IF(M10=0,"最终库存已闭环","流向对平，仍有待办"),"检查"))</x:f>
      </x:c>
      <x:c r="O10" s="1"/>
      <x:c r="P10" s="1"/>
      <x:c r="Q10" s="1"/>
      <x:c r="R10" s="1"/>
      <x:c r="S10" s="1"/>
      <x:c r="T10" s="1"/>
      <x:c r="U10" s="1"/>
    </x:row>
    <x:row r="11">
      <x:c r="A11" s="94"/>
      <x:c r="B11" s="88" t="str">
        <x:f>IF(A11="","",COUNTIFS('Steam卖出对账'!$C$5:$C$1204,A11,'Steam卖出对账'!$H$5:$H$1204,"&gt;0"))</x:f>
      </x:c>
      <x:c r="C11" s="88" t="str">
        <x:f>IF(A11="","",COUNTIFS('Steam卖出对账'!$C$5:$C$1204,A11,'Steam卖出对账'!$I$5:$I$1204,"&gt;0"))</x:f>
      </x:c>
      <x:c r="D11" s="88" t="str">
        <x:f>IF($A11="","",SUMIFS('补仓对账'!$Q$5:$Q$1204,'补仓对账'!$B$5:$B$1204,$A11,'补仓对账'!$F$5:$F$1204,"C11成功"))</x:f>
      </x:c>
      <x:c r="E11" s="88" t="str">
        <x:f>IF($A11="","",SUMIFS('补仓对账'!$Q$5:$Q$1204,'补仓对账'!$B$5:$B$1204,$A11,'补仓对账'!$F$5:$F$1204,"手动完结"))</x:f>
      </x:c>
      <x:c r="F11" s="88" t="str">
        <x:f>IF($A11="","",SUMIFS('补仓对账'!$Q$5:$Q$1204,'补仓对账'!$B$5:$B$1204,$A11,'补仓对账'!$F$5:$F$1204,"C11发货确认中"))</x:f>
      </x:c>
      <x:c r="G11" s="88" t="str">
        <x:f>IF($A11="","",SUMIFS('补仓对账'!$Q$5:$Q$1204,'补仓对账'!$B$5:$B$1204,$A11,'补仓对账'!$F$5:$F$1204,"卖出待补仓"))</x:f>
      </x:c>
      <x:c r="H11" s="88" t="str">
        <x:f>IF($A11="","",SUMIFS('补仓对账'!$Q$5:$Q$1204,'补仓对账'!$B$5:$B$1204,$A11,'补仓对账'!$F$5:$F$1204,"提交结果待确认"))</x:f>
      </x:c>
      <x:c r="I11" s="88" t="str">
        <x:f>IF($A11="","",SUMIFS('补仓对账'!$Q$5:$Q$1204,'补仓对账'!$B$5:$B$1204,$A11,'补仓对账'!$F$5:$F$1204,"异常待处理"))</x:f>
      </x:c>
      <x:c r="J11" s="88" t="str">
        <x:f>IF(A11="","",SUM(D11:I11))</x:f>
      </x:c>
      <x:c r="K11" s="88" t="str">
        <x:f>IF(A11="","",C11-J11)</x:f>
      </x:c>
      <x:c r="L11" s="88" t="str">
        <x:f>IF(A11="","",D11+E11)</x:f>
      </x:c>
      <x:c r="M11" s="88" t="str">
        <x:f>IF(A11="","",F11+G11+H11+I11)</x:f>
      </x:c>
      <x:c r="N11" s="89" t="str">
        <x:f>IF(A11="","",IF(AND(B11=C11,K11=0),IF(M11=0,"最终库存已闭环","流向对平，仍有待办"),"检查"))</x:f>
      </x:c>
      <x:c r="O11" s="1"/>
      <x:c r="P11" s="1"/>
      <x:c r="Q11" s="1"/>
      <x:c r="R11" s="1"/>
      <x:c r="S11" s="1"/>
      <x:c r="T11" s="1"/>
      <x:c r="U11" s="1"/>
    </x:row>
    <x:row r="12">
      <x:c r="A12" s="94"/>
      <x:c r="B12" s="88" t="str">
        <x:f>IF(A12="","",COUNTIFS('Steam卖出对账'!$C$5:$C$1204,A12,'Steam卖出对账'!$H$5:$H$1204,"&gt;0"))</x:f>
      </x:c>
      <x:c r="C12" s="88" t="str">
        <x:f>IF(A12="","",COUNTIFS('Steam卖出对账'!$C$5:$C$1204,A12,'Steam卖出对账'!$I$5:$I$1204,"&gt;0"))</x:f>
      </x:c>
      <x:c r="D12" s="88" t="str">
        <x:f>IF($A12="","",SUMIFS('补仓对账'!$Q$5:$Q$1204,'补仓对账'!$B$5:$B$1204,$A12,'补仓对账'!$F$5:$F$1204,"C12成功"))</x:f>
      </x:c>
      <x:c r="E12" s="88" t="str">
        <x:f>IF($A12="","",SUMIFS('补仓对账'!$Q$5:$Q$1204,'补仓对账'!$B$5:$B$1204,$A12,'补仓对账'!$F$5:$F$1204,"手动完结"))</x:f>
      </x:c>
      <x:c r="F12" s="88" t="str">
        <x:f>IF($A12="","",SUMIFS('补仓对账'!$Q$5:$Q$1204,'补仓对账'!$B$5:$B$1204,$A12,'补仓对账'!$F$5:$F$1204,"C12发货确认中"))</x:f>
      </x:c>
      <x:c r="G12" s="88" t="str">
        <x:f>IF($A12="","",SUMIFS('补仓对账'!$Q$5:$Q$1204,'补仓对账'!$B$5:$B$1204,$A12,'补仓对账'!$F$5:$F$1204,"卖出待补仓"))</x:f>
      </x:c>
      <x:c r="H12" s="88" t="str">
        <x:f>IF($A12="","",SUMIFS('补仓对账'!$Q$5:$Q$1204,'补仓对账'!$B$5:$B$1204,$A12,'补仓对账'!$F$5:$F$1204,"提交结果待确认"))</x:f>
      </x:c>
      <x:c r="I12" s="88" t="str">
        <x:f>IF($A12="","",SUMIFS('补仓对账'!$Q$5:$Q$1204,'补仓对账'!$B$5:$B$1204,$A12,'补仓对账'!$F$5:$F$1204,"异常待处理"))</x:f>
      </x:c>
      <x:c r="J12" s="88" t="str">
        <x:f>IF(A12="","",SUM(D12:I12))</x:f>
      </x:c>
      <x:c r="K12" s="88" t="str">
        <x:f>IF(A12="","",C12-J12)</x:f>
      </x:c>
      <x:c r="L12" s="88" t="str">
        <x:f>IF(A12="","",D12+E12)</x:f>
      </x:c>
      <x:c r="M12" s="88" t="str">
        <x:f>IF(A12="","",F12+G12+H12+I12)</x:f>
      </x:c>
      <x:c r="N12" s="89" t="str">
        <x:f>IF(A12="","",IF(AND(B12=C12,K12=0),IF(M12=0,"最终库存已闭环","流向对平，仍有待办"),"检查"))</x:f>
      </x:c>
      <x:c r="O12" s="1"/>
      <x:c r="P12" s="1"/>
      <x:c r="Q12" s="1"/>
      <x:c r="R12" s="1"/>
      <x:c r="S12" s="1"/>
      <x:c r="T12" s="1"/>
      <x:c r="U12" s="1"/>
    </x:row>
    <x:row r="13">
      <x:c r="A13" s="94"/>
      <x:c r="B13" s="88" t="str">
        <x:f>IF(A13="","",COUNTIFS('Steam卖出对账'!$C$5:$C$1204,A13,'Steam卖出对账'!$H$5:$H$1204,"&gt;0"))</x:f>
      </x:c>
      <x:c r="C13" s="88" t="str">
        <x:f>IF(A13="","",COUNTIFS('Steam卖出对账'!$C$5:$C$1204,A13,'Steam卖出对账'!$I$5:$I$1204,"&gt;0"))</x:f>
      </x:c>
      <x:c r="D13" s="88" t="str">
        <x:f>IF($A13="","",SUMIFS('补仓对账'!$Q$5:$Q$1204,'补仓对账'!$B$5:$B$1204,$A13,'补仓对账'!$F$5:$F$1204,"C13成功"))</x:f>
      </x:c>
      <x:c r="E13" s="88" t="str">
        <x:f>IF($A13="","",SUMIFS('补仓对账'!$Q$5:$Q$1204,'补仓对账'!$B$5:$B$1204,$A13,'补仓对账'!$F$5:$F$1204,"手动完结"))</x:f>
      </x:c>
      <x:c r="F13" s="88" t="str">
        <x:f>IF($A13="","",SUMIFS('补仓对账'!$Q$5:$Q$1204,'补仓对账'!$B$5:$B$1204,$A13,'补仓对账'!$F$5:$F$1204,"C13发货确认中"))</x:f>
      </x:c>
      <x:c r="G13" s="88" t="str">
        <x:f>IF($A13="","",SUMIFS('补仓对账'!$Q$5:$Q$1204,'补仓对账'!$B$5:$B$1204,$A13,'补仓对账'!$F$5:$F$1204,"卖出待补仓"))</x:f>
      </x:c>
      <x:c r="H13" s="88" t="str">
        <x:f>IF($A13="","",SUMIFS('补仓对账'!$Q$5:$Q$1204,'补仓对账'!$B$5:$B$1204,$A13,'补仓对账'!$F$5:$F$1204,"提交结果待确认"))</x:f>
      </x:c>
      <x:c r="I13" s="88" t="str">
        <x:f>IF($A13="","",SUMIFS('补仓对账'!$Q$5:$Q$1204,'补仓对账'!$B$5:$B$1204,$A13,'补仓对账'!$F$5:$F$1204,"异常待处理"))</x:f>
      </x:c>
      <x:c r="J13" s="88" t="str">
        <x:f>IF(A13="","",SUM(D13:I13))</x:f>
      </x:c>
      <x:c r="K13" s="88" t="str">
        <x:f>IF(A13="","",C13-J13)</x:f>
      </x:c>
      <x:c r="L13" s="88" t="str">
        <x:f>IF(A13="","",D13+E13)</x:f>
      </x:c>
      <x:c r="M13" s="88" t="str">
        <x:f>IF(A13="","",F13+G13+H13+I13)</x:f>
      </x:c>
      <x:c r="N13" s="89" t="str">
        <x:f>IF(A13="","",IF(AND(B13=C13,K13=0),IF(M13=0,"最终库存已闭环","流向对平，仍有待办"),"检查"))</x:f>
      </x:c>
      <x:c r="O13" s="1"/>
      <x:c r="P13" s="1"/>
      <x:c r="Q13" s="1"/>
      <x:c r="R13" s="1"/>
      <x:c r="S13" s="1"/>
      <x:c r="T13" s="1"/>
      <x:c r="U13" s="1"/>
    </x:row>
    <x:row r="14">
      <x:c r="A14" s="94"/>
      <x:c r="B14" s="88" t="str">
        <x:f>IF(A14="","",COUNTIFS('Steam卖出对账'!$C$5:$C$1204,A14,'Steam卖出对账'!$H$5:$H$1204,"&gt;0"))</x:f>
      </x:c>
      <x:c r="C14" s="88" t="str">
        <x:f>IF(A14="","",COUNTIFS('Steam卖出对账'!$C$5:$C$1204,A14,'Steam卖出对账'!$I$5:$I$1204,"&gt;0"))</x:f>
      </x:c>
      <x:c r="D14" s="88" t="str">
        <x:f>IF($A14="","",SUMIFS('补仓对账'!$Q$5:$Q$1204,'补仓对账'!$B$5:$B$1204,$A14,'补仓对账'!$F$5:$F$1204,"C14成功"))</x:f>
      </x:c>
      <x:c r="E14" s="88" t="str">
        <x:f>IF($A14="","",SUMIFS('补仓对账'!$Q$5:$Q$1204,'补仓对账'!$B$5:$B$1204,$A14,'补仓对账'!$F$5:$F$1204,"手动完结"))</x:f>
      </x:c>
      <x:c r="F14" s="88" t="str">
        <x:f>IF($A14="","",SUMIFS('补仓对账'!$Q$5:$Q$1204,'补仓对账'!$B$5:$B$1204,$A14,'补仓对账'!$F$5:$F$1204,"C14发货确认中"))</x:f>
      </x:c>
      <x:c r="G14" s="88" t="str">
        <x:f>IF($A14="","",SUMIFS('补仓对账'!$Q$5:$Q$1204,'补仓对账'!$B$5:$B$1204,$A14,'补仓对账'!$F$5:$F$1204,"卖出待补仓"))</x:f>
      </x:c>
      <x:c r="H14" s="88" t="str">
        <x:f>IF($A14="","",SUMIFS('补仓对账'!$Q$5:$Q$1204,'补仓对账'!$B$5:$B$1204,$A14,'补仓对账'!$F$5:$F$1204,"提交结果待确认"))</x:f>
      </x:c>
      <x:c r="I14" s="88" t="str">
        <x:f>IF($A14="","",SUMIFS('补仓对账'!$Q$5:$Q$1204,'补仓对账'!$B$5:$B$1204,$A14,'补仓对账'!$F$5:$F$1204,"异常待处理"))</x:f>
      </x:c>
      <x:c r="J14" s="88" t="str">
        <x:f>IF(A14="","",SUM(D14:I14))</x:f>
      </x:c>
      <x:c r="K14" s="88" t="str">
        <x:f>IF(A14="","",C14-J14)</x:f>
      </x:c>
      <x:c r="L14" s="88" t="str">
        <x:f>IF(A14="","",D14+E14)</x:f>
      </x:c>
      <x:c r="M14" s="88" t="str">
        <x:f>IF(A14="","",F14+G14+H14+I14)</x:f>
      </x:c>
      <x:c r="N14" s="89" t="str">
        <x:f>IF(A14="","",IF(AND(B14=C14,K14=0),IF(M14=0,"最终库存已闭环","流向对平，仍有待办"),"检查"))</x:f>
      </x:c>
      <x:c r="O14" s="1"/>
      <x:c r="P14" s="1"/>
      <x:c r="Q14" s="1"/>
      <x:c r="R14" s="1"/>
      <x:c r="S14" s="1"/>
      <x:c r="T14" s="1"/>
      <x:c r="U14" s="1"/>
    </x:row>
    <x:row r="15">
      <x:c r="A15" s="94"/>
      <x:c r="B15" s="88" t="str">
        <x:f>IF(A15="","",COUNTIFS('Steam卖出对账'!$C$5:$C$1204,A15,'Steam卖出对账'!$H$5:$H$1204,"&gt;0"))</x:f>
      </x:c>
      <x:c r="C15" s="88" t="str">
        <x:f>IF(A15="","",COUNTIFS('Steam卖出对账'!$C$5:$C$1204,A15,'Steam卖出对账'!$I$5:$I$1204,"&gt;0"))</x:f>
      </x:c>
      <x:c r="D15" s="88" t="str">
        <x:f>IF($A15="","",SUMIFS('补仓对账'!$Q$5:$Q$1204,'补仓对账'!$B$5:$B$1204,$A15,'补仓对账'!$F$5:$F$1204,"C15成功"))</x:f>
      </x:c>
      <x:c r="E15" s="88" t="str">
        <x:f>IF($A15="","",SUMIFS('补仓对账'!$Q$5:$Q$1204,'补仓对账'!$B$5:$B$1204,$A15,'补仓对账'!$F$5:$F$1204,"手动完结"))</x:f>
      </x:c>
      <x:c r="F15" s="88" t="str">
        <x:f>IF($A15="","",SUMIFS('补仓对账'!$Q$5:$Q$1204,'补仓对账'!$B$5:$B$1204,$A15,'补仓对账'!$F$5:$F$1204,"C15发货确认中"))</x:f>
      </x:c>
      <x:c r="G15" s="88" t="str">
        <x:f>IF($A15="","",SUMIFS('补仓对账'!$Q$5:$Q$1204,'补仓对账'!$B$5:$B$1204,$A15,'补仓对账'!$F$5:$F$1204,"卖出待补仓"))</x:f>
      </x:c>
      <x:c r="H15" s="88" t="str">
        <x:f>IF($A15="","",SUMIFS('补仓对账'!$Q$5:$Q$1204,'补仓对账'!$B$5:$B$1204,$A15,'补仓对账'!$F$5:$F$1204,"提交结果待确认"))</x:f>
      </x:c>
      <x:c r="I15" s="88" t="str">
        <x:f>IF($A15="","",SUMIFS('补仓对账'!$Q$5:$Q$1204,'补仓对账'!$B$5:$B$1204,$A15,'补仓对账'!$F$5:$F$1204,"异常待处理"))</x:f>
      </x:c>
      <x:c r="J15" s="88" t="str">
        <x:f>IF(A15="","",SUM(D15:I15))</x:f>
      </x:c>
      <x:c r="K15" s="88" t="str">
        <x:f>IF(A15="","",C15-J15)</x:f>
      </x:c>
      <x:c r="L15" s="88" t="str">
        <x:f>IF(A15="","",D15+E15)</x:f>
      </x:c>
      <x:c r="M15" s="88" t="str">
        <x:f>IF(A15="","",F15+G15+H15+I15)</x:f>
      </x:c>
      <x:c r="N15" s="89" t="str">
        <x:f>IF(A15="","",IF(AND(B15=C15,K15=0),IF(M15=0,"最终库存已闭环","流向对平，仍有待办"),"检查"))</x:f>
      </x:c>
      <x:c r="O15" s="1"/>
      <x:c r="P15" s="1"/>
      <x:c r="Q15" s="1"/>
      <x:c r="R15" s="1"/>
      <x:c r="S15" s="1"/>
      <x:c r="T15" s="1"/>
      <x:c r="U15" s="1"/>
    </x:row>
    <x:row r="16">
      <x:c r="A16" s="94"/>
      <x:c r="B16" s="88" t="str">
        <x:f>IF(A16="","",COUNTIFS('Steam卖出对账'!$C$5:$C$1204,A16,'Steam卖出对账'!$H$5:$H$1204,"&gt;0"))</x:f>
      </x:c>
      <x:c r="C16" s="88" t="str">
        <x:f>IF(A16="","",COUNTIFS('Steam卖出对账'!$C$5:$C$1204,A16,'Steam卖出对账'!$I$5:$I$1204,"&gt;0"))</x:f>
      </x:c>
      <x:c r="D16" s="88" t="str">
        <x:f>IF($A16="","",SUMIFS('补仓对账'!$Q$5:$Q$1204,'补仓对账'!$B$5:$B$1204,$A16,'补仓对账'!$F$5:$F$1204,"C16成功"))</x:f>
      </x:c>
      <x:c r="E16" s="88" t="str">
        <x:f>IF($A16="","",SUMIFS('补仓对账'!$Q$5:$Q$1204,'补仓对账'!$B$5:$B$1204,$A16,'补仓对账'!$F$5:$F$1204,"手动完结"))</x:f>
      </x:c>
      <x:c r="F16" s="88" t="str">
        <x:f>IF($A16="","",SUMIFS('补仓对账'!$Q$5:$Q$1204,'补仓对账'!$B$5:$B$1204,$A16,'补仓对账'!$F$5:$F$1204,"C16发货确认中"))</x:f>
      </x:c>
      <x:c r="G16" s="88" t="str">
        <x:f>IF($A16="","",SUMIFS('补仓对账'!$Q$5:$Q$1204,'补仓对账'!$B$5:$B$1204,$A16,'补仓对账'!$F$5:$F$1204,"卖出待补仓"))</x:f>
      </x:c>
      <x:c r="H16" s="88" t="str">
        <x:f>IF($A16="","",SUMIFS('补仓对账'!$Q$5:$Q$1204,'补仓对账'!$B$5:$B$1204,$A16,'补仓对账'!$F$5:$F$1204,"提交结果待确认"))</x:f>
      </x:c>
      <x:c r="I16" s="88" t="str">
        <x:f>IF($A16="","",SUMIFS('补仓对账'!$Q$5:$Q$1204,'补仓对账'!$B$5:$B$1204,$A16,'补仓对账'!$F$5:$F$1204,"异常待处理"))</x:f>
      </x:c>
      <x:c r="J16" s="88" t="str">
        <x:f>IF(A16="","",SUM(D16:I16))</x:f>
      </x:c>
      <x:c r="K16" s="88" t="str">
        <x:f>IF(A16="","",C16-J16)</x:f>
      </x:c>
      <x:c r="L16" s="88" t="str">
        <x:f>IF(A16="","",D16+E16)</x:f>
      </x:c>
      <x:c r="M16" s="88" t="str">
        <x:f>IF(A16="","",F16+G16+H16+I16)</x:f>
      </x:c>
      <x:c r="N16" s="89" t="str">
        <x:f>IF(A16="","",IF(AND(B16=C16,K16=0),IF(M16=0,"最终库存已闭环","流向对平，仍有待办"),"检查"))</x:f>
      </x:c>
      <x:c r="O16" s="1"/>
      <x:c r="P16" s="1"/>
      <x:c r="Q16" s="1"/>
      <x:c r="R16" s="1"/>
      <x:c r="S16" s="1"/>
      <x:c r="T16" s="1"/>
      <x:c r="U16" s="1"/>
    </x:row>
    <x:row r="17">
      <x:c r="A17" s="94"/>
      <x:c r="B17" s="88" t="str">
        <x:f>IF(A17="","",COUNTIFS('Steam卖出对账'!$C$5:$C$1204,A17,'Steam卖出对账'!$H$5:$H$1204,"&gt;0"))</x:f>
      </x:c>
      <x:c r="C17" s="88" t="str">
        <x:f>IF(A17="","",COUNTIFS('Steam卖出对账'!$C$5:$C$1204,A17,'Steam卖出对账'!$I$5:$I$1204,"&gt;0"))</x:f>
      </x:c>
      <x:c r="D17" s="88" t="str">
        <x:f>IF($A17="","",SUMIFS('补仓对账'!$Q$5:$Q$1204,'补仓对账'!$B$5:$B$1204,$A17,'补仓对账'!$F$5:$F$1204,"C17成功"))</x:f>
      </x:c>
      <x:c r="E17" s="88" t="str">
        <x:f>IF($A17="","",SUMIFS('补仓对账'!$Q$5:$Q$1204,'补仓对账'!$B$5:$B$1204,$A17,'补仓对账'!$F$5:$F$1204,"手动完结"))</x:f>
      </x:c>
      <x:c r="F17" s="88" t="str">
        <x:f>IF($A17="","",SUMIFS('补仓对账'!$Q$5:$Q$1204,'补仓对账'!$B$5:$B$1204,$A17,'补仓对账'!$F$5:$F$1204,"C17发货确认中"))</x:f>
      </x:c>
      <x:c r="G17" s="88" t="str">
        <x:f>IF($A17="","",SUMIFS('补仓对账'!$Q$5:$Q$1204,'补仓对账'!$B$5:$B$1204,$A17,'补仓对账'!$F$5:$F$1204,"卖出待补仓"))</x:f>
      </x:c>
      <x:c r="H17" s="88" t="str">
        <x:f>IF($A17="","",SUMIFS('补仓对账'!$Q$5:$Q$1204,'补仓对账'!$B$5:$B$1204,$A17,'补仓对账'!$F$5:$F$1204,"提交结果待确认"))</x:f>
      </x:c>
      <x:c r="I17" s="88" t="str">
        <x:f>IF($A17="","",SUMIFS('补仓对账'!$Q$5:$Q$1204,'补仓对账'!$B$5:$B$1204,$A17,'补仓对账'!$F$5:$F$1204,"异常待处理"))</x:f>
      </x:c>
      <x:c r="J17" s="88" t="str">
        <x:f>IF(A17="","",SUM(D17:I17))</x:f>
      </x:c>
      <x:c r="K17" s="88" t="str">
        <x:f>IF(A17="","",C17-J17)</x:f>
      </x:c>
      <x:c r="L17" s="88" t="str">
        <x:f>IF(A17="","",D17+E17)</x:f>
      </x:c>
      <x:c r="M17" s="88" t="str">
        <x:f>IF(A17="","",F17+G17+H17+I17)</x:f>
      </x:c>
      <x:c r="N17" s="89" t="str">
        <x:f>IF(A17="","",IF(AND(B17=C17,K17=0),IF(M17=0,"最终库存已闭环","流向对平，仍有待办"),"检查"))</x:f>
      </x:c>
      <x:c r="O17" s="1"/>
      <x:c r="P17" s="1"/>
      <x:c r="Q17" s="1"/>
      <x:c r="R17" s="1"/>
      <x:c r="S17" s="1"/>
      <x:c r="T17" s="1"/>
      <x:c r="U17" s="1"/>
    </x:row>
    <x:row r="18">
      <x:c r="A18" s="94"/>
      <x:c r="B18" s="88" t="str">
        <x:f>IF(A18="","",COUNTIFS('Steam卖出对账'!$C$5:$C$1204,A18,'Steam卖出对账'!$H$5:$H$1204,"&gt;0"))</x:f>
      </x:c>
      <x:c r="C18" s="88" t="str">
        <x:f>IF(A18="","",COUNTIFS('Steam卖出对账'!$C$5:$C$1204,A18,'Steam卖出对账'!$I$5:$I$1204,"&gt;0"))</x:f>
      </x:c>
      <x:c r="D18" s="88" t="str">
        <x:f>IF($A18="","",SUMIFS('补仓对账'!$Q$5:$Q$1204,'补仓对账'!$B$5:$B$1204,$A18,'补仓对账'!$F$5:$F$1204,"C18成功"))</x:f>
      </x:c>
      <x:c r="E18" s="88" t="str">
        <x:f>IF($A18="","",SUMIFS('补仓对账'!$Q$5:$Q$1204,'补仓对账'!$B$5:$B$1204,$A18,'补仓对账'!$F$5:$F$1204,"手动完结"))</x:f>
      </x:c>
      <x:c r="F18" s="88" t="str">
        <x:f>IF($A18="","",SUMIFS('补仓对账'!$Q$5:$Q$1204,'补仓对账'!$B$5:$B$1204,$A18,'补仓对账'!$F$5:$F$1204,"C18发货确认中"))</x:f>
      </x:c>
      <x:c r="G18" s="88" t="str">
        <x:f>IF($A18="","",SUMIFS('补仓对账'!$Q$5:$Q$1204,'补仓对账'!$B$5:$B$1204,$A18,'补仓对账'!$F$5:$F$1204,"卖出待补仓"))</x:f>
      </x:c>
      <x:c r="H18" s="88" t="str">
        <x:f>IF($A18="","",SUMIFS('补仓对账'!$Q$5:$Q$1204,'补仓对账'!$B$5:$B$1204,$A18,'补仓对账'!$F$5:$F$1204,"提交结果待确认"))</x:f>
      </x:c>
      <x:c r="I18" s="88" t="str">
        <x:f>IF($A18="","",SUMIFS('补仓对账'!$Q$5:$Q$1204,'补仓对账'!$B$5:$B$1204,$A18,'补仓对账'!$F$5:$F$1204,"异常待处理"))</x:f>
      </x:c>
      <x:c r="J18" s="88" t="str">
        <x:f>IF(A18="","",SUM(D18:I18))</x:f>
      </x:c>
      <x:c r="K18" s="88" t="str">
        <x:f>IF(A18="","",C18-J18)</x:f>
      </x:c>
      <x:c r="L18" s="88" t="str">
        <x:f>IF(A18="","",D18+E18)</x:f>
      </x:c>
      <x:c r="M18" s="88" t="str">
        <x:f>IF(A18="","",F18+G18+H18+I18)</x:f>
      </x:c>
      <x:c r="N18" s="89" t="str">
        <x:f>IF(A18="","",IF(AND(B18=C18,K18=0),IF(M18=0,"最终库存已闭环","流向对平，仍有待办"),"检查"))</x:f>
      </x:c>
      <x:c r="O18" s="1"/>
      <x:c r="P18" s="1"/>
      <x:c r="Q18" s="1"/>
      <x:c r="R18" s="1"/>
      <x:c r="S18" s="1"/>
      <x:c r="T18" s="1"/>
      <x:c r="U18" s="1"/>
    </x:row>
    <x:row r="19">
      <x:c r="A19" s="94"/>
      <x:c r="B19" s="88" t="str">
        <x:f>IF(A19="","",COUNTIFS('Steam卖出对账'!$C$5:$C$1204,A19,'Steam卖出对账'!$H$5:$H$1204,"&gt;0"))</x:f>
      </x:c>
      <x:c r="C19" s="88" t="str">
        <x:f>IF(A19="","",COUNTIFS('Steam卖出对账'!$C$5:$C$1204,A19,'Steam卖出对账'!$I$5:$I$1204,"&gt;0"))</x:f>
      </x:c>
      <x:c r="D19" s="88" t="str">
        <x:f>IF($A19="","",SUMIFS('补仓对账'!$Q$5:$Q$1204,'补仓对账'!$B$5:$B$1204,$A19,'补仓对账'!$F$5:$F$1204,"C19成功"))</x:f>
      </x:c>
      <x:c r="E19" s="88" t="str">
        <x:f>IF($A19="","",SUMIFS('补仓对账'!$Q$5:$Q$1204,'补仓对账'!$B$5:$B$1204,$A19,'补仓对账'!$F$5:$F$1204,"手动完结"))</x:f>
      </x:c>
      <x:c r="F19" s="88" t="str">
        <x:f>IF($A19="","",SUMIFS('补仓对账'!$Q$5:$Q$1204,'补仓对账'!$B$5:$B$1204,$A19,'补仓对账'!$F$5:$F$1204,"C19发货确认中"))</x:f>
      </x:c>
      <x:c r="G19" s="88" t="str">
        <x:f>IF($A19="","",SUMIFS('补仓对账'!$Q$5:$Q$1204,'补仓对账'!$B$5:$B$1204,$A19,'补仓对账'!$F$5:$F$1204,"卖出待补仓"))</x:f>
      </x:c>
      <x:c r="H19" s="88" t="str">
        <x:f>IF($A19="","",SUMIFS('补仓对账'!$Q$5:$Q$1204,'补仓对账'!$B$5:$B$1204,$A19,'补仓对账'!$F$5:$F$1204,"提交结果待确认"))</x:f>
      </x:c>
      <x:c r="I19" s="88" t="str">
        <x:f>IF($A19="","",SUMIFS('补仓对账'!$Q$5:$Q$1204,'补仓对账'!$B$5:$B$1204,$A19,'补仓对账'!$F$5:$F$1204,"异常待处理"))</x:f>
      </x:c>
      <x:c r="J19" s="88" t="str">
        <x:f>IF(A19="","",SUM(D19:I19))</x:f>
      </x:c>
      <x:c r="K19" s="88" t="str">
        <x:f>IF(A19="","",C19-J19)</x:f>
      </x:c>
      <x:c r="L19" s="88" t="str">
        <x:f>IF(A19="","",D19+E19)</x:f>
      </x:c>
      <x:c r="M19" s="88" t="str">
        <x:f>IF(A19="","",F19+G19+H19+I19)</x:f>
      </x:c>
      <x:c r="N19" s="89" t="str">
        <x:f>IF(A19="","",IF(AND(B19=C19,K19=0),IF(M19=0,"最终库存已闭环","流向对平，仍有待办"),"检查"))</x:f>
      </x:c>
      <x:c r="O19" s="1"/>
      <x:c r="P19" s="1"/>
      <x:c r="Q19" s="1"/>
      <x:c r="R19" s="1"/>
      <x:c r="S19" s="1"/>
      <x:c r="T19" s="1"/>
      <x:c r="U19" s="1"/>
    </x:row>
    <x:row r="20">
      <x:c r="A20" s="94"/>
      <x:c r="B20" s="88" t="str">
        <x:f>IF(A20="","",COUNTIFS('Steam卖出对账'!$C$5:$C$1204,A20,'Steam卖出对账'!$H$5:$H$1204,"&gt;0"))</x:f>
      </x:c>
      <x:c r="C20" s="88" t="str">
        <x:f>IF(A20="","",COUNTIFS('Steam卖出对账'!$C$5:$C$1204,A20,'Steam卖出对账'!$I$5:$I$1204,"&gt;0"))</x:f>
      </x:c>
      <x:c r="D20" s="88" t="str">
        <x:f>IF($A20="","",SUMIFS('补仓对账'!$Q$5:$Q$1204,'补仓对账'!$B$5:$B$1204,$A20,'补仓对账'!$F$5:$F$1204,"C20成功"))</x:f>
      </x:c>
      <x:c r="E20" s="88" t="str">
        <x:f>IF($A20="","",SUMIFS('补仓对账'!$Q$5:$Q$1204,'补仓对账'!$B$5:$B$1204,$A20,'补仓对账'!$F$5:$F$1204,"手动完结"))</x:f>
      </x:c>
      <x:c r="F20" s="88" t="str">
        <x:f>IF($A20="","",SUMIFS('补仓对账'!$Q$5:$Q$1204,'补仓对账'!$B$5:$B$1204,$A20,'补仓对账'!$F$5:$F$1204,"C20发货确认中"))</x:f>
      </x:c>
      <x:c r="G20" s="88" t="str">
        <x:f>IF($A20="","",SUMIFS('补仓对账'!$Q$5:$Q$1204,'补仓对账'!$B$5:$B$1204,$A20,'补仓对账'!$F$5:$F$1204,"卖出待补仓"))</x:f>
      </x:c>
      <x:c r="H20" s="88" t="str">
        <x:f>IF($A20="","",SUMIFS('补仓对账'!$Q$5:$Q$1204,'补仓对账'!$B$5:$B$1204,$A20,'补仓对账'!$F$5:$F$1204,"提交结果待确认"))</x:f>
      </x:c>
      <x:c r="I20" s="88" t="str">
        <x:f>IF($A20="","",SUMIFS('补仓对账'!$Q$5:$Q$1204,'补仓对账'!$B$5:$B$1204,$A20,'补仓对账'!$F$5:$F$1204,"异常待处理"))</x:f>
      </x:c>
      <x:c r="J20" s="88" t="str">
        <x:f>IF(A20="","",SUM(D20:I20))</x:f>
      </x:c>
      <x:c r="K20" s="88" t="str">
        <x:f>IF(A20="","",C20-J20)</x:f>
      </x:c>
      <x:c r="L20" s="88" t="str">
        <x:f>IF(A20="","",D20+E20)</x:f>
      </x:c>
      <x:c r="M20" s="88" t="str">
        <x:f>IF(A20="","",F20+G20+H20+I20)</x:f>
      </x:c>
      <x:c r="N20" s="89" t="str">
        <x:f>IF(A20="","",IF(AND(B20=C20,K20=0),IF(M20=0,"最终库存已闭环","流向对平，仍有待办"),"检查"))</x:f>
      </x:c>
      <x:c r="O20" s="1"/>
      <x:c r="P20" s="1"/>
      <x:c r="Q20" s="1"/>
      <x:c r="R20" s="1"/>
      <x:c r="S20" s="1"/>
      <x:c r="T20" s="1"/>
      <x:c r="U20" s="1"/>
    </x:row>
    <x:row r="21">
      <x:c r="A21" s="13"/>
      <x:c r="B21" s="31" t="str">
        <x:f>IF(A21="","",COUNTIFS('Steam卖出对账'!$C$5:$C$1204,A21,'Steam卖出对账'!$H$5:$H$1204,"&gt;0"))</x:f>
      </x:c>
      <x:c r="C21" s="31" t="str">
        <x:f>IF(A21="","",COUNTIFS('Steam卖出对账'!$C$5:$C$1204,A21,'Steam卖出对账'!$I$5:$I$1204,"&gt;0"))</x:f>
      </x:c>
      <x:c r="D21" s="31" t="str">
        <x:f>IF($A21="","",SUMIFS('补仓对账'!$Q$5:$Q$1204,'补仓对账'!$B$5:$B$1204,$A21,'补仓对账'!$F$5:$F$1204,"C21成功"))</x:f>
      </x:c>
      <x:c r="E21" s="31" t="str">
        <x:f>IF($A21="","",SUMIFS('补仓对账'!$Q$5:$Q$1204,'补仓对账'!$B$5:$B$1204,$A21,'补仓对账'!$F$5:$F$1204,"手动完结"))</x:f>
      </x:c>
      <x:c r="F21" s="31" t="str">
        <x:f>IF($A21="","",SUMIFS('补仓对账'!$Q$5:$Q$1204,'补仓对账'!$B$5:$B$1204,$A21,'补仓对账'!$F$5:$F$1204,"C21发货确认中"))</x:f>
      </x:c>
      <x:c r="G21" s="31" t="str">
        <x:f>IF($A21="","",SUMIFS('补仓对账'!$Q$5:$Q$1204,'补仓对账'!$B$5:$B$1204,$A21,'补仓对账'!$F$5:$F$1204,"卖出待补仓"))</x:f>
      </x:c>
      <x:c r="H21" s="31" t="str">
        <x:f>IF($A21="","",SUMIFS('补仓对账'!$Q$5:$Q$1204,'补仓对账'!$B$5:$B$1204,$A21,'补仓对账'!$F$5:$F$1204,"提交结果待确认"))</x:f>
      </x:c>
      <x:c r="I21" s="31" t="str">
        <x:f>IF($A21="","",SUMIFS('补仓对账'!$Q$5:$Q$1204,'补仓对账'!$B$5:$B$1204,$A21,'补仓对账'!$F$5:$F$1204,"异常待处理"))</x:f>
      </x:c>
      <x:c r="J21" s="31" t="str">
        <x:f>IF(A21="","",SUM(D21:I21))</x:f>
      </x:c>
      <x:c r="K21" s="31" t="str">
        <x:f>IF(A21="","",C21-J21)</x:f>
      </x:c>
      <x:c r="L21" s="31" t="str">
        <x:f>IF(A21="","",D21+E21)</x:f>
      </x:c>
      <x:c r="M21" s="31" t="str">
        <x:f>IF(A21="","",F21+G21+H21+I21)</x:f>
      </x:c>
      <x:c r="N21" s="15" t="str">
        <x:f>IF(A21="","",IF(AND(B21=C21,K21=0),IF(M21=0,"最终库存已闭环","流向对平，仍有待办"),"检查"))</x:f>
      </x:c>
      <x:c r="O21" s="1"/>
      <x:c r="P21" s="1"/>
      <x:c r="Q21" s="1"/>
      <x:c r="R21" s="1"/>
      <x:c r="S21" s="1"/>
      <x:c r="T21" s="1"/>
      <x:c r="U21" s="1"/>
    </x:row>
    <x:row r="22">
      <x:c r="A22" s="13"/>
      <x:c r="B22" s="31" t="str">
        <x:f>IF(A22="","",COUNTIFS('Steam卖出对账'!$C$5:$C$1204,A22,'Steam卖出对账'!$H$5:$H$1204,"&gt;0"))</x:f>
      </x:c>
      <x:c r="C22" s="31" t="str">
        <x:f>IF(A22="","",COUNTIFS('Steam卖出对账'!$C$5:$C$1204,A22,'Steam卖出对账'!$I$5:$I$1204,"&gt;0"))</x:f>
      </x:c>
      <x:c r="D22" s="31" t="str">
        <x:f>IF($A22="","",SUMIFS('补仓对账'!$Q$5:$Q$1204,'补仓对账'!$B$5:$B$1204,$A22,'补仓对账'!$F$5:$F$1204,"C22成功"))</x:f>
      </x:c>
      <x:c r="E22" s="31" t="str">
        <x:f>IF($A22="","",SUMIFS('补仓对账'!$Q$5:$Q$1204,'补仓对账'!$B$5:$B$1204,$A22,'补仓对账'!$F$5:$F$1204,"手动完结"))</x:f>
      </x:c>
      <x:c r="F22" s="31" t="str">
        <x:f>IF($A22="","",SUMIFS('补仓对账'!$Q$5:$Q$1204,'补仓对账'!$B$5:$B$1204,$A22,'补仓对账'!$F$5:$F$1204,"C22发货确认中"))</x:f>
      </x:c>
      <x:c r="G22" s="31" t="str">
        <x:f>IF($A22="","",SUMIFS('补仓对账'!$Q$5:$Q$1204,'补仓对账'!$B$5:$B$1204,$A22,'补仓对账'!$F$5:$F$1204,"卖出待补仓"))</x:f>
      </x:c>
      <x:c r="H22" s="31" t="str">
        <x:f>IF($A22="","",SUMIFS('补仓对账'!$Q$5:$Q$1204,'补仓对账'!$B$5:$B$1204,$A22,'补仓对账'!$F$5:$F$1204,"提交结果待确认"))</x:f>
      </x:c>
      <x:c r="I22" s="31" t="str">
        <x:f>IF($A22="","",SUMIFS('补仓对账'!$Q$5:$Q$1204,'补仓对账'!$B$5:$B$1204,$A22,'补仓对账'!$F$5:$F$1204,"异常待处理"))</x:f>
      </x:c>
      <x:c r="J22" s="31" t="str">
        <x:f>IF(A22="","",SUM(D22:I22))</x:f>
      </x:c>
      <x:c r="K22" s="31" t="str">
        <x:f>IF(A22="","",C22-J22)</x:f>
      </x:c>
      <x:c r="L22" s="31" t="str">
        <x:f>IF(A22="","",D22+E22)</x:f>
      </x:c>
      <x:c r="M22" s="31" t="str">
        <x:f>IF(A22="","",F22+G22+H22+I22)</x:f>
      </x:c>
      <x:c r="N22" s="15" t="str">
        <x:f>IF(A22="","",IF(AND(B22=C22,K22=0),IF(M22=0,"最终库存已闭环","流向对平，仍有待办"),"检查"))</x:f>
      </x:c>
      <x:c r="O22" s="1"/>
      <x:c r="P22" s="1"/>
      <x:c r="Q22" s="1"/>
      <x:c r="R22" s="1"/>
      <x:c r="S22" s="1"/>
      <x:c r="T22" s="1"/>
      <x:c r="U22" s="1"/>
    </x:row>
    <x:row r="23">
      <x:c r="A23" s="13"/>
      <x:c r="B23" s="31" t="str">
        <x:f>IF(A23="","",COUNTIFS('Steam卖出对账'!$C$5:$C$1204,A23,'Steam卖出对账'!$H$5:$H$1204,"&gt;0"))</x:f>
      </x:c>
      <x:c r="C23" s="31" t="str">
        <x:f>IF(A23="","",COUNTIFS('Steam卖出对账'!$C$5:$C$1204,A23,'Steam卖出对账'!$I$5:$I$1204,"&gt;0"))</x:f>
      </x:c>
      <x:c r="D23" s="31" t="str">
        <x:f>IF($A23="","",SUMIFS('补仓对账'!$Q$5:$Q$1204,'补仓对账'!$B$5:$B$1204,$A23,'补仓对账'!$F$5:$F$1204,"C23成功"))</x:f>
      </x:c>
      <x:c r="E23" s="31" t="str">
        <x:f>IF($A23="","",SUMIFS('补仓对账'!$Q$5:$Q$1204,'补仓对账'!$B$5:$B$1204,$A23,'补仓对账'!$F$5:$F$1204,"手动完结"))</x:f>
      </x:c>
      <x:c r="F23" s="31" t="str">
        <x:f>IF($A23="","",SUMIFS('补仓对账'!$Q$5:$Q$1204,'补仓对账'!$B$5:$B$1204,$A23,'补仓对账'!$F$5:$F$1204,"C23发货确认中"))</x:f>
      </x:c>
      <x:c r="G23" s="31" t="str">
        <x:f>IF($A23="","",SUMIFS('补仓对账'!$Q$5:$Q$1204,'补仓对账'!$B$5:$B$1204,$A23,'补仓对账'!$F$5:$F$1204,"卖出待补仓"))</x:f>
      </x:c>
      <x:c r="H23" s="31" t="str">
        <x:f>IF($A23="","",SUMIFS('补仓对账'!$Q$5:$Q$1204,'补仓对账'!$B$5:$B$1204,$A23,'补仓对账'!$F$5:$F$1204,"提交结果待确认"))</x:f>
      </x:c>
      <x:c r="I23" s="31" t="str">
        <x:f>IF($A23="","",SUMIFS('补仓对账'!$Q$5:$Q$1204,'补仓对账'!$B$5:$B$1204,$A23,'补仓对账'!$F$5:$F$1204,"异常待处理"))</x:f>
      </x:c>
      <x:c r="J23" s="31" t="str">
        <x:f>IF(A23="","",SUM(D23:I23))</x:f>
      </x:c>
      <x:c r="K23" s="31" t="str">
        <x:f>IF(A23="","",C23-J23)</x:f>
      </x:c>
      <x:c r="L23" s="31" t="str">
        <x:f>IF(A23="","",D23+E23)</x:f>
      </x:c>
      <x:c r="M23" s="31" t="str">
        <x:f>IF(A23="","",F23+G23+H23+I23)</x:f>
      </x:c>
      <x:c r="N23" s="15" t="str">
        <x:f>IF(A23="","",IF(AND(B23=C23,K23=0),IF(M23=0,"最终库存已闭环","流向对平，仍有待办"),"检查"))</x:f>
      </x:c>
      <x:c r="O23" s="1"/>
      <x:c r="P23" s="1"/>
      <x:c r="Q23" s="1"/>
      <x:c r="R23" s="1"/>
      <x:c r="S23" s="1"/>
      <x:c r="T23" s="1"/>
      <x:c r="U23" s="1"/>
    </x:row>
    <x:row r="24">
      <x:c r="A24" s="13"/>
      <x:c r="B24" s="31" t="str">
        <x:f>IF(A24="","",COUNTIFS('Steam卖出对账'!$C$5:$C$1204,A24,'Steam卖出对账'!$H$5:$H$1204,"&gt;0"))</x:f>
      </x:c>
      <x:c r="C24" s="31" t="str">
        <x:f>IF(A24="","",COUNTIFS('Steam卖出对账'!$C$5:$C$1204,A24,'Steam卖出对账'!$I$5:$I$1204,"&gt;0"))</x:f>
      </x:c>
      <x:c r="D24" s="31" t="str">
        <x:f>IF($A24="","",SUMIFS('补仓对账'!$Q$5:$Q$1204,'补仓对账'!$B$5:$B$1204,$A24,'补仓对账'!$F$5:$F$1204,"C24成功"))</x:f>
      </x:c>
      <x:c r="E24" s="31" t="str">
        <x:f>IF($A24="","",SUMIFS('补仓对账'!$Q$5:$Q$1204,'补仓对账'!$B$5:$B$1204,$A24,'补仓对账'!$F$5:$F$1204,"手动完结"))</x:f>
      </x:c>
      <x:c r="F24" s="31" t="str">
        <x:f>IF($A24="","",SUMIFS('补仓对账'!$Q$5:$Q$1204,'补仓对账'!$B$5:$B$1204,$A24,'补仓对账'!$F$5:$F$1204,"C24发货确认中"))</x:f>
      </x:c>
      <x:c r="G24" s="31" t="str">
        <x:f>IF($A24="","",SUMIFS('补仓对账'!$Q$5:$Q$1204,'补仓对账'!$B$5:$B$1204,$A24,'补仓对账'!$F$5:$F$1204,"卖出待补仓"))</x:f>
      </x:c>
      <x:c r="H24" s="31" t="str">
        <x:f>IF($A24="","",SUMIFS('补仓对账'!$Q$5:$Q$1204,'补仓对账'!$B$5:$B$1204,$A24,'补仓对账'!$F$5:$F$1204,"提交结果待确认"))</x:f>
      </x:c>
      <x:c r="I24" s="31" t="str">
        <x:f>IF($A24="","",SUMIFS('补仓对账'!$Q$5:$Q$1204,'补仓对账'!$B$5:$B$1204,$A24,'补仓对账'!$F$5:$F$1204,"异常待处理"))</x:f>
      </x:c>
      <x:c r="J24" s="31" t="str">
        <x:f>IF(A24="","",SUM(D24:I24))</x:f>
      </x:c>
      <x:c r="K24" s="31" t="str">
        <x:f>IF(A24="","",C24-J24)</x:f>
      </x:c>
      <x:c r="L24" s="31" t="str">
        <x:f>IF(A24="","",D24+E24)</x:f>
      </x:c>
      <x:c r="M24" s="31" t="str">
        <x:f>IF(A24="","",F24+G24+H24+I24)</x:f>
      </x:c>
      <x:c r="N24" s="15" t="str">
        <x:f>IF(A24="","",IF(AND(B24=C24,K24=0),IF(M24=0,"最终库存已闭环","流向对平，仍有待办"),"检查"))</x:f>
      </x:c>
      <x:c r="O24" s="1"/>
      <x:c r="P24" s="1"/>
      <x:c r="Q24" s="1"/>
      <x:c r="R24" s="1"/>
      <x:c r="S24" s="1"/>
      <x:c r="T24" s="1"/>
      <x:c r="U24" s="1"/>
    </x:row>
    <x:row r="25">
      <x:c r="A25" s="13"/>
      <x:c r="B25" s="31" t="str">
        <x:f>IF(A25="","",COUNTIFS('Steam卖出对账'!$C$5:$C$1204,A25,'Steam卖出对账'!$H$5:$H$1204,"&gt;0"))</x:f>
      </x:c>
      <x:c r="C25" s="31" t="str">
        <x:f>IF(A25="","",COUNTIFS('Steam卖出对账'!$C$5:$C$1204,A25,'Steam卖出对账'!$I$5:$I$1204,"&gt;0"))</x:f>
      </x:c>
      <x:c r="D25" s="31" t="str">
        <x:f>IF($A25="","",SUMIFS('补仓对账'!$Q$5:$Q$1204,'补仓对账'!$B$5:$B$1204,$A25,'补仓对账'!$F$5:$F$1204,"C25成功"))</x:f>
      </x:c>
      <x:c r="E25" s="31" t="str">
        <x:f>IF($A25="","",SUMIFS('补仓对账'!$Q$5:$Q$1204,'补仓对账'!$B$5:$B$1204,$A25,'补仓对账'!$F$5:$F$1204,"手动完结"))</x:f>
      </x:c>
      <x:c r="F25" s="31" t="str">
        <x:f>IF($A25="","",SUMIFS('补仓对账'!$Q$5:$Q$1204,'补仓对账'!$B$5:$B$1204,$A25,'补仓对账'!$F$5:$F$1204,"C25发货确认中"))</x:f>
      </x:c>
      <x:c r="G25" s="31" t="str">
        <x:f>IF($A25="","",SUMIFS('补仓对账'!$Q$5:$Q$1204,'补仓对账'!$B$5:$B$1204,$A25,'补仓对账'!$F$5:$F$1204,"卖出待补仓"))</x:f>
      </x:c>
      <x:c r="H25" s="31" t="str">
        <x:f>IF($A25="","",SUMIFS('补仓对账'!$Q$5:$Q$1204,'补仓对账'!$B$5:$B$1204,$A25,'补仓对账'!$F$5:$F$1204,"提交结果待确认"))</x:f>
      </x:c>
      <x:c r="I25" s="31" t="str">
        <x:f>IF($A25="","",SUMIFS('补仓对账'!$Q$5:$Q$1204,'补仓对账'!$B$5:$B$1204,$A25,'补仓对账'!$F$5:$F$1204,"异常待处理"))</x:f>
      </x:c>
      <x:c r="J25" s="31" t="str">
        <x:f>IF(A25="","",SUM(D25:I25))</x:f>
      </x:c>
      <x:c r="K25" s="31" t="str">
        <x:f>IF(A25="","",C25-J25)</x:f>
      </x:c>
      <x:c r="L25" s="31" t="str">
        <x:f>IF(A25="","",D25+E25)</x:f>
      </x:c>
      <x:c r="M25" s="31" t="str">
        <x:f>IF(A25="","",F25+G25+H25+I25)</x:f>
      </x:c>
      <x:c r="N25" s="15" t="str">
        <x:f>IF(A25="","",IF(AND(B25=C25,K25=0),IF(M25=0,"最终库存已闭环","流向对平，仍有待办"),"检查"))</x:f>
      </x:c>
      <x:c r="O25" s="1"/>
      <x:c r="P25" s="1"/>
      <x:c r="Q25" s="1"/>
      <x:c r="R25" s="1"/>
      <x:c r="S25" s="1"/>
      <x:c r="T25" s="1"/>
      <x:c r="U25" s="1"/>
    </x:row>
    <x:row r="26">
      <x:c r="A26" s="13"/>
      <x:c r="B26" s="31" t="str">
        <x:f>IF(A26="","",COUNTIFS('Steam卖出对账'!$C$5:$C$1204,A26,'Steam卖出对账'!$H$5:$H$1204,"&gt;0"))</x:f>
      </x:c>
      <x:c r="C26" s="31" t="str">
        <x:f>IF(A26="","",COUNTIFS('Steam卖出对账'!$C$5:$C$1204,A26,'Steam卖出对账'!$I$5:$I$1204,"&gt;0"))</x:f>
      </x:c>
      <x:c r="D26" s="31" t="str">
        <x:f>IF($A26="","",SUMIFS('补仓对账'!$Q$5:$Q$1204,'补仓对账'!$B$5:$B$1204,$A26,'补仓对账'!$F$5:$F$1204,"C26成功"))</x:f>
      </x:c>
      <x:c r="E26" s="31" t="str">
        <x:f>IF($A26="","",SUMIFS('补仓对账'!$Q$5:$Q$1204,'补仓对账'!$B$5:$B$1204,$A26,'补仓对账'!$F$5:$F$1204,"手动完结"))</x:f>
      </x:c>
      <x:c r="F26" s="31" t="str">
        <x:f>IF($A26="","",SUMIFS('补仓对账'!$Q$5:$Q$1204,'补仓对账'!$B$5:$B$1204,$A26,'补仓对账'!$F$5:$F$1204,"C26发货确认中"))</x:f>
      </x:c>
      <x:c r="G26" s="31" t="str">
        <x:f>IF($A26="","",SUMIFS('补仓对账'!$Q$5:$Q$1204,'补仓对账'!$B$5:$B$1204,$A26,'补仓对账'!$F$5:$F$1204,"卖出待补仓"))</x:f>
      </x:c>
      <x:c r="H26" s="31" t="str">
        <x:f>IF($A26="","",SUMIFS('补仓对账'!$Q$5:$Q$1204,'补仓对账'!$B$5:$B$1204,$A26,'补仓对账'!$F$5:$F$1204,"提交结果待确认"))</x:f>
      </x:c>
      <x:c r="I26" s="31" t="str">
        <x:f>IF($A26="","",SUMIFS('补仓对账'!$Q$5:$Q$1204,'补仓对账'!$B$5:$B$1204,$A26,'补仓对账'!$F$5:$F$1204,"异常待处理"))</x:f>
      </x:c>
      <x:c r="J26" s="31" t="str">
        <x:f>IF(A26="","",SUM(D26:I26))</x:f>
      </x:c>
      <x:c r="K26" s="31" t="str">
        <x:f>IF(A26="","",C26-J26)</x:f>
      </x:c>
      <x:c r="L26" s="31" t="str">
        <x:f>IF(A26="","",D26+E26)</x:f>
      </x:c>
      <x:c r="M26" s="31" t="str">
        <x:f>IF(A26="","",F26+G26+H26+I26)</x:f>
      </x:c>
      <x:c r="N26" s="15" t="str">
        <x:f>IF(A26="","",IF(AND(B26=C26,K26=0),IF(M26=0,"最终库存已闭环","流向对平，仍有待办"),"检查"))</x:f>
      </x:c>
      <x:c r="O26" s="1"/>
      <x:c r="P26" s="1"/>
      <x:c r="Q26" s="1"/>
      <x:c r="R26" s="1"/>
      <x:c r="S26" s="1"/>
      <x:c r="T26" s="1"/>
      <x:c r="U26" s="1"/>
    </x:row>
    <x:row r="27">
      <x:c r="A27" s="13"/>
      <x:c r="B27" s="31" t="str">
        <x:f>IF(A27="","",COUNTIFS('Steam卖出对账'!$C$5:$C$1204,A27,'Steam卖出对账'!$H$5:$H$1204,"&gt;0"))</x:f>
      </x:c>
      <x:c r="C27" s="31" t="str">
        <x:f>IF(A27="","",COUNTIFS('Steam卖出对账'!$C$5:$C$1204,A27,'Steam卖出对账'!$I$5:$I$1204,"&gt;0"))</x:f>
      </x:c>
      <x:c r="D27" s="31" t="str">
        <x:f>IF($A27="","",SUMIFS('补仓对账'!$Q$5:$Q$1204,'补仓对账'!$B$5:$B$1204,$A27,'补仓对账'!$F$5:$F$1204,"C27成功"))</x:f>
      </x:c>
      <x:c r="E27" s="31" t="str">
        <x:f>IF($A27="","",SUMIFS('补仓对账'!$Q$5:$Q$1204,'补仓对账'!$B$5:$B$1204,$A27,'补仓对账'!$F$5:$F$1204,"手动完结"))</x:f>
      </x:c>
      <x:c r="F27" s="31" t="str">
        <x:f>IF($A27="","",SUMIFS('补仓对账'!$Q$5:$Q$1204,'补仓对账'!$B$5:$B$1204,$A27,'补仓对账'!$F$5:$F$1204,"C27发货确认中"))</x:f>
      </x:c>
      <x:c r="G27" s="31" t="str">
        <x:f>IF($A27="","",SUMIFS('补仓对账'!$Q$5:$Q$1204,'补仓对账'!$B$5:$B$1204,$A27,'补仓对账'!$F$5:$F$1204,"卖出待补仓"))</x:f>
      </x:c>
      <x:c r="H27" s="31" t="str">
        <x:f>IF($A27="","",SUMIFS('补仓对账'!$Q$5:$Q$1204,'补仓对账'!$B$5:$B$1204,$A27,'补仓对账'!$F$5:$F$1204,"提交结果待确认"))</x:f>
      </x:c>
      <x:c r="I27" s="31" t="str">
        <x:f>IF($A27="","",SUMIFS('补仓对账'!$Q$5:$Q$1204,'补仓对账'!$B$5:$B$1204,$A27,'补仓对账'!$F$5:$F$1204,"异常待处理"))</x:f>
      </x:c>
      <x:c r="J27" s="31" t="str">
        <x:f>IF(A27="","",SUM(D27:I27))</x:f>
      </x:c>
      <x:c r="K27" s="31" t="str">
        <x:f>IF(A27="","",C27-J27)</x:f>
      </x:c>
      <x:c r="L27" s="31" t="str">
        <x:f>IF(A27="","",D27+E27)</x:f>
      </x:c>
      <x:c r="M27" s="31" t="str">
        <x:f>IF(A27="","",F27+G27+H27+I27)</x:f>
      </x:c>
      <x:c r="N27" s="15" t="str">
        <x:f>IF(A27="","",IF(AND(B27=C27,K27=0),IF(M27=0,"最终库存已闭环","流向对平，仍有待办"),"检查"))</x:f>
      </x:c>
      <x:c r="O27" s="1"/>
      <x:c r="P27" s="1"/>
      <x:c r="Q27" s="1"/>
      <x:c r="R27" s="1"/>
      <x:c r="S27" s="1"/>
      <x:c r="T27" s="1"/>
      <x:c r="U27" s="1"/>
    </x:row>
    <x:row r="28">
      <x:c r="A28" s="13"/>
      <x:c r="B28" s="31" t="str">
        <x:f>IF(A28="","",COUNTIFS('Steam卖出对账'!$C$5:$C$1204,A28,'Steam卖出对账'!$H$5:$H$1204,"&gt;0"))</x:f>
      </x:c>
      <x:c r="C28" s="31" t="str">
        <x:f>IF(A28="","",COUNTIFS('Steam卖出对账'!$C$5:$C$1204,A28,'Steam卖出对账'!$I$5:$I$1204,"&gt;0"))</x:f>
      </x:c>
      <x:c r="D28" s="31" t="str">
        <x:f>IF($A28="","",SUMIFS('补仓对账'!$Q$5:$Q$1204,'补仓对账'!$B$5:$B$1204,$A28,'补仓对账'!$F$5:$F$1204,"C28成功"))</x:f>
      </x:c>
      <x:c r="E28" s="31" t="str">
        <x:f>IF($A28="","",SUMIFS('补仓对账'!$Q$5:$Q$1204,'补仓对账'!$B$5:$B$1204,$A28,'补仓对账'!$F$5:$F$1204,"手动完结"))</x:f>
      </x:c>
      <x:c r="F28" s="31" t="str">
        <x:f>IF($A28="","",SUMIFS('补仓对账'!$Q$5:$Q$1204,'补仓对账'!$B$5:$B$1204,$A28,'补仓对账'!$F$5:$F$1204,"C28发货确认中"))</x:f>
      </x:c>
      <x:c r="G28" s="31" t="str">
        <x:f>IF($A28="","",SUMIFS('补仓对账'!$Q$5:$Q$1204,'补仓对账'!$B$5:$B$1204,$A28,'补仓对账'!$F$5:$F$1204,"卖出待补仓"))</x:f>
      </x:c>
      <x:c r="H28" s="31" t="str">
        <x:f>IF($A28="","",SUMIFS('补仓对账'!$Q$5:$Q$1204,'补仓对账'!$B$5:$B$1204,$A28,'补仓对账'!$F$5:$F$1204,"提交结果待确认"))</x:f>
      </x:c>
      <x:c r="I28" s="31" t="str">
        <x:f>IF($A28="","",SUMIFS('补仓对账'!$Q$5:$Q$1204,'补仓对账'!$B$5:$B$1204,$A28,'补仓对账'!$F$5:$F$1204,"异常待处理"))</x:f>
      </x:c>
      <x:c r="J28" s="31" t="str">
        <x:f>IF(A28="","",SUM(D28:I28))</x:f>
      </x:c>
      <x:c r="K28" s="31" t="str">
        <x:f>IF(A28="","",C28-J28)</x:f>
      </x:c>
      <x:c r="L28" s="31" t="str">
        <x:f>IF(A28="","",D28+E28)</x:f>
      </x:c>
      <x:c r="M28" s="31" t="str">
        <x:f>IF(A28="","",F28+G28+H28+I28)</x:f>
      </x:c>
      <x:c r="N28" s="15" t="str">
        <x:f>IF(A28="","",IF(AND(B28=C28,K28=0),IF(M28=0,"最终库存已闭环","流向对平，仍有待办"),"检查"))</x:f>
      </x:c>
      <x:c r="O28" s="1"/>
      <x:c r="P28" s="1"/>
      <x:c r="Q28" s="1"/>
      <x:c r="R28" s="1"/>
      <x:c r="S28" s="1"/>
      <x:c r="T28" s="1"/>
      <x:c r="U28" s="1"/>
    </x:row>
    <x:row r="29">
      <x:c r="A29" s="13"/>
      <x:c r="B29" s="31" t="str">
        <x:f>IF(A29="","",COUNTIFS('Steam卖出对账'!$C$5:$C$1204,A29,'Steam卖出对账'!$H$5:$H$1204,"&gt;0"))</x:f>
      </x:c>
      <x:c r="C29" s="31" t="str">
        <x:f>IF(A29="","",COUNTIFS('Steam卖出对账'!$C$5:$C$1204,A29,'Steam卖出对账'!$I$5:$I$1204,"&gt;0"))</x:f>
      </x:c>
      <x:c r="D29" s="31" t="str">
        <x:f>IF($A29="","",SUMIFS('补仓对账'!$Q$5:$Q$1204,'补仓对账'!$B$5:$B$1204,$A29,'补仓对账'!$F$5:$F$1204,"C29成功"))</x:f>
      </x:c>
      <x:c r="E29" s="31" t="str">
        <x:f>IF($A29="","",SUMIFS('补仓对账'!$Q$5:$Q$1204,'补仓对账'!$B$5:$B$1204,$A29,'补仓对账'!$F$5:$F$1204,"手动完结"))</x:f>
      </x:c>
      <x:c r="F29" s="31" t="str">
        <x:f>IF($A29="","",SUMIFS('补仓对账'!$Q$5:$Q$1204,'补仓对账'!$B$5:$B$1204,$A29,'补仓对账'!$F$5:$F$1204,"C29发货确认中"))</x:f>
      </x:c>
      <x:c r="G29" s="31" t="str">
        <x:f>IF($A29="","",SUMIFS('补仓对账'!$Q$5:$Q$1204,'补仓对账'!$B$5:$B$1204,$A29,'补仓对账'!$F$5:$F$1204,"卖出待补仓"))</x:f>
      </x:c>
      <x:c r="H29" s="31" t="str">
        <x:f>IF($A29="","",SUMIFS('补仓对账'!$Q$5:$Q$1204,'补仓对账'!$B$5:$B$1204,$A29,'补仓对账'!$F$5:$F$1204,"提交结果待确认"))</x:f>
      </x:c>
      <x:c r="I29" s="31" t="str">
        <x:f>IF($A29="","",SUMIFS('补仓对账'!$Q$5:$Q$1204,'补仓对账'!$B$5:$B$1204,$A29,'补仓对账'!$F$5:$F$1204,"异常待处理"))</x:f>
      </x:c>
      <x:c r="J29" s="31" t="str">
        <x:f>IF(A29="","",SUM(D29:I29))</x:f>
      </x:c>
      <x:c r="K29" s="31" t="str">
        <x:f>IF(A29="","",C29-J29)</x:f>
      </x:c>
      <x:c r="L29" s="31" t="str">
        <x:f>IF(A29="","",D29+E29)</x:f>
      </x:c>
      <x:c r="M29" s="31" t="str">
        <x:f>IF(A29="","",F29+G29+H29+I29)</x:f>
      </x:c>
      <x:c r="N29" s="15" t="str">
        <x:f>IF(A29="","",IF(AND(B29=C29,K29=0),IF(M29=0,"最终库存已闭环","流向对平，仍有待办"),"检查"))</x:f>
      </x:c>
      <x:c r="O29" s="1"/>
      <x:c r="P29" s="1"/>
      <x:c r="Q29" s="1"/>
      <x:c r="R29" s="1"/>
      <x:c r="S29" s="1"/>
      <x:c r="T29" s="1"/>
      <x:c r="U29" s="1"/>
    </x:row>
    <x:row r="30">
      <x:c r="A30" s="13"/>
      <x:c r="B30" s="31" t="str">
        <x:f>IF(A30="","",COUNTIFS('Steam卖出对账'!$C$5:$C$1204,A30,'Steam卖出对账'!$H$5:$H$1204,"&gt;0"))</x:f>
      </x:c>
      <x:c r="C30" s="31" t="str">
        <x:f>IF(A30="","",COUNTIFS('Steam卖出对账'!$C$5:$C$1204,A30,'Steam卖出对账'!$I$5:$I$1204,"&gt;0"))</x:f>
      </x:c>
      <x:c r="D30" s="31" t="str">
        <x:f>IF($A30="","",SUMIFS('补仓对账'!$Q$5:$Q$1204,'补仓对账'!$B$5:$B$1204,$A30,'补仓对账'!$F$5:$F$1204,"C30成功"))</x:f>
      </x:c>
      <x:c r="E30" s="31" t="str">
        <x:f>IF($A30="","",SUMIFS('补仓对账'!$Q$5:$Q$1204,'补仓对账'!$B$5:$B$1204,$A30,'补仓对账'!$F$5:$F$1204,"手动完结"))</x:f>
      </x:c>
      <x:c r="F30" s="31" t="str">
        <x:f>IF($A30="","",SUMIFS('补仓对账'!$Q$5:$Q$1204,'补仓对账'!$B$5:$B$1204,$A30,'补仓对账'!$F$5:$F$1204,"C30发货确认中"))</x:f>
      </x:c>
      <x:c r="G30" s="31" t="str">
        <x:f>IF($A30="","",SUMIFS('补仓对账'!$Q$5:$Q$1204,'补仓对账'!$B$5:$B$1204,$A30,'补仓对账'!$F$5:$F$1204,"卖出待补仓"))</x:f>
      </x:c>
      <x:c r="H30" s="31" t="str">
        <x:f>IF($A30="","",SUMIFS('补仓对账'!$Q$5:$Q$1204,'补仓对账'!$B$5:$B$1204,$A30,'补仓对账'!$F$5:$F$1204,"提交结果待确认"))</x:f>
      </x:c>
      <x:c r="I30" s="31" t="str">
        <x:f>IF($A30="","",SUMIFS('补仓对账'!$Q$5:$Q$1204,'补仓对账'!$B$5:$B$1204,$A30,'补仓对账'!$F$5:$F$1204,"异常待处理"))</x:f>
      </x:c>
      <x:c r="J30" s="31" t="str">
        <x:f>IF(A30="","",SUM(D30:I30))</x:f>
      </x:c>
      <x:c r="K30" s="31" t="str">
        <x:f>IF(A30="","",C30-J30)</x:f>
      </x:c>
      <x:c r="L30" s="31" t="str">
        <x:f>IF(A30="","",D30+E30)</x:f>
      </x:c>
      <x:c r="M30" s="31" t="str">
        <x:f>IF(A30="","",F30+G30+H30+I30)</x:f>
      </x:c>
      <x:c r="N30" s="15" t="str">
        <x:f>IF(A30="","",IF(AND(B30=C30,K30=0),IF(M30=0,"最终库存已闭环","流向对平，仍有待办"),"检查"))</x:f>
      </x:c>
      <x:c r="O30" s="1"/>
      <x:c r="P30" s="1"/>
      <x:c r="Q30" s="1"/>
      <x:c r="R30" s="1"/>
      <x:c r="S30" s="1"/>
      <x:c r="T30" s="1"/>
      <x:c r="U30" s="1"/>
    </x:row>
    <x:row r="31">
      <x:c r="A31" s="13"/>
      <x:c r="B31" s="31" t="str">
        <x:f>IF(A31="","",COUNTIFS('Steam卖出对账'!$C$5:$C$1204,A31,'Steam卖出对账'!$H$5:$H$1204,"&gt;0"))</x:f>
      </x:c>
      <x:c r="C31" s="31" t="str">
        <x:f>IF(A31="","",COUNTIFS('Steam卖出对账'!$C$5:$C$1204,A31,'Steam卖出对账'!$I$5:$I$1204,"&gt;0"))</x:f>
      </x:c>
      <x:c r="D31" s="31" t="str">
        <x:f>IF($A31="","",SUMIFS('补仓对账'!$Q$5:$Q$1204,'补仓对账'!$B$5:$B$1204,$A31,'补仓对账'!$F$5:$F$1204,"C31成功"))</x:f>
      </x:c>
      <x:c r="E31" s="31" t="str">
        <x:f>IF($A31="","",SUMIFS('补仓对账'!$Q$5:$Q$1204,'补仓对账'!$B$5:$B$1204,$A31,'补仓对账'!$F$5:$F$1204,"手动完结"))</x:f>
      </x:c>
      <x:c r="F31" s="31" t="str">
        <x:f>IF($A31="","",SUMIFS('补仓对账'!$Q$5:$Q$1204,'补仓对账'!$B$5:$B$1204,$A31,'补仓对账'!$F$5:$F$1204,"C31发货确认中"))</x:f>
      </x:c>
      <x:c r="G31" s="31" t="str">
        <x:f>IF($A31="","",SUMIFS('补仓对账'!$Q$5:$Q$1204,'补仓对账'!$B$5:$B$1204,$A31,'补仓对账'!$F$5:$F$1204,"卖出待补仓"))</x:f>
      </x:c>
      <x:c r="H31" s="31" t="str">
        <x:f>IF($A31="","",SUMIFS('补仓对账'!$Q$5:$Q$1204,'补仓对账'!$B$5:$B$1204,$A31,'补仓对账'!$F$5:$F$1204,"提交结果待确认"))</x:f>
      </x:c>
      <x:c r="I31" s="31" t="str">
        <x:f>IF($A31="","",SUMIFS('补仓对账'!$Q$5:$Q$1204,'补仓对账'!$B$5:$B$1204,$A31,'补仓对账'!$F$5:$F$1204,"异常待处理"))</x:f>
      </x:c>
      <x:c r="J31" s="31" t="str">
        <x:f>IF(A31="","",SUM(D31:I31))</x:f>
      </x:c>
      <x:c r="K31" s="31" t="str">
        <x:f>IF(A31="","",C31-J31)</x:f>
      </x:c>
      <x:c r="L31" s="31" t="str">
        <x:f>IF(A31="","",D31+E31)</x:f>
      </x:c>
      <x:c r="M31" s="31" t="str">
        <x:f>IF(A31="","",F31+G31+H31+I31)</x:f>
      </x:c>
      <x:c r="N31" s="15" t="str">
        <x:f>IF(A31="","",IF(AND(B31=C31,K31=0),IF(M31=0,"最终库存已闭环","流向对平，仍有待办"),"检查"))</x:f>
      </x:c>
      <x:c r="O31" s="1"/>
      <x:c r="P31" s="1"/>
      <x:c r="Q31" s="1"/>
      <x:c r="R31" s="1"/>
      <x:c r="S31" s="1"/>
      <x:c r="T31" s="1"/>
      <x:c r="U31" s="1"/>
    </x:row>
    <x:row r="32">
      <x:c r="A32" s="13"/>
      <x:c r="B32" s="31" t="str">
        <x:f>IF(A32="","",COUNTIFS('Steam卖出对账'!$C$5:$C$1204,A32,'Steam卖出对账'!$H$5:$H$1204,"&gt;0"))</x:f>
      </x:c>
      <x:c r="C32" s="31" t="str">
        <x:f>IF(A32="","",COUNTIFS('Steam卖出对账'!$C$5:$C$1204,A32,'Steam卖出对账'!$I$5:$I$1204,"&gt;0"))</x:f>
      </x:c>
      <x:c r="D32" s="31" t="str">
        <x:f>IF($A32="","",SUMIFS('补仓对账'!$Q$5:$Q$1204,'补仓对账'!$B$5:$B$1204,$A32,'补仓对账'!$F$5:$F$1204,"C32成功"))</x:f>
      </x:c>
      <x:c r="E32" s="31" t="str">
        <x:f>IF($A32="","",SUMIFS('补仓对账'!$Q$5:$Q$1204,'补仓对账'!$B$5:$B$1204,$A32,'补仓对账'!$F$5:$F$1204,"手动完结"))</x:f>
      </x:c>
      <x:c r="F32" s="31" t="str">
        <x:f>IF($A32="","",SUMIFS('补仓对账'!$Q$5:$Q$1204,'补仓对账'!$B$5:$B$1204,$A32,'补仓对账'!$F$5:$F$1204,"C32发货确认中"))</x:f>
      </x:c>
      <x:c r="G32" s="31" t="str">
        <x:f>IF($A32="","",SUMIFS('补仓对账'!$Q$5:$Q$1204,'补仓对账'!$B$5:$B$1204,$A32,'补仓对账'!$F$5:$F$1204,"卖出待补仓"))</x:f>
      </x:c>
      <x:c r="H32" s="31" t="str">
        <x:f>IF($A32="","",SUMIFS('补仓对账'!$Q$5:$Q$1204,'补仓对账'!$B$5:$B$1204,$A32,'补仓对账'!$F$5:$F$1204,"提交结果待确认"))</x:f>
      </x:c>
      <x:c r="I32" s="31" t="str">
        <x:f>IF($A32="","",SUMIFS('补仓对账'!$Q$5:$Q$1204,'补仓对账'!$B$5:$B$1204,$A32,'补仓对账'!$F$5:$F$1204,"异常待处理"))</x:f>
      </x:c>
      <x:c r="J32" s="31" t="str">
        <x:f>IF(A32="","",SUM(D32:I32))</x:f>
      </x:c>
      <x:c r="K32" s="31" t="str">
        <x:f>IF(A32="","",C32-J32)</x:f>
      </x:c>
      <x:c r="L32" s="31" t="str">
        <x:f>IF(A32="","",D32+E32)</x:f>
      </x:c>
      <x:c r="M32" s="31" t="str">
        <x:f>IF(A32="","",F32+G32+H32+I32)</x:f>
      </x:c>
      <x:c r="N32" s="15" t="str">
        <x:f>IF(A32="","",IF(AND(B32=C32,K32=0),IF(M32=0,"最终库存已闭环","流向对平，仍有待办"),"检查"))</x:f>
      </x:c>
      <x:c r="O32" s="1"/>
      <x:c r="P32" s="1"/>
      <x:c r="Q32" s="1"/>
      <x:c r="R32" s="1"/>
      <x:c r="S32" s="1"/>
      <x:c r="T32" s="1"/>
      <x:c r="U32" s="1"/>
    </x:row>
    <x:row r="33">
      <x:c r="A33" s="13"/>
      <x:c r="B33" s="31" t="str">
        <x:f>IF(A33="","",COUNTIFS('Steam卖出对账'!$C$5:$C$1204,A33,'Steam卖出对账'!$H$5:$H$1204,"&gt;0"))</x:f>
      </x:c>
      <x:c r="C33" s="31" t="str">
        <x:f>IF(A33="","",COUNTIFS('Steam卖出对账'!$C$5:$C$1204,A33,'Steam卖出对账'!$I$5:$I$1204,"&gt;0"))</x:f>
      </x:c>
      <x:c r="D33" s="31" t="str">
        <x:f>IF($A33="","",SUMIFS('补仓对账'!$Q$5:$Q$1204,'补仓对账'!$B$5:$B$1204,$A33,'补仓对账'!$F$5:$F$1204,"C33成功"))</x:f>
      </x:c>
      <x:c r="E33" s="31" t="str">
        <x:f>IF($A33="","",SUMIFS('补仓对账'!$Q$5:$Q$1204,'补仓对账'!$B$5:$B$1204,$A33,'补仓对账'!$F$5:$F$1204,"手动完结"))</x:f>
      </x:c>
      <x:c r="F33" s="31" t="str">
        <x:f>IF($A33="","",SUMIFS('补仓对账'!$Q$5:$Q$1204,'补仓对账'!$B$5:$B$1204,$A33,'补仓对账'!$F$5:$F$1204,"C33发货确认中"))</x:f>
      </x:c>
      <x:c r="G33" s="31" t="str">
        <x:f>IF($A33="","",SUMIFS('补仓对账'!$Q$5:$Q$1204,'补仓对账'!$B$5:$B$1204,$A33,'补仓对账'!$F$5:$F$1204,"卖出待补仓"))</x:f>
      </x:c>
      <x:c r="H33" s="31" t="str">
        <x:f>IF($A33="","",SUMIFS('补仓对账'!$Q$5:$Q$1204,'补仓对账'!$B$5:$B$1204,$A33,'补仓对账'!$F$5:$F$1204,"提交结果待确认"))</x:f>
      </x:c>
      <x:c r="I33" s="31" t="str">
        <x:f>IF($A33="","",SUMIFS('补仓对账'!$Q$5:$Q$1204,'补仓对账'!$B$5:$B$1204,$A33,'补仓对账'!$F$5:$F$1204,"异常待处理"))</x:f>
      </x:c>
      <x:c r="J33" s="31" t="str">
        <x:f>IF(A33="","",SUM(D33:I33))</x:f>
      </x:c>
      <x:c r="K33" s="31" t="str">
        <x:f>IF(A33="","",C33-J33)</x:f>
      </x:c>
      <x:c r="L33" s="31" t="str">
        <x:f>IF(A33="","",D33+E33)</x:f>
      </x:c>
      <x:c r="M33" s="31" t="str">
        <x:f>IF(A33="","",F33+G33+H33+I33)</x:f>
      </x:c>
      <x:c r="N33" s="15" t="str">
        <x:f>IF(A33="","",IF(AND(B33=C33,K33=0),IF(M33=0,"最终库存已闭环","流向对平，仍有待办"),"检查"))</x:f>
      </x:c>
      <x:c r="O33" s="1"/>
      <x:c r="P33" s="1"/>
      <x:c r="Q33" s="1"/>
      <x:c r="R33" s="1"/>
      <x:c r="S33" s="1"/>
      <x:c r="T33" s="1"/>
      <x:c r="U33" s="1"/>
    </x:row>
    <x:row r="34">
      <x:c r="A34" s="13"/>
      <x:c r="B34" s="31" t="str">
        <x:f>IF(A34="","",COUNTIFS('Steam卖出对账'!$C$5:$C$1204,A34,'Steam卖出对账'!$H$5:$H$1204,"&gt;0"))</x:f>
      </x:c>
      <x:c r="C34" s="31" t="str">
        <x:f>IF(A34="","",COUNTIFS('Steam卖出对账'!$C$5:$C$1204,A34,'Steam卖出对账'!$I$5:$I$1204,"&gt;0"))</x:f>
      </x:c>
      <x:c r="D34" s="31" t="str">
        <x:f>IF($A34="","",SUMIFS('补仓对账'!$Q$5:$Q$1204,'补仓对账'!$B$5:$B$1204,$A34,'补仓对账'!$F$5:$F$1204,"C34成功"))</x:f>
      </x:c>
      <x:c r="E34" s="31" t="str">
        <x:f>IF($A34="","",SUMIFS('补仓对账'!$Q$5:$Q$1204,'补仓对账'!$B$5:$B$1204,$A34,'补仓对账'!$F$5:$F$1204,"手动完结"))</x:f>
      </x:c>
      <x:c r="F34" s="31" t="str">
        <x:f>IF($A34="","",SUMIFS('补仓对账'!$Q$5:$Q$1204,'补仓对账'!$B$5:$B$1204,$A34,'补仓对账'!$F$5:$F$1204,"C34发货确认中"))</x:f>
      </x:c>
      <x:c r="G34" s="31" t="str">
        <x:f>IF($A34="","",SUMIFS('补仓对账'!$Q$5:$Q$1204,'补仓对账'!$B$5:$B$1204,$A34,'补仓对账'!$F$5:$F$1204,"卖出待补仓"))</x:f>
      </x:c>
      <x:c r="H34" s="31" t="str">
        <x:f>IF($A34="","",SUMIFS('补仓对账'!$Q$5:$Q$1204,'补仓对账'!$B$5:$B$1204,$A34,'补仓对账'!$F$5:$F$1204,"提交结果待确认"))</x:f>
      </x:c>
      <x:c r="I34" s="31" t="str">
        <x:f>IF($A34="","",SUMIFS('补仓对账'!$Q$5:$Q$1204,'补仓对账'!$B$5:$B$1204,$A34,'补仓对账'!$F$5:$F$1204,"异常待处理"))</x:f>
      </x:c>
      <x:c r="J34" s="31" t="str">
        <x:f>IF(A34="","",SUM(D34:I34))</x:f>
      </x:c>
      <x:c r="K34" s="31" t="str">
        <x:f>IF(A34="","",C34-J34)</x:f>
      </x:c>
      <x:c r="L34" s="31" t="str">
        <x:f>IF(A34="","",D34+E34)</x:f>
      </x:c>
      <x:c r="M34" s="31" t="str">
        <x:f>IF(A34="","",F34+G34+H34+I34)</x:f>
      </x:c>
      <x:c r="N34" s="15" t="str">
        <x:f>IF(A34="","",IF(AND(B34=C34,K34=0),IF(M34=0,"最终库存已闭环","流向对平，仍有待办"),"检查"))</x:f>
      </x:c>
      <x:c r="O34" s="1"/>
      <x:c r="P34" s="1"/>
      <x:c r="Q34" s="1"/>
      <x:c r="R34" s="1"/>
      <x:c r="S34" s="1"/>
      <x:c r="T34" s="1"/>
      <x:c r="U34" s="1"/>
    </x:row>
    <x:row r="35">
      <x:c r="A35" s="13"/>
      <x:c r="B35" s="31" t="str">
        <x:f>IF(A35="","",COUNTIFS('Steam卖出对账'!$C$5:$C$1204,A35,'Steam卖出对账'!$H$5:$H$1204,"&gt;0"))</x:f>
      </x:c>
      <x:c r="C35" s="31" t="str">
        <x:f>IF(A35="","",COUNTIFS('Steam卖出对账'!$C$5:$C$1204,A35,'Steam卖出对账'!$I$5:$I$1204,"&gt;0"))</x:f>
      </x:c>
      <x:c r="D35" s="31" t="str">
        <x:f>IF($A35="","",SUMIFS('补仓对账'!$Q$5:$Q$1204,'补仓对账'!$B$5:$B$1204,$A35,'补仓对账'!$F$5:$F$1204,"C35成功"))</x:f>
      </x:c>
      <x:c r="E35" s="31" t="str">
        <x:f>IF($A35="","",SUMIFS('补仓对账'!$Q$5:$Q$1204,'补仓对账'!$B$5:$B$1204,$A35,'补仓对账'!$F$5:$F$1204,"手动完结"))</x:f>
      </x:c>
      <x:c r="F35" s="31" t="str">
        <x:f>IF($A35="","",SUMIFS('补仓对账'!$Q$5:$Q$1204,'补仓对账'!$B$5:$B$1204,$A35,'补仓对账'!$F$5:$F$1204,"C35发货确认中"))</x:f>
      </x:c>
      <x:c r="G35" s="31" t="str">
        <x:f>IF($A35="","",SUMIFS('补仓对账'!$Q$5:$Q$1204,'补仓对账'!$B$5:$B$1204,$A35,'补仓对账'!$F$5:$F$1204,"卖出待补仓"))</x:f>
      </x:c>
      <x:c r="H35" s="31" t="str">
        <x:f>IF($A35="","",SUMIFS('补仓对账'!$Q$5:$Q$1204,'补仓对账'!$B$5:$B$1204,$A35,'补仓对账'!$F$5:$F$1204,"提交结果待确认"))</x:f>
      </x:c>
      <x:c r="I35" s="31" t="str">
        <x:f>IF($A35="","",SUMIFS('补仓对账'!$Q$5:$Q$1204,'补仓对账'!$B$5:$B$1204,$A35,'补仓对账'!$F$5:$F$1204,"异常待处理"))</x:f>
      </x:c>
      <x:c r="J35" s="31" t="str">
        <x:f>IF(A35="","",SUM(D35:I35))</x:f>
      </x:c>
      <x:c r="K35" s="31" t="str">
        <x:f>IF(A35="","",C35-J35)</x:f>
      </x:c>
      <x:c r="L35" s="31" t="str">
        <x:f>IF(A35="","",D35+E35)</x:f>
      </x:c>
      <x:c r="M35" s="31" t="str">
        <x:f>IF(A35="","",F35+G35+H35+I35)</x:f>
      </x:c>
      <x:c r="N35" s="15" t="str">
        <x:f>IF(A35="","",IF(AND(B35=C35,K35=0),IF(M35=0,"最终库存已闭环","流向对平，仍有待办"),"检查"))</x:f>
      </x:c>
      <x:c r="O35" s="1"/>
      <x:c r="P35" s="1"/>
      <x:c r="Q35" s="1"/>
      <x:c r="R35" s="1"/>
      <x:c r="S35" s="1"/>
      <x:c r="T35" s="1"/>
      <x:c r="U35" s="1"/>
    </x:row>
    <x:row r="36">
      <x:c r="A36" s="13"/>
      <x:c r="B36" s="31" t="str">
        <x:f>IF(A36="","",COUNTIFS('Steam卖出对账'!$C$5:$C$1204,A36,'Steam卖出对账'!$H$5:$H$1204,"&gt;0"))</x:f>
      </x:c>
      <x:c r="C36" s="31" t="str">
        <x:f>IF(A36="","",COUNTIFS('Steam卖出对账'!$C$5:$C$1204,A36,'Steam卖出对账'!$I$5:$I$1204,"&gt;0"))</x:f>
      </x:c>
      <x:c r="D36" s="31" t="str">
        <x:f>IF($A36="","",SUMIFS('补仓对账'!$Q$5:$Q$1204,'补仓对账'!$B$5:$B$1204,$A36,'补仓对账'!$F$5:$F$1204,"C36成功"))</x:f>
      </x:c>
      <x:c r="E36" s="31" t="str">
        <x:f>IF($A36="","",SUMIFS('补仓对账'!$Q$5:$Q$1204,'补仓对账'!$B$5:$B$1204,$A36,'补仓对账'!$F$5:$F$1204,"手动完结"))</x:f>
      </x:c>
      <x:c r="F36" s="31" t="str">
        <x:f>IF($A36="","",SUMIFS('补仓对账'!$Q$5:$Q$1204,'补仓对账'!$B$5:$B$1204,$A36,'补仓对账'!$F$5:$F$1204,"C36发货确认中"))</x:f>
      </x:c>
      <x:c r="G36" s="31" t="str">
        <x:f>IF($A36="","",SUMIFS('补仓对账'!$Q$5:$Q$1204,'补仓对账'!$B$5:$B$1204,$A36,'补仓对账'!$F$5:$F$1204,"卖出待补仓"))</x:f>
      </x:c>
      <x:c r="H36" s="31" t="str">
        <x:f>IF($A36="","",SUMIFS('补仓对账'!$Q$5:$Q$1204,'补仓对账'!$B$5:$B$1204,$A36,'补仓对账'!$F$5:$F$1204,"提交结果待确认"))</x:f>
      </x:c>
      <x:c r="I36" s="31" t="str">
        <x:f>IF($A36="","",SUMIFS('补仓对账'!$Q$5:$Q$1204,'补仓对账'!$B$5:$B$1204,$A36,'补仓对账'!$F$5:$F$1204,"异常待处理"))</x:f>
      </x:c>
      <x:c r="J36" s="31" t="str">
        <x:f>IF(A36="","",SUM(D36:I36))</x:f>
      </x:c>
      <x:c r="K36" s="31" t="str">
        <x:f>IF(A36="","",C36-J36)</x:f>
      </x:c>
      <x:c r="L36" s="31" t="str">
        <x:f>IF(A36="","",D36+E36)</x:f>
      </x:c>
      <x:c r="M36" s="31" t="str">
        <x:f>IF(A36="","",F36+G36+H36+I36)</x:f>
      </x:c>
      <x:c r="N36" s="15" t="str">
        <x:f>IF(A36="","",IF(AND(B36=C36,K36=0),IF(M36=0,"最终库存已闭环","流向对平，仍有待办"),"检查"))</x:f>
      </x:c>
      <x:c r="O36" s="1"/>
      <x:c r="P36" s="1"/>
      <x:c r="Q36" s="1"/>
      <x:c r="R36" s="1"/>
      <x:c r="S36" s="1"/>
      <x:c r="T36" s="1"/>
      <x:c r="U36" s="1"/>
    </x:row>
    <x:row r="37">
      <x:c r="A37" s="13"/>
      <x:c r="B37" s="31" t="str">
        <x:f>IF(A37="","",COUNTIFS('Steam卖出对账'!$C$5:$C$1204,A37,'Steam卖出对账'!$H$5:$H$1204,"&gt;0"))</x:f>
      </x:c>
      <x:c r="C37" s="31" t="str">
        <x:f>IF(A37="","",COUNTIFS('Steam卖出对账'!$C$5:$C$1204,A37,'Steam卖出对账'!$I$5:$I$1204,"&gt;0"))</x:f>
      </x:c>
      <x:c r="D37" s="31" t="str">
        <x:f>IF($A37="","",SUMIFS('补仓对账'!$Q$5:$Q$1204,'补仓对账'!$B$5:$B$1204,$A37,'补仓对账'!$F$5:$F$1204,"C37成功"))</x:f>
      </x:c>
      <x:c r="E37" s="31" t="str">
        <x:f>IF($A37="","",SUMIFS('补仓对账'!$Q$5:$Q$1204,'补仓对账'!$B$5:$B$1204,$A37,'补仓对账'!$F$5:$F$1204,"手动完结"))</x:f>
      </x:c>
      <x:c r="F37" s="31" t="str">
        <x:f>IF($A37="","",SUMIFS('补仓对账'!$Q$5:$Q$1204,'补仓对账'!$B$5:$B$1204,$A37,'补仓对账'!$F$5:$F$1204,"C37发货确认中"))</x:f>
      </x:c>
      <x:c r="G37" s="31" t="str">
        <x:f>IF($A37="","",SUMIFS('补仓对账'!$Q$5:$Q$1204,'补仓对账'!$B$5:$B$1204,$A37,'补仓对账'!$F$5:$F$1204,"卖出待补仓"))</x:f>
      </x:c>
      <x:c r="H37" s="31" t="str">
        <x:f>IF($A37="","",SUMIFS('补仓对账'!$Q$5:$Q$1204,'补仓对账'!$B$5:$B$1204,$A37,'补仓对账'!$F$5:$F$1204,"提交结果待确认"))</x:f>
      </x:c>
      <x:c r="I37" s="31" t="str">
        <x:f>IF($A37="","",SUMIFS('补仓对账'!$Q$5:$Q$1204,'补仓对账'!$B$5:$B$1204,$A37,'补仓对账'!$F$5:$F$1204,"异常待处理"))</x:f>
      </x:c>
      <x:c r="J37" s="31" t="str">
        <x:f>IF(A37="","",SUM(D37:I37))</x:f>
      </x:c>
      <x:c r="K37" s="31" t="str">
        <x:f>IF(A37="","",C37-J37)</x:f>
      </x:c>
      <x:c r="L37" s="31" t="str">
        <x:f>IF(A37="","",D37+E37)</x:f>
      </x:c>
      <x:c r="M37" s="31" t="str">
        <x:f>IF(A37="","",F37+G37+H37+I37)</x:f>
      </x:c>
      <x:c r="N37" s="15" t="str">
        <x:f>IF(A37="","",IF(AND(B37=C37,K37=0),IF(M37=0,"最终库存已闭环","流向对平，仍有待办"),"检查"))</x:f>
      </x:c>
      <x:c r="O37" s="1"/>
      <x:c r="P37" s="1"/>
      <x:c r="Q37" s="1"/>
      <x:c r="R37" s="1"/>
      <x:c r="S37" s="1"/>
      <x:c r="T37" s="1"/>
      <x:c r="U37" s="1"/>
    </x:row>
    <x:row r="38">
      <x:c r="A38" s="13"/>
      <x:c r="B38" s="31" t="str">
        <x:f>IF(A38="","",COUNTIFS('Steam卖出对账'!$C$5:$C$1204,A38,'Steam卖出对账'!$H$5:$H$1204,"&gt;0"))</x:f>
      </x:c>
      <x:c r="C38" s="31" t="str">
        <x:f>IF(A38="","",COUNTIFS('Steam卖出对账'!$C$5:$C$1204,A38,'Steam卖出对账'!$I$5:$I$1204,"&gt;0"))</x:f>
      </x:c>
      <x:c r="D38" s="31" t="str">
        <x:f>IF($A38="","",SUMIFS('补仓对账'!$Q$5:$Q$1204,'补仓对账'!$B$5:$B$1204,$A38,'补仓对账'!$F$5:$F$1204,"C38成功"))</x:f>
      </x:c>
      <x:c r="E38" s="31" t="str">
        <x:f>IF($A38="","",SUMIFS('补仓对账'!$Q$5:$Q$1204,'补仓对账'!$B$5:$B$1204,$A38,'补仓对账'!$F$5:$F$1204,"手动完结"))</x:f>
      </x:c>
      <x:c r="F38" s="31" t="str">
        <x:f>IF($A38="","",SUMIFS('补仓对账'!$Q$5:$Q$1204,'补仓对账'!$B$5:$B$1204,$A38,'补仓对账'!$F$5:$F$1204,"C38发货确认中"))</x:f>
      </x:c>
      <x:c r="G38" s="31" t="str">
        <x:f>IF($A38="","",SUMIFS('补仓对账'!$Q$5:$Q$1204,'补仓对账'!$B$5:$B$1204,$A38,'补仓对账'!$F$5:$F$1204,"卖出待补仓"))</x:f>
      </x:c>
      <x:c r="H38" s="31" t="str">
        <x:f>IF($A38="","",SUMIFS('补仓对账'!$Q$5:$Q$1204,'补仓对账'!$B$5:$B$1204,$A38,'补仓对账'!$F$5:$F$1204,"提交结果待确认"))</x:f>
      </x:c>
      <x:c r="I38" s="31" t="str">
        <x:f>IF($A38="","",SUMIFS('补仓对账'!$Q$5:$Q$1204,'补仓对账'!$B$5:$B$1204,$A38,'补仓对账'!$F$5:$F$1204,"异常待处理"))</x:f>
      </x:c>
      <x:c r="J38" s="31" t="str">
        <x:f>IF(A38="","",SUM(D38:I38))</x:f>
      </x:c>
      <x:c r="K38" s="31" t="str">
        <x:f>IF(A38="","",C38-J38)</x:f>
      </x:c>
      <x:c r="L38" s="31" t="str">
        <x:f>IF(A38="","",D38+E38)</x:f>
      </x:c>
      <x:c r="M38" s="31" t="str">
        <x:f>IF(A38="","",F38+G38+H38+I38)</x:f>
      </x:c>
      <x:c r="N38" s="15" t="str">
        <x:f>IF(A38="","",IF(AND(B38=C38,K38=0),IF(M38=0,"最终库存已闭环","流向对平，仍有待办"),"检查"))</x:f>
      </x:c>
      <x:c r="O38" s="1"/>
      <x:c r="P38" s="1"/>
      <x:c r="Q38" s="1"/>
      <x:c r="R38" s="1"/>
      <x:c r="S38" s="1"/>
      <x:c r="T38" s="1"/>
      <x:c r="U38" s="1"/>
    </x:row>
    <x:row r="39">
      <x:c r="A39" s="13"/>
      <x:c r="B39" s="31" t="str">
        <x:f>IF(A39="","",COUNTIFS('Steam卖出对账'!$C$5:$C$1204,A39,'Steam卖出对账'!$H$5:$H$1204,"&gt;0"))</x:f>
      </x:c>
      <x:c r="C39" s="31" t="str">
        <x:f>IF(A39="","",COUNTIFS('Steam卖出对账'!$C$5:$C$1204,A39,'Steam卖出对账'!$I$5:$I$1204,"&gt;0"))</x:f>
      </x:c>
      <x:c r="D39" s="31" t="str">
        <x:f>IF($A39="","",SUMIFS('补仓对账'!$Q$5:$Q$1204,'补仓对账'!$B$5:$B$1204,$A39,'补仓对账'!$F$5:$F$1204,"C39成功"))</x:f>
      </x:c>
      <x:c r="E39" s="31" t="str">
        <x:f>IF($A39="","",SUMIFS('补仓对账'!$Q$5:$Q$1204,'补仓对账'!$B$5:$B$1204,$A39,'补仓对账'!$F$5:$F$1204,"手动完结"))</x:f>
      </x:c>
      <x:c r="F39" s="31" t="str">
        <x:f>IF($A39="","",SUMIFS('补仓对账'!$Q$5:$Q$1204,'补仓对账'!$B$5:$B$1204,$A39,'补仓对账'!$F$5:$F$1204,"C39发货确认中"))</x:f>
      </x:c>
      <x:c r="G39" s="31" t="str">
        <x:f>IF($A39="","",SUMIFS('补仓对账'!$Q$5:$Q$1204,'补仓对账'!$B$5:$B$1204,$A39,'补仓对账'!$F$5:$F$1204,"卖出待补仓"))</x:f>
      </x:c>
      <x:c r="H39" s="31" t="str">
        <x:f>IF($A39="","",SUMIFS('补仓对账'!$Q$5:$Q$1204,'补仓对账'!$B$5:$B$1204,$A39,'补仓对账'!$F$5:$F$1204,"提交结果待确认"))</x:f>
      </x:c>
      <x:c r="I39" s="31" t="str">
        <x:f>IF($A39="","",SUMIFS('补仓对账'!$Q$5:$Q$1204,'补仓对账'!$B$5:$B$1204,$A39,'补仓对账'!$F$5:$F$1204,"异常待处理"))</x:f>
      </x:c>
      <x:c r="J39" s="31" t="str">
        <x:f>IF(A39="","",SUM(D39:I39))</x:f>
      </x:c>
      <x:c r="K39" s="31" t="str">
        <x:f>IF(A39="","",C39-J39)</x:f>
      </x:c>
      <x:c r="L39" s="31" t="str">
        <x:f>IF(A39="","",D39+E39)</x:f>
      </x:c>
      <x:c r="M39" s="31" t="str">
        <x:f>IF(A39="","",F39+G39+H39+I39)</x:f>
      </x:c>
      <x:c r="N39" s="15" t="str">
        <x:f>IF(A39="","",IF(AND(B39=C39,K39=0),IF(M39=0,"最终库存已闭环","流向对平，仍有待办"),"检查"))</x:f>
      </x:c>
      <x:c r="O39" s="1"/>
      <x:c r="P39" s="1"/>
      <x:c r="Q39" s="1"/>
      <x:c r="R39" s="1"/>
      <x:c r="S39" s="1"/>
      <x:c r="T39" s="1"/>
      <x:c r="U39" s="1"/>
    </x:row>
    <x:row r="40">
      <x:c r="A40" s="13"/>
      <x:c r="B40" s="31" t="str">
        <x:f>IF(A40="","",COUNTIFS('Steam卖出对账'!$C$5:$C$1204,A40,'Steam卖出对账'!$H$5:$H$1204,"&gt;0"))</x:f>
      </x:c>
      <x:c r="C40" s="31" t="str">
        <x:f>IF(A40="","",COUNTIFS('Steam卖出对账'!$C$5:$C$1204,A40,'Steam卖出对账'!$I$5:$I$1204,"&gt;0"))</x:f>
      </x:c>
      <x:c r="D40" s="31" t="str">
        <x:f>IF($A40="","",SUMIFS('补仓对账'!$Q$5:$Q$1204,'补仓对账'!$B$5:$B$1204,$A40,'补仓对账'!$F$5:$F$1204,"C40成功"))</x:f>
      </x:c>
      <x:c r="E40" s="31" t="str">
        <x:f>IF($A40="","",SUMIFS('补仓对账'!$Q$5:$Q$1204,'补仓对账'!$B$5:$B$1204,$A40,'补仓对账'!$F$5:$F$1204,"手动完结"))</x:f>
      </x:c>
      <x:c r="F40" s="31" t="str">
        <x:f>IF($A40="","",SUMIFS('补仓对账'!$Q$5:$Q$1204,'补仓对账'!$B$5:$B$1204,$A40,'补仓对账'!$F$5:$F$1204,"C40发货确认中"))</x:f>
      </x:c>
      <x:c r="G40" s="31" t="str">
        <x:f>IF($A40="","",SUMIFS('补仓对账'!$Q$5:$Q$1204,'补仓对账'!$B$5:$B$1204,$A40,'补仓对账'!$F$5:$F$1204,"卖出待补仓"))</x:f>
      </x:c>
      <x:c r="H40" s="31" t="str">
        <x:f>IF($A40="","",SUMIFS('补仓对账'!$Q$5:$Q$1204,'补仓对账'!$B$5:$B$1204,$A40,'补仓对账'!$F$5:$F$1204,"提交结果待确认"))</x:f>
      </x:c>
      <x:c r="I40" s="31" t="str">
        <x:f>IF($A40="","",SUMIFS('补仓对账'!$Q$5:$Q$1204,'补仓对账'!$B$5:$B$1204,$A40,'补仓对账'!$F$5:$F$1204,"异常待处理"))</x:f>
      </x:c>
      <x:c r="J40" s="31" t="str">
        <x:f>IF(A40="","",SUM(D40:I40))</x:f>
      </x:c>
      <x:c r="K40" s="31" t="str">
        <x:f>IF(A40="","",C40-J40)</x:f>
      </x:c>
      <x:c r="L40" s="31" t="str">
        <x:f>IF(A40="","",D40+E40)</x:f>
      </x:c>
      <x:c r="M40" s="31" t="str">
        <x:f>IF(A40="","",F40+G40+H40+I40)</x:f>
      </x:c>
      <x:c r="N40" s="15" t="str">
        <x:f>IF(A40="","",IF(AND(B40=C40,K40=0),IF(M40=0,"最终库存已闭环","流向对平，仍有待办"),"检查"))</x:f>
      </x:c>
      <x:c r="O40" s="1"/>
      <x:c r="P40" s="1"/>
      <x:c r="Q40" s="1"/>
      <x:c r="R40" s="1"/>
      <x:c r="S40" s="1"/>
      <x:c r="T40" s="1"/>
      <x:c r="U40" s="1"/>
    </x:row>
    <x:row r="41">
      <x:c r="A41" s="73"/>
      <x:c r="B41" s="72" t="str">
        <x:f>IF(A41="","",COUNTIFS('Steam卖出对账'!$C$5:$C$1204,A41,'Steam卖出对账'!$H$5:$H$1204,"&gt;0"))</x:f>
      </x:c>
      <x:c r="C41" s="72" t="str">
        <x:f>IF(A41="","",COUNTIFS('Steam卖出对账'!$C$5:$C$1204,A41,'Steam卖出对账'!$I$5:$I$1204,"&gt;0"))</x:f>
      </x:c>
      <x:c r="D41" s="72" t="str">
        <x:f>IF($A41="","",SUMIFS('补仓对账'!$Q$5:$Q$1204,'补仓对账'!$B$5:$B$1204,$A41,'补仓对账'!$F$5:$F$1204,"C41成功"))</x:f>
      </x:c>
      <x:c r="E41" s="72" t="str">
        <x:f>IF($A41="","",SUMIFS('补仓对账'!$Q$5:$Q$1204,'补仓对账'!$B$5:$B$1204,$A41,'补仓对账'!$F$5:$F$1204,"手动完结"))</x:f>
      </x:c>
      <x:c r="F41" s="72" t="str">
        <x:f>IF($A41="","",SUMIFS('补仓对账'!$Q$5:$Q$1204,'补仓对账'!$B$5:$B$1204,$A41,'补仓对账'!$F$5:$F$1204,"C41发货确认中"))</x:f>
      </x:c>
      <x:c r="G41" s="72" t="str">
        <x:f>IF($A41="","",SUMIFS('补仓对账'!$Q$5:$Q$1204,'补仓对账'!$B$5:$B$1204,$A41,'补仓对账'!$F$5:$F$1204,"卖出待补仓"))</x:f>
      </x:c>
      <x:c r="H41" s="72" t="str">
        <x:f>IF($A41="","",SUMIFS('补仓对账'!$Q$5:$Q$1204,'补仓对账'!$B$5:$B$1204,$A41,'补仓对账'!$F$5:$F$1204,"提交结果待确认"))</x:f>
      </x:c>
      <x:c r="I41" s="72" t="str">
        <x:f>IF($A41="","",SUMIFS('补仓对账'!$Q$5:$Q$1204,'补仓对账'!$B$5:$B$1204,$A41,'补仓对账'!$F$5:$F$1204,"异常待处理"))</x:f>
      </x:c>
      <x:c r="J41" s="72" t="str">
        <x:f>IF(A41="","",SUM(D41:I41))</x:f>
      </x:c>
      <x:c r="K41" s="72" t="str">
        <x:f>IF(A41="","",C41-J41)</x:f>
      </x:c>
      <x:c r="L41" s="72" t="str">
        <x:f>IF(A41="","",D41+E41)</x:f>
      </x:c>
      <x:c r="M41" s="72" t="str">
        <x:f>IF(A41="","",F41+G41+H41+I41)</x:f>
      </x:c>
      <x:c r="N41" s="64" t="str">
        <x:f>IF(A41="","",IF(AND(B41=C41,K41=0),IF(M41=0,"最终库存已闭环","流向对平，仍有待办"),"检查"))</x:f>
      </x:c>
    </x:row>
    <x:row r="42">
      <x:c r="A42" s="73"/>
      <x:c r="B42" s="72" t="str">
        <x:f>IF(A42="","",COUNTIFS('Steam卖出对账'!$C$5:$C$1204,A42,'Steam卖出对账'!$H$5:$H$1204,"&gt;0"))</x:f>
      </x:c>
      <x:c r="C42" s="72" t="str">
        <x:f>IF(A42="","",COUNTIFS('Steam卖出对账'!$C$5:$C$1204,A42,'Steam卖出对账'!$I$5:$I$1204,"&gt;0"))</x:f>
      </x:c>
      <x:c r="D42" s="72" t="str">
        <x:f>IF($A42="","",SUMIFS('补仓对账'!$Q$5:$Q$1204,'补仓对账'!$B$5:$B$1204,$A42,'补仓对账'!$F$5:$F$1204,"C42成功"))</x:f>
      </x:c>
      <x:c r="E42" s="72" t="str">
        <x:f>IF($A42="","",SUMIFS('补仓对账'!$Q$5:$Q$1204,'补仓对账'!$B$5:$B$1204,$A42,'补仓对账'!$F$5:$F$1204,"手动完结"))</x:f>
      </x:c>
      <x:c r="F42" s="72" t="str">
        <x:f>IF($A42="","",SUMIFS('补仓对账'!$Q$5:$Q$1204,'补仓对账'!$B$5:$B$1204,$A42,'补仓对账'!$F$5:$F$1204,"C42发货确认中"))</x:f>
      </x:c>
      <x:c r="G42" s="72" t="str">
        <x:f>IF($A42="","",SUMIFS('补仓对账'!$Q$5:$Q$1204,'补仓对账'!$B$5:$B$1204,$A42,'补仓对账'!$F$5:$F$1204,"卖出待补仓"))</x:f>
      </x:c>
      <x:c r="H42" s="72" t="str">
        <x:f>IF($A42="","",SUMIFS('补仓对账'!$Q$5:$Q$1204,'补仓对账'!$B$5:$B$1204,$A42,'补仓对账'!$F$5:$F$1204,"提交结果待确认"))</x:f>
      </x:c>
      <x:c r="I42" s="72" t="str">
        <x:f>IF($A42="","",SUMIFS('补仓对账'!$Q$5:$Q$1204,'补仓对账'!$B$5:$B$1204,$A42,'补仓对账'!$F$5:$F$1204,"异常待处理"))</x:f>
      </x:c>
      <x:c r="J42" s="72" t="str">
        <x:f>IF(A42="","",SUM(D42:I42))</x:f>
      </x:c>
      <x:c r="K42" s="72" t="str">
        <x:f>IF(A42="","",C42-J42)</x:f>
      </x:c>
      <x:c r="L42" s="72" t="str">
        <x:f>IF(A42="","",D42+E42)</x:f>
      </x:c>
      <x:c r="M42" s="72" t="str">
        <x:f>IF(A42="","",F42+G42+H42+I42)</x:f>
      </x:c>
      <x:c r="N42" s="64" t="str">
        <x:f>IF(A42="","",IF(AND(B42=C42,K42=0),IF(M42=0,"最终库存已闭环","流向对平，仍有待办"),"检查"))</x:f>
      </x:c>
    </x:row>
    <x:row r="43">
      <x:c r="A43" s="73"/>
      <x:c r="B43" s="72" t="str">
        <x:f>IF(A43="","",COUNTIFS('Steam卖出对账'!$C$5:$C$1204,A43,'Steam卖出对账'!$H$5:$H$1204,"&gt;0"))</x:f>
      </x:c>
      <x:c r="C43" s="72" t="str">
        <x:f>IF(A43="","",COUNTIFS('Steam卖出对账'!$C$5:$C$1204,A43,'Steam卖出对账'!$I$5:$I$1204,"&gt;0"))</x:f>
      </x:c>
      <x:c r="D43" s="72" t="str">
        <x:f>IF($A43="","",SUMIFS('补仓对账'!$Q$5:$Q$1204,'补仓对账'!$B$5:$B$1204,$A43,'补仓对账'!$F$5:$F$1204,"C43成功"))</x:f>
      </x:c>
      <x:c r="E43" s="72" t="str">
        <x:f>IF($A43="","",SUMIFS('补仓对账'!$Q$5:$Q$1204,'补仓对账'!$B$5:$B$1204,$A43,'补仓对账'!$F$5:$F$1204,"手动完结"))</x:f>
      </x:c>
      <x:c r="F43" s="72" t="str">
        <x:f>IF($A43="","",SUMIFS('补仓对账'!$Q$5:$Q$1204,'补仓对账'!$B$5:$B$1204,$A43,'补仓对账'!$F$5:$F$1204,"C43发货确认中"))</x:f>
      </x:c>
      <x:c r="G43" s="72" t="str">
        <x:f>IF($A43="","",SUMIFS('补仓对账'!$Q$5:$Q$1204,'补仓对账'!$B$5:$B$1204,$A43,'补仓对账'!$F$5:$F$1204,"卖出待补仓"))</x:f>
      </x:c>
      <x:c r="H43" s="72" t="str">
        <x:f>IF($A43="","",SUMIFS('补仓对账'!$Q$5:$Q$1204,'补仓对账'!$B$5:$B$1204,$A43,'补仓对账'!$F$5:$F$1204,"提交结果待确认"))</x:f>
      </x:c>
      <x:c r="I43" s="72" t="str">
        <x:f>IF($A43="","",SUMIFS('补仓对账'!$Q$5:$Q$1204,'补仓对账'!$B$5:$B$1204,$A43,'补仓对账'!$F$5:$F$1204,"异常待处理"))</x:f>
      </x:c>
      <x:c r="J43" s="72" t="str">
        <x:f>IF(A43="","",SUM(D43:I43))</x:f>
      </x:c>
      <x:c r="K43" s="72" t="str">
        <x:f>IF(A43="","",C43-J43)</x:f>
      </x:c>
      <x:c r="L43" s="72" t="str">
        <x:f>IF(A43="","",D43+E43)</x:f>
      </x:c>
      <x:c r="M43" s="72" t="str">
        <x:f>IF(A43="","",F43+G43+H43+I43)</x:f>
      </x:c>
      <x:c r="N43" s="64" t="str">
        <x:f>IF(A43="","",IF(AND(B43=C43,K43=0),IF(M43=0,"最终库存已闭环","流向对平，仍有待办"),"检查"))</x:f>
      </x:c>
    </x:row>
    <x:row r="44">
      <x:c r="A44" s="73"/>
      <x:c r="B44" s="72" t="str">
        <x:f>IF(A44="","",COUNTIFS('Steam卖出对账'!$C$5:$C$1204,A44,'Steam卖出对账'!$H$5:$H$1204,"&gt;0"))</x:f>
      </x:c>
      <x:c r="C44" s="72" t="str">
        <x:f>IF(A44="","",COUNTIFS('Steam卖出对账'!$C$5:$C$1204,A44,'Steam卖出对账'!$I$5:$I$1204,"&gt;0"))</x:f>
      </x:c>
      <x:c r="D44" s="72" t="str">
        <x:f>IF($A44="","",SUMIFS('补仓对账'!$Q$5:$Q$1204,'补仓对账'!$B$5:$B$1204,$A44,'补仓对账'!$F$5:$F$1204,"C44成功"))</x:f>
      </x:c>
      <x:c r="E44" s="72" t="str">
        <x:f>IF($A44="","",SUMIFS('补仓对账'!$Q$5:$Q$1204,'补仓对账'!$B$5:$B$1204,$A44,'补仓对账'!$F$5:$F$1204,"手动完结"))</x:f>
      </x:c>
      <x:c r="F44" s="72" t="str">
        <x:f>IF($A44="","",SUMIFS('补仓对账'!$Q$5:$Q$1204,'补仓对账'!$B$5:$B$1204,$A44,'补仓对账'!$F$5:$F$1204,"C44发货确认中"))</x:f>
      </x:c>
      <x:c r="G44" s="72" t="str">
        <x:f>IF($A44="","",SUMIFS('补仓对账'!$Q$5:$Q$1204,'补仓对账'!$B$5:$B$1204,$A44,'补仓对账'!$F$5:$F$1204,"卖出待补仓"))</x:f>
      </x:c>
      <x:c r="H44" s="72" t="str">
        <x:f>IF($A44="","",SUMIFS('补仓对账'!$Q$5:$Q$1204,'补仓对账'!$B$5:$B$1204,$A44,'补仓对账'!$F$5:$F$1204,"提交结果待确认"))</x:f>
      </x:c>
      <x:c r="I44" s="72" t="str">
        <x:f>IF($A44="","",SUMIFS('补仓对账'!$Q$5:$Q$1204,'补仓对账'!$B$5:$B$1204,$A44,'补仓对账'!$F$5:$F$1204,"异常待处理"))</x:f>
      </x:c>
      <x:c r="J44" s="72" t="str">
        <x:f>IF(A44="","",SUM(D44:I44))</x:f>
      </x:c>
      <x:c r="K44" s="72" t="str">
        <x:f>IF(A44="","",C44-J44)</x:f>
      </x:c>
      <x:c r="L44" s="72" t="str">
        <x:f>IF(A44="","",D44+E44)</x:f>
      </x:c>
      <x:c r="M44" s="72" t="str">
        <x:f>IF(A44="","",F44+G44+H44+I44)</x:f>
      </x:c>
      <x:c r="N44" s="64" t="str">
        <x:f>IF(A44="","",IF(AND(B44=C44,K44=0),IF(M44=0,"最终库存已闭环","流向对平，仍有待办"),"检查"))</x:f>
      </x:c>
    </x:row>
    <x:row r="45">
      <x:c r="A45" s="73"/>
      <x:c r="B45" s="72" t="str">
        <x:f>IF(A45="","",COUNTIFS('Steam卖出对账'!$C$5:$C$1204,A45,'Steam卖出对账'!$H$5:$H$1204,"&gt;0"))</x:f>
      </x:c>
      <x:c r="C45" s="72" t="str">
        <x:f>IF(A45="","",COUNTIFS('Steam卖出对账'!$C$5:$C$1204,A45,'Steam卖出对账'!$I$5:$I$1204,"&gt;0"))</x:f>
      </x:c>
      <x:c r="D45" s="72" t="str">
        <x:f>IF($A45="","",SUMIFS('补仓对账'!$Q$5:$Q$1204,'补仓对账'!$B$5:$B$1204,$A45,'补仓对账'!$F$5:$F$1204,"C45成功"))</x:f>
      </x:c>
      <x:c r="E45" s="72" t="str">
        <x:f>IF($A45="","",SUMIFS('补仓对账'!$Q$5:$Q$1204,'补仓对账'!$B$5:$B$1204,$A45,'补仓对账'!$F$5:$F$1204,"手动完结"))</x:f>
      </x:c>
      <x:c r="F45" s="72" t="str">
        <x:f>IF($A45="","",SUMIFS('补仓对账'!$Q$5:$Q$1204,'补仓对账'!$B$5:$B$1204,$A45,'补仓对账'!$F$5:$F$1204,"C45发货确认中"))</x:f>
      </x:c>
      <x:c r="G45" s="72" t="str">
        <x:f>IF($A45="","",SUMIFS('补仓对账'!$Q$5:$Q$1204,'补仓对账'!$B$5:$B$1204,$A45,'补仓对账'!$F$5:$F$1204,"卖出待补仓"))</x:f>
      </x:c>
      <x:c r="H45" s="72" t="str">
        <x:f>IF($A45="","",SUMIFS('补仓对账'!$Q$5:$Q$1204,'补仓对账'!$B$5:$B$1204,$A45,'补仓对账'!$F$5:$F$1204,"提交结果待确认"))</x:f>
      </x:c>
      <x:c r="I45" s="72" t="str">
        <x:f>IF($A45="","",SUMIFS('补仓对账'!$Q$5:$Q$1204,'补仓对账'!$B$5:$B$1204,$A45,'补仓对账'!$F$5:$F$1204,"异常待处理"))</x:f>
      </x:c>
      <x:c r="J45" s="72" t="str">
        <x:f>IF(A45="","",SUM(D45:I45))</x:f>
      </x:c>
      <x:c r="K45" s="72" t="str">
        <x:f>IF(A45="","",C45-J45)</x:f>
      </x:c>
      <x:c r="L45" s="72" t="str">
        <x:f>IF(A45="","",D45+E45)</x:f>
      </x:c>
      <x:c r="M45" s="72" t="str">
        <x:f>IF(A45="","",F45+G45+H45+I45)</x:f>
      </x:c>
      <x:c r="N45" s="64" t="str">
        <x:f>IF(A45="","",IF(AND(B45=C45,K45=0),IF(M45=0,"最终库存已闭环","流向对平，仍有待办"),"检查"))</x:f>
      </x:c>
    </x:row>
    <x:row r="46">
      <x:c r="A46" s="73"/>
      <x:c r="B46" s="72" t="str">
        <x:f>IF(A46="","",COUNTIFS('Steam卖出对账'!$C$5:$C$1204,A46,'Steam卖出对账'!$H$5:$H$1204,"&gt;0"))</x:f>
      </x:c>
      <x:c r="C46" s="72" t="str">
        <x:f>IF(A46="","",COUNTIFS('Steam卖出对账'!$C$5:$C$1204,A46,'Steam卖出对账'!$I$5:$I$1204,"&gt;0"))</x:f>
      </x:c>
      <x:c r="D46" s="72" t="str">
        <x:f>IF($A46="","",SUMIFS('补仓对账'!$Q$5:$Q$1204,'补仓对账'!$B$5:$B$1204,$A46,'补仓对账'!$F$5:$F$1204,"C46成功"))</x:f>
      </x:c>
      <x:c r="E46" s="72" t="str">
        <x:f>IF($A46="","",SUMIFS('补仓对账'!$Q$5:$Q$1204,'补仓对账'!$B$5:$B$1204,$A46,'补仓对账'!$F$5:$F$1204,"手动完结"))</x:f>
      </x:c>
      <x:c r="F46" s="72" t="str">
        <x:f>IF($A46="","",SUMIFS('补仓对账'!$Q$5:$Q$1204,'补仓对账'!$B$5:$B$1204,$A46,'补仓对账'!$F$5:$F$1204,"C46发货确认中"))</x:f>
      </x:c>
      <x:c r="G46" s="72" t="str">
        <x:f>IF($A46="","",SUMIFS('补仓对账'!$Q$5:$Q$1204,'补仓对账'!$B$5:$B$1204,$A46,'补仓对账'!$F$5:$F$1204,"卖出待补仓"))</x:f>
      </x:c>
      <x:c r="H46" s="72" t="str">
        <x:f>IF($A46="","",SUMIFS('补仓对账'!$Q$5:$Q$1204,'补仓对账'!$B$5:$B$1204,$A46,'补仓对账'!$F$5:$F$1204,"提交结果待确认"))</x:f>
      </x:c>
      <x:c r="I46" s="72" t="str">
        <x:f>IF($A46="","",SUMIFS('补仓对账'!$Q$5:$Q$1204,'补仓对账'!$B$5:$B$1204,$A46,'补仓对账'!$F$5:$F$1204,"异常待处理"))</x:f>
      </x:c>
      <x:c r="J46" s="72" t="str">
        <x:f>IF(A46="","",SUM(D46:I46))</x:f>
      </x:c>
      <x:c r="K46" s="72" t="str">
        <x:f>IF(A46="","",C46-J46)</x:f>
      </x:c>
      <x:c r="L46" s="72" t="str">
        <x:f>IF(A46="","",D46+E46)</x:f>
      </x:c>
      <x:c r="M46" s="72" t="str">
        <x:f>IF(A46="","",F46+G46+H46+I46)</x:f>
      </x:c>
      <x:c r="N46" s="64" t="str">
        <x:f>IF(A46="","",IF(AND(B46=C46,K46=0),IF(M46=0,"最终库存已闭环","流向对平，仍有待办"),"检查"))</x:f>
      </x:c>
    </x:row>
    <x:row r="47">
      <x:c r="A47" s="73"/>
      <x:c r="B47" s="72" t="str">
        <x:f>IF(A47="","",COUNTIFS('Steam卖出对账'!$C$5:$C$1204,A47,'Steam卖出对账'!$H$5:$H$1204,"&gt;0"))</x:f>
      </x:c>
      <x:c r="C47" s="72" t="str">
        <x:f>IF(A47="","",COUNTIFS('Steam卖出对账'!$C$5:$C$1204,A47,'Steam卖出对账'!$I$5:$I$1204,"&gt;0"))</x:f>
      </x:c>
      <x:c r="D47" s="72" t="str">
        <x:f>IF($A47="","",SUMIFS('补仓对账'!$Q$5:$Q$1204,'补仓对账'!$B$5:$B$1204,$A47,'补仓对账'!$F$5:$F$1204,"C47成功"))</x:f>
      </x:c>
      <x:c r="E47" s="72" t="str">
        <x:f>IF($A47="","",SUMIFS('补仓对账'!$Q$5:$Q$1204,'补仓对账'!$B$5:$B$1204,$A47,'补仓对账'!$F$5:$F$1204,"手动完结"))</x:f>
      </x:c>
      <x:c r="F47" s="72" t="str">
        <x:f>IF($A47="","",SUMIFS('补仓对账'!$Q$5:$Q$1204,'补仓对账'!$B$5:$B$1204,$A47,'补仓对账'!$F$5:$F$1204,"C47发货确认中"))</x:f>
      </x:c>
      <x:c r="G47" s="72" t="str">
        <x:f>IF($A47="","",SUMIFS('补仓对账'!$Q$5:$Q$1204,'补仓对账'!$B$5:$B$1204,$A47,'补仓对账'!$F$5:$F$1204,"卖出待补仓"))</x:f>
      </x:c>
      <x:c r="H47" s="72" t="str">
        <x:f>IF($A47="","",SUMIFS('补仓对账'!$Q$5:$Q$1204,'补仓对账'!$B$5:$B$1204,$A47,'补仓对账'!$F$5:$F$1204,"提交结果待确认"))</x:f>
      </x:c>
      <x:c r="I47" s="72" t="str">
        <x:f>IF($A47="","",SUMIFS('补仓对账'!$Q$5:$Q$1204,'补仓对账'!$B$5:$B$1204,$A47,'补仓对账'!$F$5:$F$1204,"异常待处理"))</x:f>
      </x:c>
      <x:c r="J47" s="72" t="str">
        <x:f>IF(A47="","",SUM(D47:I47))</x:f>
      </x:c>
      <x:c r="K47" s="72" t="str">
        <x:f>IF(A47="","",C47-J47)</x:f>
      </x:c>
      <x:c r="L47" s="72" t="str">
        <x:f>IF(A47="","",D47+E47)</x:f>
      </x:c>
      <x:c r="M47" s="72" t="str">
        <x:f>IF(A47="","",F47+G47+H47+I47)</x:f>
      </x:c>
      <x:c r="N47" s="64" t="str">
        <x:f>IF(A47="","",IF(AND(B47=C47,K47=0),IF(M47=0,"最终库存已闭环","流向对平，仍有待办"),"检查"))</x:f>
      </x:c>
    </x:row>
    <x:row r="48">
      <x:c r="A48" s="73"/>
      <x:c r="B48" s="72" t="str">
        <x:f>IF(A48="","",COUNTIFS('Steam卖出对账'!$C$5:$C$1204,A48,'Steam卖出对账'!$H$5:$H$1204,"&gt;0"))</x:f>
      </x:c>
      <x:c r="C48" s="72" t="str">
        <x:f>IF(A48="","",COUNTIFS('Steam卖出对账'!$C$5:$C$1204,A48,'Steam卖出对账'!$I$5:$I$1204,"&gt;0"))</x:f>
      </x:c>
      <x:c r="D48" s="72" t="str">
        <x:f>IF($A48="","",SUMIFS('补仓对账'!$Q$5:$Q$1204,'补仓对账'!$B$5:$B$1204,$A48,'补仓对账'!$F$5:$F$1204,"C48成功"))</x:f>
      </x:c>
      <x:c r="E48" s="72" t="str">
        <x:f>IF($A48="","",SUMIFS('补仓对账'!$Q$5:$Q$1204,'补仓对账'!$B$5:$B$1204,$A48,'补仓对账'!$F$5:$F$1204,"手动完结"))</x:f>
      </x:c>
      <x:c r="F48" s="72" t="str">
        <x:f>IF($A48="","",SUMIFS('补仓对账'!$Q$5:$Q$1204,'补仓对账'!$B$5:$B$1204,$A48,'补仓对账'!$F$5:$F$1204,"C48发货确认中"))</x:f>
      </x:c>
      <x:c r="G48" s="72" t="str">
        <x:f>IF($A48="","",SUMIFS('补仓对账'!$Q$5:$Q$1204,'补仓对账'!$B$5:$B$1204,$A48,'补仓对账'!$F$5:$F$1204,"卖出待补仓"))</x:f>
      </x:c>
      <x:c r="H48" s="72" t="str">
        <x:f>IF($A48="","",SUMIFS('补仓对账'!$Q$5:$Q$1204,'补仓对账'!$B$5:$B$1204,$A48,'补仓对账'!$F$5:$F$1204,"提交结果待确认"))</x:f>
      </x:c>
      <x:c r="I48" s="72" t="str">
        <x:f>IF($A48="","",SUMIFS('补仓对账'!$Q$5:$Q$1204,'补仓对账'!$B$5:$B$1204,$A48,'补仓对账'!$F$5:$F$1204,"异常待处理"))</x:f>
      </x:c>
      <x:c r="J48" s="72" t="str">
        <x:f>IF(A48="","",SUM(D48:I48))</x:f>
      </x:c>
      <x:c r="K48" s="72" t="str">
        <x:f>IF(A48="","",C48-J48)</x:f>
      </x:c>
      <x:c r="L48" s="72" t="str">
        <x:f>IF(A48="","",D48+E48)</x:f>
      </x:c>
      <x:c r="M48" s="72" t="str">
        <x:f>IF(A48="","",F48+G48+H48+I48)</x:f>
      </x:c>
      <x:c r="N48" s="64" t="str">
        <x:f>IF(A48="","",IF(AND(B48=C48,K48=0),IF(M48=0,"最终库存已闭环","流向对平，仍有待办"),"检查"))</x:f>
      </x:c>
    </x:row>
    <x:row r="49">
      <x:c r="A49" s="73"/>
      <x:c r="B49" s="72" t="str">
        <x:f>IF(A49="","",COUNTIFS('Steam卖出对账'!$C$5:$C$1204,A49,'Steam卖出对账'!$H$5:$H$1204,"&gt;0"))</x:f>
      </x:c>
      <x:c r="C49" s="72" t="str">
        <x:f>IF(A49="","",COUNTIFS('Steam卖出对账'!$C$5:$C$1204,A49,'Steam卖出对账'!$I$5:$I$1204,"&gt;0"))</x:f>
      </x:c>
      <x:c r="D49" s="72" t="str">
        <x:f>IF($A49="","",SUMIFS('补仓对账'!$Q$5:$Q$1204,'补仓对账'!$B$5:$B$1204,$A49,'补仓对账'!$F$5:$F$1204,"C49成功"))</x:f>
      </x:c>
      <x:c r="E49" s="72" t="str">
        <x:f>IF($A49="","",SUMIFS('补仓对账'!$Q$5:$Q$1204,'补仓对账'!$B$5:$B$1204,$A49,'补仓对账'!$F$5:$F$1204,"手动完结"))</x:f>
      </x:c>
      <x:c r="F49" s="72" t="str">
        <x:f>IF($A49="","",SUMIFS('补仓对账'!$Q$5:$Q$1204,'补仓对账'!$B$5:$B$1204,$A49,'补仓对账'!$F$5:$F$1204,"C49发货确认中"))</x:f>
      </x:c>
      <x:c r="G49" s="72" t="str">
        <x:f>IF($A49="","",SUMIFS('补仓对账'!$Q$5:$Q$1204,'补仓对账'!$B$5:$B$1204,$A49,'补仓对账'!$F$5:$F$1204,"卖出待补仓"))</x:f>
      </x:c>
      <x:c r="H49" s="72" t="str">
        <x:f>IF($A49="","",SUMIFS('补仓对账'!$Q$5:$Q$1204,'补仓对账'!$B$5:$B$1204,$A49,'补仓对账'!$F$5:$F$1204,"提交结果待确认"))</x:f>
      </x:c>
      <x:c r="I49" s="72" t="str">
        <x:f>IF($A49="","",SUMIFS('补仓对账'!$Q$5:$Q$1204,'补仓对账'!$B$5:$B$1204,$A49,'补仓对账'!$F$5:$F$1204,"异常待处理"))</x:f>
      </x:c>
      <x:c r="J49" s="72" t="str">
        <x:f>IF(A49="","",SUM(D49:I49))</x:f>
      </x:c>
      <x:c r="K49" s="72" t="str">
        <x:f>IF(A49="","",C49-J49)</x:f>
      </x:c>
      <x:c r="L49" s="72" t="str">
        <x:f>IF(A49="","",D49+E49)</x:f>
      </x:c>
      <x:c r="M49" s="72" t="str">
        <x:f>IF(A49="","",F49+G49+H49+I49)</x:f>
      </x:c>
      <x:c r="N49" s="64" t="str">
        <x:f>IF(A49="","",IF(AND(B49=C49,K49=0),IF(M49=0,"最终库存已闭环","流向对平，仍有待办"),"检查"))</x:f>
      </x:c>
    </x:row>
    <x:row r="50">
      <x:c r="A50" s="73"/>
      <x:c r="B50" s="72" t="str">
        <x:f>IF(A50="","",COUNTIFS('Steam卖出对账'!$C$5:$C$1204,A50,'Steam卖出对账'!$H$5:$H$1204,"&gt;0"))</x:f>
      </x:c>
      <x:c r="C50" s="72" t="str">
        <x:f>IF(A50="","",COUNTIFS('Steam卖出对账'!$C$5:$C$1204,A50,'Steam卖出对账'!$I$5:$I$1204,"&gt;0"))</x:f>
      </x:c>
      <x:c r="D50" s="72" t="str">
        <x:f>IF($A50="","",SUMIFS('补仓对账'!$Q$5:$Q$1204,'补仓对账'!$B$5:$B$1204,$A50,'补仓对账'!$F$5:$F$1204,"C50成功"))</x:f>
      </x:c>
      <x:c r="E50" s="72" t="str">
        <x:f>IF($A50="","",SUMIFS('补仓对账'!$Q$5:$Q$1204,'补仓对账'!$B$5:$B$1204,$A50,'补仓对账'!$F$5:$F$1204,"手动完结"))</x:f>
      </x:c>
      <x:c r="F50" s="72" t="str">
        <x:f>IF($A50="","",SUMIFS('补仓对账'!$Q$5:$Q$1204,'补仓对账'!$B$5:$B$1204,$A50,'补仓对账'!$F$5:$F$1204,"C50发货确认中"))</x:f>
      </x:c>
      <x:c r="G50" s="72" t="str">
        <x:f>IF($A50="","",SUMIFS('补仓对账'!$Q$5:$Q$1204,'补仓对账'!$B$5:$B$1204,$A50,'补仓对账'!$F$5:$F$1204,"卖出待补仓"))</x:f>
      </x:c>
      <x:c r="H50" s="72" t="str">
        <x:f>IF($A50="","",SUMIFS('补仓对账'!$Q$5:$Q$1204,'补仓对账'!$B$5:$B$1204,$A50,'补仓对账'!$F$5:$F$1204,"提交结果待确认"))</x:f>
      </x:c>
      <x:c r="I50" s="72" t="str">
        <x:f>IF($A50="","",SUMIFS('补仓对账'!$Q$5:$Q$1204,'补仓对账'!$B$5:$B$1204,$A50,'补仓对账'!$F$5:$F$1204,"异常待处理"))</x:f>
      </x:c>
      <x:c r="J50" s="72" t="str">
        <x:f>IF(A50="","",SUM(D50:I50))</x:f>
      </x:c>
      <x:c r="K50" s="72" t="str">
        <x:f>IF(A50="","",C50-J50)</x:f>
      </x:c>
      <x:c r="L50" s="72" t="str">
        <x:f>IF(A50="","",D50+E50)</x:f>
      </x:c>
      <x:c r="M50" s="72" t="str">
        <x:f>IF(A50="","",F50+G50+H50+I50)</x:f>
      </x:c>
      <x:c r="N50" s="64" t="str">
        <x:f>IF(A50="","",IF(AND(B50=C50,K50=0),IF(M50=0,"最终库存已闭环","流向对平，仍有待办"),"检查"))</x:f>
      </x:c>
    </x:row>
    <x:row r="51">
      <x:c r="A51" s="73"/>
      <x:c r="B51" s="72" t="str">
        <x:f>IF(A51="","",COUNTIFS('Steam卖出对账'!$C$5:$C$1204,A51,'Steam卖出对账'!$H$5:$H$1204,"&gt;0"))</x:f>
      </x:c>
      <x:c r="C51" s="72" t="str">
        <x:f>IF(A51="","",COUNTIFS('Steam卖出对账'!$C$5:$C$1204,A51,'Steam卖出对账'!$I$5:$I$1204,"&gt;0"))</x:f>
      </x:c>
      <x:c r="D51" s="72" t="str">
        <x:f>IF($A51="","",SUMIFS('补仓对账'!$Q$5:$Q$1204,'补仓对账'!$B$5:$B$1204,$A51,'补仓对账'!$F$5:$F$1204,"C51成功"))</x:f>
      </x:c>
      <x:c r="E51" s="72" t="str">
        <x:f>IF($A51="","",SUMIFS('补仓对账'!$Q$5:$Q$1204,'补仓对账'!$B$5:$B$1204,$A51,'补仓对账'!$F$5:$F$1204,"手动完结"))</x:f>
      </x:c>
      <x:c r="F51" s="72" t="str">
        <x:f>IF($A51="","",SUMIFS('补仓对账'!$Q$5:$Q$1204,'补仓对账'!$B$5:$B$1204,$A51,'补仓对账'!$F$5:$F$1204,"C51发货确认中"))</x:f>
      </x:c>
      <x:c r="G51" s="72" t="str">
        <x:f>IF($A51="","",SUMIFS('补仓对账'!$Q$5:$Q$1204,'补仓对账'!$B$5:$B$1204,$A51,'补仓对账'!$F$5:$F$1204,"卖出待补仓"))</x:f>
      </x:c>
      <x:c r="H51" s="72" t="str">
        <x:f>IF($A51="","",SUMIFS('补仓对账'!$Q$5:$Q$1204,'补仓对账'!$B$5:$B$1204,$A51,'补仓对账'!$F$5:$F$1204,"提交结果待确认"))</x:f>
      </x:c>
      <x:c r="I51" s="72" t="str">
        <x:f>IF($A51="","",SUMIFS('补仓对账'!$Q$5:$Q$1204,'补仓对账'!$B$5:$B$1204,$A51,'补仓对账'!$F$5:$F$1204,"异常待处理"))</x:f>
      </x:c>
      <x:c r="J51" s="72" t="str">
        <x:f>IF(A51="","",SUM(D51:I51))</x:f>
      </x:c>
      <x:c r="K51" s="72" t="str">
        <x:f>IF(A51="","",C51-J51)</x:f>
      </x:c>
      <x:c r="L51" s="72" t="str">
        <x:f>IF(A51="","",D51+E51)</x:f>
      </x:c>
      <x:c r="M51" s="72" t="str">
        <x:f>IF(A51="","",F51+G51+H51+I51)</x:f>
      </x:c>
      <x:c r="N51" s="64" t="str">
        <x:f>IF(A51="","",IF(AND(B51=C51,K51=0),IF(M51=0,"最终库存已闭环","流向对平，仍有待办"),"检查"))</x:f>
      </x:c>
    </x:row>
    <x:row r="52">
      <x:c r="A52" s="73"/>
      <x:c r="B52" s="72" t="str">
        <x:f>IF(A52="","",COUNTIFS('Steam卖出对账'!$C$5:$C$1204,A52,'Steam卖出对账'!$H$5:$H$1204,"&gt;0"))</x:f>
      </x:c>
      <x:c r="C52" s="72" t="str">
        <x:f>IF(A52="","",COUNTIFS('Steam卖出对账'!$C$5:$C$1204,A52,'Steam卖出对账'!$I$5:$I$1204,"&gt;0"))</x:f>
      </x:c>
      <x:c r="D52" s="72" t="str">
        <x:f>IF($A52="","",SUMIFS('补仓对账'!$Q$5:$Q$1204,'补仓对账'!$B$5:$B$1204,$A52,'补仓对账'!$F$5:$F$1204,"C52成功"))</x:f>
      </x:c>
      <x:c r="E52" s="72" t="str">
        <x:f>IF($A52="","",SUMIFS('补仓对账'!$Q$5:$Q$1204,'补仓对账'!$B$5:$B$1204,$A52,'补仓对账'!$F$5:$F$1204,"手动完结"))</x:f>
      </x:c>
      <x:c r="F52" s="72" t="str">
        <x:f>IF($A52="","",SUMIFS('补仓对账'!$Q$5:$Q$1204,'补仓对账'!$B$5:$B$1204,$A52,'补仓对账'!$F$5:$F$1204,"C52发货确认中"))</x:f>
      </x:c>
      <x:c r="G52" s="72" t="str">
        <x:f>IF($A52="","",SUMIFS('补仓对账'!$Q$5:$Q$1204,'补仓对账'!$B$5:$B$1204,$A52,'补仓对账'!$F$5:$F$1204,"卖出待补仓"))</x:f>
      </x:c>
      <x:c r="H52" s="72" t="str">
        <x:f>IF($A52="","",SUMIFS('补仓对账'!$Q$5:$Q$1204,'补仓对账'!$B$5:$B$1204,$A52,'补仓对账'!$F$5:$F$1204,"提交结果待确认"))</x:f>
      </x:c>
      <x:c r="I52" s="72" t="str">
        <x:f>IF($A52="","",SUMIFS('补仓对账'!$Q$5:$Q$1204,'补仓对账'!$B$5:$B$1204,$A52,'补仓对账'!$F$5:$F$1204,"异常待处理"))</x:f>
      </x:c>
      <x:c r="J52" s="72" t="str">
        <x:f>IF(A52="","",SUM(D52:I52))</x:f>
      </x:c>
      <x:c r="K52" s="72" t="str">
        <x:f>IF(A52="","",C52-J52)</x:f>
      </x:c>
      <x:c r="L52" s="72" t="str">
        <x:f>IF(A52="","",D52+E52)</x:f>
      </x:c>
      <x:c r="M52" s="72" t="str">
        <x:f>IF(A52="","",F52+G52+H52+I52)</x:f>
      </x:c>
      <x:c r="N52" s="64" t="str">
        <x:f>IF(A52="","",IF(AND(B52=C52,K52=0),IF(M52=0,"最终库存已闭环","流向对平，仍有待办"),"检查"))</x:f>
      </x:c>
    </x:row>
    <x:row r="53">
      <x:c r="A53" s="73"/>
      <x:c r="B53" s="72" t="str">
        <x:f>IF(A53="","",COUNTIFS('Steam卖出对账'!$C$5:$C$1204,A53,'Steam卖出对账'!$H$5:$H$1204,"&gt;0"))</x:f>
      </x:c>
      <x:c r="C53" s="72" t="str">
        <x:f>IF(A53="","",COUNTIFS('Steam卖出对账'!$C$5:$C$1204,A53,'Steam卖出对账'!$I$5:$I$1204,"&gt;0"))</x:f>
      </x:c>
      <x:c r="D53" s="72" t="str">
        <x:f>IF($A53="","",SUMIFS('补仓对账'!$Q$5:$Q$1204,'补仓对账'!$B$5:$B$1204,$A53,'补仓对账'!$F$5:$F$1204,"C53成功"))</x:f>
      </x:c>
      <x:c r="E53" s="72" t="str">
        <x:f>IF($A53="","",SUMIFS('补仓对账'!$Q$5:$Q$1204,'补仓对账'!$B$5:$B$1204,$A53,'补仓对账'!$F$5:$F$1204,"手动完结"))</x:f>
      </x:c>
      <x:c r="F53" s="72" t="str">
        <x:f>IF($A53="","",SUMIFS('补仓对账'!$Q$5:$Q$1204,'补仓对账'!$B$5:$B$1204,$A53,'补仓对账'!$F$5:$F$1204,"C53发货确认中"))</x:f>
      </x:c>
      <x:c r="G53" s="72" t="str">
        <x:f>IF($A53="","",SUMIFS('补仓对账'!$Q$5:$Q$1204,'补仓对账'!$B$5:$B$1204,$A53,'补仓对账'!$F$5:$F$1204,"卖出待补仓"))</x:f>
      </x:c>
      <x:c r="H53" s="72" t="str">
        <x:f>IF($A53="","",SUMIFS('补仓对账'!$Q$5:$Q$1204,'补仓对账'!$B$5:$B$1204,$A53,'补仓对账'!$F$5:$F$1204,"提交结果待确认"))</x:f>
      </x:c>
      <x:c r="I53" s="72" t="str">
        <x:f>IF($A53="","",SUMIFS('补仓对账'!$Q$5:$Q$1204,'补仓对账'!$B$5:$B$1204,$A53,'补仓对账'!$F$5:$F$1204,"异常待处理"))</x:f>
      </x:c>
      <x:c r="J53" s="72" t="str">
        <x:f>IF(A53="","",SUM(D53:I53))</x:f>
      </x:c>
      <x:c r="K53" s="72" t="str">
        <x:f>IF(A53="","",C53-J53)</x:f>
      </x:c>
      <x:c r="L53" s="72" t="str">
        <x:f>IF(A53="","",D53+E53)</x:f>
      </x:c>
      <x:c r="M53" s="72" t="str">
        <x:f>IF(A53="","",F53+G53+H53+I53)</x:f>
      </x:c>
      <x:c r="N53" s="64" t="str">
        <x:f>IF(A53="","",IF(AND(B53=C53,K53=0),IF(M53=0,"最终库存已闭环","流向对平，仍有待办"),"检查"))</x:f>
      </x:c>
    </x:row>
    <x:row r="54">
      <x:c r="A54" s="73"/>
      <x:c r="B54" s="72" t="str">
        <x:f>IF(A54="","",COUNTIFS('Steam卖出对账'!$C$5:$C$1204,A54,'Steam卖出对账'!$H$5:$H$1204,"&gt;0"))</x:f>
      </x:c>
      <x:c r="C54" s="72" t="str">
        <x:f>IF(A54="","",COUNTIFS('Steam卖出对账'!$C$5:$C$1204,A54,'Steam卖出对账'!$I$5:$I$1204,"&gt;0"))</x:f>
      </x:c>
      <x:c r="D54" s="72" t="str">
        <x:f>IF($A54="","",SUMIFS('补仓对账'!$Q$5:$Q$1204,'补仓对账'!$B$5:$B$1204,$A54,'补仓对账'!$F$5:$F$1204,"C54成功"))</x:f>
      </x:c>
      <x:c r="E54" s="72" t="str">
        <x:f>IF($A54="","",SUMIFS('补仓对账'!$Q$5:$Q$1204,'补仓对账'!$B$5:$B$1204,$A54,'补仓对账'!$F$5:$F$1204,"手动完结"))</x:f>
      </x:c>
      <x:c r="F54" s="72" t="str">
        <x:f>IF($A54="","",SUMIFS('补仓对账'!$Q$5:$Q$1204,'补仓对账'!$B$5:$B$1204,$A54,'补仓对账'!$F$5:$F$1204,"C54发货确认中"))</x:f>
      </x:c>
      <x:c r="G54" s="72" t="str">
        <x:f>IF($A54="","",SUMIFS('补仓对账'!$Q$5:$Q$1204,'补仓对账'!$B$5:$B$1204,$A54,'补仓对账'!$F$5:$F$1204,"卖出待补仓"))</x:f>
      </x:c>
      <x:c r="H54" s="72" t="str">
        <x:f>IF($A54="","",SUMIFS('补仓对账'!$Q$5:$Q$1204,'补仓对账'!$B$5:$B$1204,$A54,'补仓对账'!$F$5:$F$1204,"提交结果待确认"))</x:f>
      </x:c>
      <x:c r="I54" s="72" t="str">
        <x:f>IF($A54="","",SUMIFS('补仓对账'!$Q$5:$Q$1204,'补仓对账'!$B$5:$B$1204,$A54,'补仓对账'!$F$5:$F$1204,"异常待处理"))</x:f>
      </x:c>
      <x:c r="J54" s="72" t="str">
        <x:f>IF(A54="","",SUM(D54:I54))</x:f>
      </x:c>
      <x:c r="K54" s="72" t="str">
        <x:f>IF(A54="","",C54-J54)</x:f>
      </x:c>
      <x:c r="L54" s="72" t="str">
        <x:f>IF(A54="","",D54+E54)</x:f>
      </x:c>
      <x:c r="M54" s="72" t="str">
        <x:f>IF(A54="","",F54+G54+H54+I54)</x:f>
      </x:c>
      <x:c r="N54" s="64" t="str">
        <x:f>IF(A54="","",IF(AND(B54=C54,K54=0),IF(M54=0,"最终库存已闭环","流向对平，仍有待办"),"检查"))</x:f>
      </x:c>
    </x:row>
    <x:row r="55">
      <x:c r="A55" s="73"/>
      <x:c r="B55" s="72" t="str">
        <x:f>IF(A55="","",COUNTIFS('Steam卖出对账'!$C$5:$C$1204,A55,'Steam卖出对账'!$H$5:$H$1204,"&gt;0"))</x:f>
      </x:c>
      <x:c r="C55" s="72" t="str">
        <x:f>IF(A55="","",COUNTIFS('Steam卖出对账'!$C$5:$C$1204,A55,'Steam卖出对账'!$I$5:$I$1204,"&gt;0"))</x:f>
      </x:c>
      <x:c r="D55" s="72" t="str">
        <x:f>IF($A55="","",SUMIFS('补仓对账'!$Q$5:$Q$1204,'补仓对账'!$B$5:$B$1204,$A55,'补仓对账'!$F$5:$F$1204,"C55成功"))</x:f>
      </x:c>
      <x:c r="E55" s="72" t="str">
        <x:f>IF($A55="","",SUMIFS('补仓对账'!$Q$5:$Q$1204,'补仓对账'!$B$5:$B$1204,$A55,'补仓对账'!$F$5:$F$1204,"手动完结"))</x:f>
      </x:c>
      <x:c r="F55" s="72" t="str">
        <x:f>IF($A55="","",SUMIFS('补仓对账'!$Q$5:$Q$1204,'补仓对账'!$B$5:$B$1204,$A55,'补仓对账'!$F$5:$F$1204,"C55发货确认中"))</x:f>
      </x:c>
      <x:c r="G55" s="72" t="str">
        <x:f>IF($A55="","",SUMIFS('补仓对账'!$Q$5:$Q$1204,'补仓对账'!$B$5:$B$1204,$A55,'补仓对账'!$F$5:$F$1204,"卖出待补仓"))</x:f>
      </x:c>
      <x:c r="H55" s="72" t="str">
        <x:f>IF($A55="","",SUMIFS('补仓对账'!$Q$5:$Q$1204,'补仓对账'!$B$5:$B$1204,$A55,'补仓对账'!$F$5:$F$1204,"提交结果待确认"))</x:f>
      </x:c>
      <x:c r="I55" s="72" t="str">
        <x:f>IF($A55="","",SUMIFS('补仓对账'!$Q$5:$Q$1204,'补仓对账'!$B$5:$B$1204,$A55,'补仓对账'!$F$5:$F$1204,"异常待处理"))</x:f>
      </x:c>
      <x:c r="J55" s="72" t="str">
        <x:f>IF(A55="","",SUM(D55:I55))</x:f>
      </x:c>
      <x:c r="K55" s="72" t="str">
        <x:f>IF(A55="","",C55-J55)</x:f>
      </x:c>
      <x:c r="L55" s="72" t="str">
        <x:f>IF(A55="","",D55+E55)</x:f>
      </x:c>
      <x:c r="M55" s="72" t="str">
        <x:f>IF(A55="","",F55+G55+H55+I55)</x:f>
      </x:c>
      <x:c r="N55" s="64" t="str">
        <x:f>IF(A55="","",IF(AND(B55=C55,K55=0),IF(M55=0,"最终库存已闭环","流向对平，仍有待办"),"检查"))</x:f>
      </x:c>
    </x:row>
    <x:row r="56">
      <x:c r="A56" s="73"/>
      <x:c r="B56" s="72" t="str">
        <x:f>IF(A56="","",COUNTIFS('Steam卖出对账'!$C$5:$C$1204,A56,'Steam卖出对账'!$H$5:$H$1204,"&gt;0"))</x:f>
      </x:c>
      <x:c r="C56" s="72" t="str">
        <x:f>IF(A56="","",COUNTIFS('Steam卖出对账'!$C$5:$C$1204,A56,'Steam卖出对账'!$I$5:$I$1204,"&gt;0"))</x:f>
      </x:c>
      <x:c r="D56" s="72" t="str">
        <x:f>IF($A56="","",SUMIFS('补仓对账'!$Q$5:$Q$1204,'补仓对账'!$B$5:$B$1204,$A56,'补仓对账'!$F$5:$F$1204,"C56成功"))</x:f>
      </x:c>
      <x:c r="E56" s="72" t="str">
        <x:f>IF($A56="","",SUMIFS('补仓对账'!$Q$5:$Q$1204,'补仓对账'!$B$5:$B$1204,$A56,'补仓对账'!$F$5:$F$1204,"手动完结"))</x:f>
      </x:c>
      <x:c r="F56" s="72" t="str">
        <x:f>IF($A56="","",SUMIFS('补仓对账'!$Q$5:$Q$1204,'补仓对账'!$B$5:$B$1204,$A56,'补仓对账'!$F$5:$F$1204,"C56发货确认中"))</x:f>
      </x:c>
      <x:c r="G56" s="72" t="str">
        <x:f>IF($A56="","",SUMIFS('补仓对账'!$Q$5:$Q$1204,'补仓对账'!$B$5:$B$1204,$A56,'补仓对账'!$F$5:$F$1204,"卖出待补仓"))</x:f>
      </x:c>
      <x:c r="H56" s="72" t="str">
        <x:f>IF($A56="","",SUMIFS('补仓对账'!$Q$5:$Q$1204,'补仓对账'!$B$5:$B$1204,$A56,'补仓对账'!$F$5:$F$1204,"提交结果待确认"))</x:f>
      </x:c>
      <x:c r="I56" s="72" t="str">
        <x:f>IF($A56="","",SUMIFS('补仓对账'!$Q$5:$Q$1204,'补仓对账'!$B$5:$B$1204,$A56,'补仓对账'!$F$5:$F$1204,"异常待处理"))</x:f>
      </x:c>
      <x:c r="J56" s="72" t="str">
        <x:f>IF(A56="","",SUM(D56:I56))</x:f>
      </x:c>
      <x:c r="K56" s="72" t="str">
        <x:f>IF(A56="","",C56-J56)</x:f>
      </x:c>
      <x:c r="L56" s="72" t="str">
        <x:f>IF(A56="","",D56+E56)</x:f>
      </x:c>
      <x:c r="M56" s="72" t="str">
        <x:f>IF(A56="","",F56+G56+H56+I56)</x:f>
      </x:c>
      <x:c r="N56" s="64" t="str">
        <x:f>IF(A56="","",IF(AND(B56=C56,K56=0),IF(M56=0,"最终库存已闭环","流向对平，仍有待办"),"检查"))</x:f>
      </x:c>
    </x:row>
    <x:row r="57">
      <x:c r="A57" s="73"/>
      <x:c r="B57" s="72" t="str">
        <x:f>IF(A57="","",COUNTIFS('Steam卖出对账'!$C$5:$C$1204,A57,'Steam卖出对账'!$H$5:$H$1204,"&gt;0"))</x:f>
      </x:c>
      <x:c r="C57" s="72" t="str">
        <x:f>IF(A57="","",COUNTIFS('Steam卖出对账'!$C$5:$C$1204,A57,'Steam卖出对账'!$I$5:$I$1204,"&gt;0"))</x:f>
      </x:c>
      <x:c r="D57" s="72" t="str">
        <x:f>IF($A57="","",SUMIFS('补仓对账'!$Q$5:$Q$1204,'补仓对账'!$B$5:$B$1204,$A57,'补仓对账'!$F$5:$F$1204,"C57成功"))</x:f>
      </x:c>
      <x:c r="E57" s="72" t="str">
        <x:f>IF($A57="","",SUMIFS('补仓对账'!$Q$5:$Q$1204,'补仓对账'!$B$5:$B$1204,$A57,'补仓对账'!$F$5:$F$1204,"手动完结"))</x:f>
      </x:c>
      <x:c r="F57" s="72" t="str">
        <x:f>IF($A57="","",SUMIFS('补仓对账'!$Q$5:$Q$1204,'补仓对账'!$B$5:$B$1204,$A57,'补仓对账'!$F$5:$F$1204,"C57发货确认中"))</x:f>
      </x:c>
      <x:c r="G57" s="72" t="str">
        <x:f>IF($A57="","",SUMIFS('补仓对账'!$Q$5:$Q$1204,'补仓对账'!$B$5:$B$1204,$A57,'补仓对账'!$F$5:$F$1204,"卖出待补仓"))</x:f>
      </x:c>
      <x:c r="H57" s="72" t="str">
        <x:f>IF($A57="","",SUMIFS('补仓对账'!$Q$5:$Q$1204,'补仓对账'!$B$5:$B$1204,$A57,'补仓对账'!$F$5:$F$1204,"提交结果待确认"))</x:f>
      </x:c>
      <x:c r="I57" s="72" t="str">
        <x:f>IF($A57="","",SUMIFS('补仓对账'!$Q$5:$Q$1204,'补仓对账'!$B$5:$B$1204,$A57,'补仓对账'!$F$5:$F$1204,"异常待处理"))</x:f>
      </x:c>
      <x:c r="J57" s="72" t="str">
        <x:f>IF(A57="","",SUM(D57:I57))</x:f>
      </x:c>
      <x:c r="K57" s="72" t="str">
        <x:f>IF(A57="","",C57-J57)</x:f>
      </x:c>
      <x:c r="L57" s="72" t="str">
        <x:f>IF(A57="","",D57+E57)</x:f>
      </x:c>
      <x:c r="M57" s="72" t="str">
        <x:f>IF(A57="","",F57+G57+H57+I57)</x:f>
      </x:c>
      <x:c r="N57" s="64" t="str">
        <x:f>IF(A57="","",IF(AND(B57=C57,K57=0),IF(M57=0,"最终库存已闭环","流向对平，仍有待办"),"检查"))</x:f>
      </x:c>
    </x:row>
    <x:row r="58">
      <x:c r="A58" s="73"/>
      <x:c r="B58" s="72" t="str">
        <x:f>IF(A58="","",COUNTIFS('Steam卖出对账'!$C$5:$C$1204,A58,'Steam卖出对账'!$H$5:$H$1204,"&gt;0"))</x:f>
      </x:c>
      <x:c r="C58" s="72" t="str">
        <x:f>IF(A58="","",COUNTIFS('Steam卖出对账'!$C$5:$C$1204,A58,'Steam卖出对账'!$I$5:$I$1204,"&gt;0"))</x:f>
      </x:c>
      <x:c r="D58" s="72" t="str">
        <x:f>IF($A58="","",SUMIFS('补仓对账'!$Q$5:$Q$1204,'补仓对账'!$B$5:$B$1204,$A58,'补仓对账'!$F$5:$F$1204,"C58成功"))</x:f>
      </x:c>
      <x:c r="E58" s="72" t="str">
        <x:f>IF($A58="","",SUMIFS('补仓对账'!$Q$5:$Q$1204,'补仓对账'!$B$5:$B$1204,$A58,'补仓对账'!$F$5:$F$1204,"手动完结"))</x:f>
      </x:c>
      <x:c r="F58" s="72" t="str">
        <x:f>IF($A58="","",SUMIFS('补仓对账'!$Q$5:$Q$1204,'补仓对账'!$B$5:$B$1204,$A58,'补仓对账'!$F$5:$F$1204,"C58发货确认中"))</x:f>
      </x:c>
      <x:c r="G58" s="72" t="str">
        <x:f>IF($A58="","",SUMIFS('补仓对账'!$Q$5:$Q$1204,'补仓对账'!$B$5:$B$1204,$A58,'补仓对账'!$F$5:$F$1204,"卖出待补仓"))</x:f>
      </x:c>
      <x:c r="H58" s="72" t="str">
        <x:f>IF($A58="","",SUMIFS('补仓对账'!$Q$5:$Q$1204,'补仓对账'!$B$5:$B$1204,$A58,'补仓对账'!$F$5:$F$1204,"提交结果待确认"))</x:f>
      </x:c>
      <x:c r="I58" s="72" t="str">
        <x:f>IF($A58="","",SUMIFS('补仓对账'!$Q$5:$Q$1204,'补仓对账'!$B$5:$B$1204,$A58,'补仓对账'!$F$5:$F$1204,"异常待处理"))</x:f>
      </x:c>
      <x:c r="J58" s="72" t="str">
        <x:f>IF(A58="","",SUM(D58:I58))</x:f>
      </x:c>
      <x:c r="K58" s="72" t="str">
        <x:f>IF(A58="","",C58-J58)</x:f>
      </x:c>
      <x:c r="L58" s="72" t="str">
        <x:f>IF(A58="","",D58+E58)</x:f>
      </x:c>
      <x:c r="M58" s="72" t="str">
        <x:f>IF(A58="","",F58+G58+H58+I58)</x:f>
      </x:c>
      <x:c r="N58" s="64" t="str">
        <x:f>IF(A58="","",IF(AND(B58=C58,K58=0),IF(M58=0,"最终库存已闭环","流向对平，仍有待办"),"检查"))</x:f>
      </x:c>
    </x:row>
    <x:row r="59">
      <x:c r="A59" s="73"/>
      <x:c r="B59" s="72" t="str">
        <x:f>IF(A59="","",COUNTIFS('Steam卖出对账'!$C$5:$C$1204,A59,'Steam卖出对账'!$H$5:$H$1204,"&gt;0"))</x:f>
      </x:c>
      <x:c r="C59" s="72" t="str">
        <x:f>IF(A59="","",COUNTIFS('Steam卖出对账'!$C$5:$C$1204,A59,'Steam卖出对账'!$I$5:$I$1204,"&gt;0"))</x:f>
      </x:c>
      <x:c r="D59" s="72" t="str">
        <x:f>IF($A59="","",SUMIFS('补仓对账'!$Q$5:$Q$1204,'补仓对账'!$B$5:$B$1204,$A59,'补仓对账'!$F$5:$F$1204,"C59成功"))</x:f>
      </x:c>
      <x:c r="E59" s="72" t="str">
        <x:f>IF($A59="","",SUMIFS('补仓对账'!$Q$5:$Q$1204,'补仓对账'!$B$5:$B$1204,$A59,'补仓对账'!$F$5:$F$1204,"手动完结"))</x:f>
      </x:c>
      <x:c r="F59" s="72" t="str">
        <x:f>IF($A59="","",SUMIFS('补仓对账'!$Q$5:$Q$1204,'补仓对账'!$B$5:$B$1204,$A59,'补仓对账'!$F$5:$F$1204,"C59发货确认中"))</x:f>
      </x:c>
      <x:c r="G59" s="72" t="str">
        <x:f>IF($A59="","",SUMIFS('补仓对账'!$Q$5:$Q$1204,'补仓对账'!$B$5:$B$1204,$A59,'补仓对账'!$F$5:$F$1204,"卖出待补仓"))</x:f>
      </x:c>
      <x:c r="H59" s="72" t="str">
        <x:f>IF($A59="","",SUMIFS('补仓对账'!$Q$5:$Q$1204,'补仓对账'!$B$5:$B$1204,$A59,'补仓对账'!$F$5:$F$1204,"提交结果待确认"))</x:f>
      </x:c>
      <x:c r="I59" s="72" t="str">
        <x:f>IF($A59="","",SUMIFS('补仓对账'!$Q$5:$Q$1204,'补仓对账'!$B$5:$B$1204,$A59,'补仓对账'!$F$5:$F$1204,"异常待处理"))</x:f>
      </x:c>
      <x:c r="J59" s="72" t="str">
        <x:f>IF(A59="","",SUM(D59:I59))</x:f>
      </x:c>
      <x:c r="K59" s="72" t="str">
        <x:f>IF(A59="","",C59-J59)</x:f>
      </x:c>
      <x:c r="L59" s="72" t="str">
        <x:f>IF(A59="","",D59+E59)</x:f>
      </x:c>
      <x:c r="M59" s="72" t="str">
        <x:f>IF(A59="","",F59+G59+H59+I59)</x:f>
      </x:c>
      <x:c r="N59" s="64" t="str">
        <x:f>IF(A59="","",IF(AND(B59=C59,K59=0),IF(M59=0,"最终库存已闭环","流向对平，仍有待办"),"检查"))</x:f>
      </x:c>
    </x:row>
    <x:row r="60">
      <x:c r="A60" s="73"/>
      <x:c r="B60" s="72" t="str">
        <x:f>IF(A60="","",COUNTIFS('Steam卖出对账'!$C$5:$C$1204,A60,'Steam卖出对账'!$H$5:$H$1204,"&gt;0"))</x:f>
      </x:c>
      <x:c r="C60" s="72" t="str">
        <x:f>IF(A60="","",COUNTIFS('Steam卖出对账'!$C$5:$C$1204,A60,'Steam卖出对账'!$I$5:$I$1204,"&gt;0"))</x:f>
      </x:c>
      <x:c r="D60" s="72" t="str">
        <x:f>IF($A60="","",SUMIFS('补仓对账'!$Q$5:$Q$1204,'补仓对账'!$B$5:$B$1204,$A60,'补仓对账'!$F$5:$F$1204,"C60成功"))</x:f>
      </x:c>
      <x:c r="E60" s="72" t="str">
        <x:f>IF($A60="","",SUMIFS('补仓对账'!$Q$5:$Q$1204,'补仓对账'!$B$5:$B$1204,$A60,'补仓对账'!$F$5:$F$1204,"手动完结"))</x:f>
      </x:c>
      <x:c r="F60" s="72" t="str">
        <x:f>IF($A60="","",SUMIFS('补仓对账'!$Q$5:$Q$1204,'补仓对账'!$B$5:$B$1204,$A60,'补仓对账'!$F$5:$F$1204,"C60发货确认中"))</x:f>
      </x:c>
      <x:c r="G60" s="72" t="str">
        <x:f>IF($A60="","",SUMIFS('补仓对账'!$Q$5:$Q$1204,'补仓对账'!$B$5:$B$1204,$A60,'补仓对账'!$F$5:$F$1204,"卖出待补仓"))</x:f>
      </x:c>
      <x:c r="H60" s="72" t="str">
        <x:f>IF($A60="","",SUMIFS('补仓对账'!$Q$5:$Q$1204,'补仓对账'!$B$5:$B$1204,$A60,'补仓对账'!$F$5:$F$1204,"提交结果待确认"))</x:f>
      </x:c>
      <x:c r="I60" s="72" t="str">
        <x:f>IF($A60="","",SUMIFS('补仓对账'!$Q$5:$Q$1204,'补仓对账'!$B$5:$B$1204,$A60,'补仓对账'!$F$5:$F$1204,"异常待处理"))</x:f>
      </x:c>
      <x:c r="J60" s="72" t="str">
        <x:f>IF(A60="","",SUM(D60:I60))</x:f>
      </x:c>
      <x:c r="K60" s="72" t="str">
        <x:f>IF(A60="","",C60-J60)</x:f>
      </x:c>
      <x:c r="L60" s="72" t="str">
        <x:f>IF(A60="","",D60+E60)</x:f>
      </x:c>
      <x:c r="M60" s="72" t="str">
        <x:f>IF(A60="","",F60+G60+H60+I60)</x:f>
      </x:c>
      <x:c r="N60" s="64" t="str">
        <x:f>IF(A60="","",IF(AND(B60=C60,K60=0),IF(M60=0,"最终库存已闭环","流向对平，仍有待办"),"检查"))</x:f>
      </x:c>
    </x:row>
    <x:row r="61">
      <x:c r="A61" s="73"/>
      <x:c r="B61" s="72" t="str">
        <x:f>IF(A61="","",COUNTIFS('Steam卖出对账'!$C$5:$C$1204,A61,'Steam卖出对账'!$H$5:$H$1204,"&gt;0"))</x:f>
      </x:c>
      <x:c r="C61" s="72" t="str">
        <x:f>IF(A61="","",COUNTIFS('Steam卖出对账'!$C$5:$C$1204,A61,'Steam卖出对账'!$I$5:$I$1204,"&gt;0"))</x:f>
      </x:c>
      <x:c r="D61" s="72" t="str">
        <x:f>IF($A61="","",SUMIFS('补仓对账'!$Q$5:$Q$1204,'补仓对账'!$B$5:$B$1204,$A61,'补仓对账'!$F$5:$F$1204,"C61成功"))</x:f>
      </x:c>
      <x:c r="E61" s="72" t="str">
        <x:f>IF($A61="","",SUMIFS('补仓对账'!$Q$5:$Q$1204,'补仓对账'!$B$5:$B$1204,$A61,'补仓对账'!$F$5:$F$1204,"手动完结"))</x:f>
      </x:c>
      <x:c r="F61" s="72" t="str">
        <x:f>IF($A61="","",SUMIFS('补仓对账'!$Q$5:$Q$1204,'补仓对账'!$B$5:$B$1204,$A61,'补仓对账'!$F$5:$F$1204,"C61发货确认中"))</x:f>
      </x:c>
      <x:c r="G61" s="72" t="str">
        <x:f>IF($A61="","",SUMIFS('补仓对账'!$Q$5:$Q$1204,'补仓对账'!$B$5:$B$1204,$A61,'补仓对账'!$F$5:$F$1204,"卖出待补仓"))</x:f>
      </x:c>
      <x:c r="H61" s="72" t="str">
        <x:f>IF($A61="","",SUMIFS('补仓对账'!$Q$5:$Q$1204,'补仓对账'!$B$5:$B$1204,$A61,'补仓对账'!$F$5:$F$1204,"提交结果待确认"))</x:f>
      </x:c>
      <x:c r="I61" s="72" t="str">
        <x:f>IF($A61="","",SUMIFS('补仓对账'!$Q$5:$Q$1204,'补仓对账'!$B$5:$B$1204,$A61,'补仓对账'!$F$5:$F$1204,"异常待处理"))</x:f>
      </x:c>
      <x:c r="J61" s="72" t="str">
        <x:f>IF(A61="","",SUM(D61:I61))</x:f>
      </x:c>
      <x:c r="K61" s="72" t="str">
        <x:f>IF(A61="","",C61-J61)</x:f>
      </x:c>
      <x:c r="L61" s="72" t="str">
        <x:f>IF(A61="","",D61+E61)</x:f>
      </x:c>
      <x:c r="M61" s="72" t="str">
        <x:f>IF(A61="","",F61+G61+H61+I61)</x:f>
      </x:c>
      <x:c r="N61" s="64" t="str">
        <x:f>IF(A61="","",IF(AND(B61=C61,K61=0),IF(M61=0,"最终库存已闭环","流向对平，仍有待办"),"检查"))</x:f>
      </x:c>
    </x:row>
    <x:row r="62">
      <x:c r="A62" s="73"/>
      <x:c r="B62" s="72" t="str">
        <x:f>IF(A62="","",COUNTIFS('Steam卖出对账'!$C$5:$C$1204,A62,'Steam卖出对账'!$H$5:$H$1204,"&gt;0"))</x:f>
      </x:c>
      <x:c r="C62" s="72" t="str">
        <x:f>IF(A62="","",COUNTIFS('Steam卖出对账'!$C$5:$C$1204,A62,'Steam卖出对账'!$I$5:$I$1204,"&gt;0"))</x:f>
      </x:c>
      <x:c r="D62" s="72" t="str">
        <x:f>IF($A62="","",SUMIFS('补仓对账'!$Q$5:$Q$1204,'补仓对账'!$B$5:$B$1204,$A62,'补仓对账'!$F$5:$F$1204,"C62成功"))</x:f>
      </x:c>
      <x:c r="E62" s="72" t="str">
        <x:f>IF($A62="","",SUMIFS('补仓对账'!$Q$5:$Q$1204,'补仓对账'!$B$5:$B$1204,$A62,'补仓对账'!$F$5:$F$1204,"手动完结"))</x:f>
      </x:c>
      <x:c r="F62" s="72" t="str">
        <x:f>IF($A62="","",SUMIFS('补仓对账'!$Q$5:$Q$1204,'补仓对账'!$B$5:$B$1204,$A62,'补仓对账'!$F$5:$F$1204,"C62发货确认中"))</x:f>
      </x:c>
      <x:c r="G62" s="72" t="str">
        <x:f>IF($A62="","",SUMIFS('补仓对账'!$Q$5:$Q$1204,'补仓对账'!$B$5:$B$1204,$A62,'补仓对账'!$F$5:$F$1204,"卖出待补仓"))</x:f>
      </x:c>
      <x:c r="H62" s="72" t="str">
        <x:f>IF($A62="","",SUMIFS('补仓对账'!$Q$5:$Q$1204,'补仓对账'!$B$5:$B$1204,$A62,'补仓对账'!$F$5:$F$1204,"提交结果待确认"))</x:f>
      </x:c>
      <x:c r="I62" s="72" t="str">
        <x:f>IF($A62="","",SUMIFS('补仓对账'!$Q$5:$Q$1204,'补仓对账'!$B$5:$B$1204,$A62,'补仓对账'!$F$5:$F$1204,"异常待处理"))</x:f>
      </x:c>
      <x:c r="J62" s="72" t="str">
        <x:f>IF(A62="","",SUM(D62:I62))</x:f>
      </x:c>
      <x:c r="K62" s="72" t="str">
        <x:f>IF(A62="","",C62-J62)</x:f>
      </x:c>
      <x:c r="L62" s="72" t="str">
        <x:f>IF(A62="","",D62+E62)</x:f>
      </x:c>
      <x:c r="M62" s="72" t="str">
        <x:f>IF(A62="","",F62+G62+H62+I62)</x:f>
      </x:c>
      <x:c r="N62" s="64" t="str">
        <x:f>IF(A62="","",IF(AND(B62=C62,K62=0),IF(M62=0,"最终库存已闭环","流向对平，仍有待办"),"检查"))</x:f>
      </x:c>
    </x:row>
    <x:row r="63">
      <x:c r="A63" s="73"/>
      <x:c r="B63" s="72" t="str">
        <x:f>IF(A63="","",COUNTIFS('Steam卖出对账'!$C$5:$C$1204,A63,'Steam卖出对账'!$H$5:$H$1204,"&gt;0"))</x:f>
      </x:c>
      <x:c r="C63" s="72" t="str">
        <x:f>IF(A63="","",COUNTIFS('Steam卖出对账'!$C$5:$C$1204,A63,'Steam卖出对账'!$I$5:$I$1204,"&gt;0"))</x:f>
      </x:c>
      <x:c r="D63" s="72" t="str">
        <x:f>IF($A63="","",SUMIFS('补仓对账'!$Q$5:$Q$1204,'补仓对账'!$B$5:$B$1204,$A63,'补仓对账'!$F$5:$F$1204,"C63成功"))</x:f>
      </x:c>
      <x:c r="E63" s="72" t="str">
        <x:f>IF($A63="","",SUMIFS('补仓对账'!$Q$5:$Q$1204,'补仓对账'!$B$5:$B$1204,$A63,'补仓对账'!$F$5:$F$1204,"手动完结"))</x:f>
      </x:c>
      <x:c r="F63" s="72" t="str">
        <x:f>IF($A63="","",SUMIFS('补仓对账'!$Q$5:$Q$1204,'补仓对账'!$B$5:$B$1204,$A63,'补仓对账'!$F$5:$F$1204,"C63发货确认中"))</x:f>
      </x:c>
      <x:c r="G63" s="72" t="str">
        <x:f>IF($A63="","",SUMIFS('补仓对账'!$Q$5:$Q$1204,'补仓对账'!$B$5:$B$1204,$A63,'补仓对账'!$F$5:$F$1204,"卖出待补仓"))</x:f>
      </x:c>
      <x:c r="H63" s="72" t="str">
        <x:f>IF($A63="","",SUMIFS('补仓对账'!$Q$5:$Q$1204,'补仓对账'!$B$5:$B$1204,$A63,'补仓对账'!$F$5:$F$1204,"提交结果待确认"))</x:f>
      </x:c>
      <x:c r="I63" s="72" t="str">
        <x:f>IF($A63="","",SUMIFS('补仓对账'!$Q$5:$Q$1204,'补仓对账'!$B$5:$B$1204,$A63,'补仓对账'!$F$5:$F$1204,"异常待处理"))</x:f>
      </x:c>
      <x:c r="J63" s="72" t="str">
        <x:f>IF(A63="","",SUM(D63:I63))</x:f>
      </x:c>
      <x:c r="K63" s="72" t="str">
        <x:f>IF(A63="","",C63-J63)</x:f>
      </x:c>
      <x:c r="L63" s="72" t="str">
        <x:f>IF(A63="","",D63+E63)</x:f>
      </x:c>
      <x:c r="M63" s="72" t="str">
        <x:f>IF(A63="","",F63+G63+H63+I63)</x:f>
      </x:c>
      <x:c r="N63" s="64" t="str">
        <x:f>IF(A63="","",IF(AND(B63=C63,K63=0),IF(M63=0,"最终库存已闭环","流向对平，仍有待办"),"检查"))</x:f>
      </x:c>
    </x:row>
    <x:row r="64">
      <x:c r="A64" s="73"/>
      <x:c r="B64" s="72" t="str">
        <x:f>IF(A64="","",COUNTIFS('Steam卖出对账'!$C$5:$C$1204,A64,'Steam卖出对账'!$H$5:$H$1204,"&gt;0"))</x:f>
      </x:c>
      <x:c r="C64" s="72" t="str">
        <x:f>IF(A64="","",COUNTIFS('Steam卖出对账'!$C$5:$C$1204,A64,'Steam卖出对账'!$I$5:$I$1204,"&gt;0"))</x:f>
      </x:c>
      <x:c r="D64" s="72" t="str">
        <x:f>IF($A64="","",SUMIFS('补仓对账'!$Q$5:$Q$1204,'补仓对账'!$B$5:$B$1204,$A64,'补仓对账'!$F$5:$F$1204,"C64成功"))</x:f>
      </x:c>
      <x:c r="E64" s="72" t="str">
        <x:f>IF($A64="","",SUMIFS('补仓对账'!$Q$5:$Q$1204,'补仓对账'!$B$5:$B$1204,$A64,'补仓对账'!$F$5:$F$1204,"手动完结"))</x:f>
      </x:c>
      <x:c r="F64" s="72" t="str">
        <x:f>IF($A64="","",SUMIFS('补仓对账'!$Q$5:$Q$1204,'补仓对账'!$B$5:$B$1204,$A64,'补仓对账'!$F$5:$F$1204,"C64发货确认中"))</x:f>
      </x:c>
      <x:c r="G64" s="72" t="str">
        <x:f>IF($A64="","",SUMIFS('补仓对账'!$Q$5:$Q$1204,'补仓对账'!$B$5:$B$1204,$A64,'补仓对账'!$F$5:$F$1204,"卖出待补仓"))</x:f>
      </x:c>
      <x:c r="H64" s="72" t="str">
        <x:f>IF($A64="","",SUMIFS('补仓对账'!$Q$5:$Q$1204,'补仓对账'!$B$5:$B$1204,$A64,'补仓对账'!$F$5:$F$1204,"提交结果待确认"))</x:f>
      </x:c>
      <x:c r="I64" s="72" t="str">
        <x:f>IF($A64="","",SUMIFS('补仓对账'!$Q$5:$Q$1204,'补仓对账'!$B$5:$B$1204,$A64,'补仓对账'!$F$5:$F$1204,"异常待处理"))</x:f>
      </x:c>
      <x:c r="J64" s="72" t="str">
        <x:f>IF(A64="","",SUM(D64:I64))</x:f>
      </x:c>
      <x:c r="K64" s="72" t="str">
        <x:f>IF(A64="","",C64-J64)</x:f>
      </x:c>
      <x:c r="L64" s="72" t="str">
        <x:f>IF(A64="","",D64+E64)</x:f>
      </x:c>
      <x:c r="M64" s="72" t="str">
        <x:f>IF(A64="","",F64+G64+H64+I64)</x:f>
      </x:c>
      <x:c r="N64" s="64" t="str">
        <x:f>IF(A64="","",IF(AND(B64=C64,K64=0),IF(M64=0,"最终库存已闭环","流向对平，仍有待办"),"检查"))</x:f>
      </x:c>
    </x:row>
    <x:row r="65">
      <x:c r="A65" s="73"/>
      <x:c r="B65" s="72" t="str">
        <x:f>IF(A65="","",COUNTIFS('Steam卖出对账'!$C$5:$C$1204,A65,'Steam卖出对账'!$H$5:$H$1204,"&gt;0"))</x:f>
      </x:c>
      <x:c r="C65" s="72" t="str">
        <x:f>IF(A65="","",COUNTIFS('Steam卖出对账'!$C$5:$C$1204,A65,'Steam卖出对账'!$I$5:$I$1204,"&gt;0"))</x:f>
      </x:c>
      <x:c r="D65" s="72" t="str">
        <x:f>IF($A65="","",SUMIFS('补仓对账'!$Q$5:$Q$1204,'补仓对账'!$B$5:$B$1204,$A65,'补仓对账'!$F$5:$F$1204,"C65成功"))</x:f>
      </x:c>
      <x:c r="E65" s="72" t="str">
        <x:f>IF($A65="","",SUMIFS('补仓对账'!$Q$5:$Q$1204,'补仓对账'!$B$5:$B$1204,$A65,'补仓对账'!$F$5:$F$1204,"手动完结"))</x:f>
      </x:c>
      <x:c r="F65" s="72" t="str">
        <x:f>IF($A65="","",SUMIFS('补仓对账'!$Q$5:$Q$1204,'补仓对账'!$B$5:$B$1204,$A65,'补仓对账'!$F$5:$F$1204,"C65发货确认中"))</x:f>
      </x:c>
      <x:c r="G65" s="72" t="str">
        <x:f>IF($A65="","",SUMIFS('补仓对账'!$Q$5:$Q$1204,'补仓对账'!$B$5:$B$1204,$A65,'补仓对账'!$F$5:$F$1204,"卖出待补仓"))</x:f>
      </x:c>
      <x:c r="H65" s="72" t="str">
        <x:f>IF($A65="","",SUMIFS('补仓对账'!$Q$5:$Q$1204,'补仓对账'!$B$5:$B$1204,$A65,'补仓对账'!$F$5:$F$1204,"提交结果待确认"))</x:f>
      </x:c>
      <x:c r="I65" s="72" t="str">
        <x:f>IF($A65="","",SUMIFS('补仓对账'!$Q$5:$Q$1204,'补仓对账'!$B$5:$B$1204,$A65,'补仓对账'!$F$5:$F$1204,"异常待处理"))</x:f>
      </x:c>
      <x:c r="J65" s="72" t="str">
        <x:f>IF(A65="","",SUM(D65:I65))</x:f>
      </x:c>
      <x:c r="K65" s="72" t="str">
        <x:f>IF(A65="","",C65-J65)</x:f>
      </x:c>
      <x:c r="L65" s="72" t="str">
        <x:f>IF(A65="","",D65+E65)</x:f>
      </x:c>
      <x:c r="M65" s="72" t="str">
        <x:f>IF(A65="","",F65+G65+H65+I65)</x:f>
      </x:c>
      <x:c r="N65" s="64" t="str">
        <x:f>IF(A65="","",IF(AND(B65=C65,K65=0),IF(M65=0,"最终库存已闭环","流向对平，仍有待办"),"检查"))</x:f>
      </x:c>
    </x:row>
    <x:row r="66">
      <x:c r="A66" s="73"/>
      <x:c r="B66" s="72" t="str">
        <x:f>IF(A66="","",COUNTIFS('Steam卖出对账'!$C$5:$C$1204,A66,'Steam卖出对账'!$H$5:$H$1204,"&gt;0"))</x:f>
      </x:c>
      <x:c r="C66" s="72" t="str">
        <x:f>IF(A66="","",COUNTIFS('Steam卖出对账'!$C$5:$C$1204,A66,'Steam卖出对账'!$I$5:$I$1204,"&gt;0"))</x:f>
      </x:c>
      <x:c r="D66" s="72" t="str">
        <x:f>IF($A66="","",SUMIFS('补仓对账'!$Q$5:$Q$1204,'补仓对账'!$B$5:$B$1204,$A66,'补仓对账'!$F$5:$F$1204,"C66成功"))</x:f>
      </x:c>
      <x:c r="E66" s="72" t="str">
        <x:f>IF($A66="","",SUMIFS('补仓对账'!$Q$5:$Q$1204,'补仓对账'!$B$5:$B$1204,$A66,'补仓对账'!$F$5:$F$1204,"手动完结"))</x:f>
      </x:c>
      <x:c r="F66" s="72" t="str">
        <x:f>IF($A66="","",SUMIFS('补仓对账'!$Q$5:$Q$1204,'补仓对账'!$B$5:$B$1204,$A66,'补仓对账'!$F$5:$F$1204,"C66发货确认中"))</x:f>
      </x:c>
      <x:c r="G66" s="72" t="str">
        <x:f>IF($A66="","",SUMIFS('补仓对账'!$Q$5:$Q$1204,'补仓对账'!$B$5:$B$1204,$A66,'补仓对账'!$F$5:$F$1204,"卖出待补仓"))</x:f>
      </x:c>
      <x:c r="H66" s="72" t="str">
        <x:f>IF($A66="","",SUMIFS('补仓对账'!$Q$5:$Q$1204,'补仓对账'!$B$5:$B$1204,$A66,'补仓对账'!$F$5:$F$1204,"提交结果待确认"))</x:f>
      </x:c>
      <x:c r="I66" s="72" t="str">
        <x:f>IF($A66="","",SUMIFS('补仓对账'!$Q$5:$Q$1204,'补仓对账'!$B$5:$B$1204,$A66,'补仓对账'!$F$5:$F$1204,"异常待处理"))</x:f>
      </x:c>
      <x:c r="J66" s="72" t="str">
        <x:f>IF(A66="","",SUM(D66:I66))</x:f>
      </x:c>
      <x:c r="K66" s="72" t="str">
        <x:f>IF(A66="","",C66-J66)</x:f>
      </x:c>
      <x:c r="L66" s="72" t="str">
        <x:f>IF(A66="","",D66+E66)</x:f>
      </x:c>
      <x:c r="M66" s="72" t="str">
        <x:f>IF(A66="","",F66+G66+H66+I66)</x:f>
      </x:c>
      <x:c r="N66" s="64" t="str">
        <x:f>IF(A66="","",IF(AND(B66=C66,K66=0),IF(M66=0,"最终库存已闭环","流向对平，仍有待办"),"检查"))</x:f>
      </x:c>
    </x:row>
    <x:row r="67">
      <x:c r="A67" s="73"/>
      <x:c r="B67" s="72" t="str">
        <x:f>IF(A67="","",COUNTIFS('Steam卖出对账'!$C$5:$C$1204,A67,'Steam卖出对账'!$H$5:$H$1204,"&gt;0"))</x:f>
      </x:c>
      <x:c r="C67" s="72" t="str">
        <x:f>IF(A67="","",COUNTIFS('Steam卖出对账'!$C$5:$C$1204,A67,'Steam卖出对账'!$I$5:$I$1204,"&gt;0"))</x:f>
      </x:c>
      <x:c r="D67" s="72" t="str">
        <x:f>IF($A67="","",SUMIFS('补仓对账'!$Q$5:$Q$1204,'补仓对账'!$B$5:$B$1204,$A67,'补仓对账'!$F$5:$F$1204,"C67成功"))</x:f>
      </x:c>
      <x:c r="E67" s="72" t="str">
        <x:f>IF($A67="","",SUMIFS('补仓对账'!$Q$5:$Q$1204,'补仓对账'!$B$5:$B$1204,$A67,'补仓对账'!$F$5:$F$1204,"手动完结"))</x:f>
      </x:c>
      <x:c r="F67" s="72" t="str">
        <x:f>IF($A67="","",SUMIFS('补仓对账'!$Q$5:$Q$1204,'补仓对账'!$B$5:$B$1204,$A67,'补仓对账'!$F$5:$F$1204,"C67发货确认中"))</x:f>
      </x:c>
      <x:c r="G67" s="72" t="str">
        <x:f>IF($A67="","",SUMIFS('补仓对账'!$Q$5:$Q$1204,'补仓对账'!$B$5:$B$1204,$A67,'补仓对账'!$F$5:$F$1204,"卖出待补仓"))</x:f>
      </x:c>
      <x:c r="H67" s="72" t="str">
        <x:f>IF($A67="","",SUMIFS('补仓对账'!$Q$5:$Q$1204,'补仓对账'!$B$5:$B$1204,$A67,'补仓对账'!$F$5:$F$1204,"提交结果待确认"))</x:f>
      </x:c>
      <x:c r="I67" s="72" t="str">
        <x:f>IF($A67="","",SUMIFS('补仓对账'!$Q$5:$Q$1204,'补仓对账'!$B$5:$B$1204,$A67,'补仓对账'!$F$5:$F$1204,"异常待处理"))</x:f>
      </x:c>
      <x:c r="J67" s="72" t="str">
        <x:f>IF(A67="","",SUM(D67:I67))</x:f>
      </x:c>
      <x:c r="K67" s="72" t="str">
        <x:f>IF(A67="","",C67-J67)</x:f>
      </x:c>
      <x:c r="L67" s="72" t="str">
        <x:f>IF(A67="","",D67+E67)</x:f>
      </x:c>
      <x:c r="M67" s="72" t="str">
        <x:f>IF(A67="","",F67+G67+H67+I67)</x:f>
      </x:c>
      <x:c r="N67" s="64" t="str">
        <x:f>IF(A67="","",IF(AND(B67=C67,K67=0),IF(M67=0,"最终库存已闭环","流向对平，仍有待办"),"检查"))</x:f>
      </x:c>
    </x:row>
    <x:row r="68">
      <x:c r="A68" s="73"/>
      <x:c r="B68" s="72" t="str">
        <x:f>IF(A68="","",COUNTIFS('Steam卖出对账'!$C$5:$C$1204,A68,'Steam卖出对账'!$H$5:$H$1204,"&gt;0"))</x:f>
      </x:c>
      <x:c r="C68" s="72" t="str">
        <x:f>IF(A68="","",COUNTIFS('Steam卖出对账'!$C$5:$C$1204,A68,'Steam卖出对账'!$I$5:$I$1204,"&gt;0"))</x:f>
      </x:c>
      <x:c r="D68" s="72" t="str">
        <x:f>IF($A68="","",SUMIFS('补仓对账'!$Q$5:$Q$1204,'补仓对账'!$B$5:$B$1204,$A68,'补仓对账'!$F$5:$F$1204,"C68成功"))</x:f>
      </x:c>
      <x:c r="E68" s="72" t="str">
        <x:f>IF($A68="","",SUMIFS('补仓对账'!$Q$5:$Q$1204,'补仓对账'!$B$5:$B$1204,$A68,'补仓对账'!$F$5:$F$1204,"手动完结"))</x:f>
      </x:c>
      <x:c r="F68" s="72" t="str">
        <x:f>IF($A68="","",SUMIFS('补仓对账'!$Q$5:$Q$1204,'补仓对账'!$B$5:$B$1204,$A68,'补仓对账'!$F$5:$F$1204,"C68发货确认中"))</x:f>
      </x:c>
      <x:c r="G68" s="72" t="str">
        <x:f>IF($A68="","",SUMIFS('补仓对账'!$Q$5:$Q$1204,'补仓对账'!$B$5:$B$1204,$A68,'补仓对账'!$F$5:$F$1204,"卖出待补仓"))</x:f>
      </x:c>
      <x:c r="H68" s="72" t="str">
        <x:f>IF($A68="","",SUMIFS('补仓对账'!$Q$5:$Q$1204,'补仓对账'!$B$5:$B$1204,$A68,'补仓对账'!$F$5:$F$1204,"提交结果待确认"))</x:f>
      </x:c>
      <x:c r="I68" s="72" t="str">
        <x:f>IF($A68="","",SUMIFS('补仓对账'!$Q$5:$Q$1204,'补仓对账'!$B$5:$B$1204,$A68,'补仓对账'!$F$5:$F$1204,"异常待处理"))</x:f>
      </x:c>
      <x:c r="J68" s="72" t="str">
        <x:f>IF(A68="","",SUM(D68:I68))</x:f>
      </x:c>
      <x:c r="K68" s="72" t="str">
        <x:f>IF(A68="","",C68-J68)</x:f>
      </x:c>
      <x:c r="L68" s="72" t="str">
        <x:f>IF(A68="","",D68+E68)</x:f>
      </x:c>
      <x:c r="M68" s="72" t="str">
        <x:f>IF(A68="","",F68+G68+H68+I68)</x:f>
      </x:c>
      <x:c r="N68" s="64" t="str">
        <x:f>IF(A68="","",IF(AND(B68=C68,K68=0),IF(M68=0,"最终库存已闭环","流向对平，仍有待办"),"检查"))</x:f>
      </x:c>
    </x:row>
    <x:row r="69">
      <x:c r="A69" s="73"/>
      <x:c r="B69" s="72" t="str">
        <x:f>IF(A69="","",COUNTIFS('Steam卖出对账'!$C$5:$C$1204,A69,'Steam卖出对账'!$H$5:$H$1204,"&gt;0"))</x:f>
      </x:c>
      <x:c r="C69" s="72" t="str">
        <x:f>IF(A69="","",COUNTIFS('Steam卖出对账'!$C$5:$C$1204,A69,'Steam卖出对账'!$I$5:$I$1204,"&gt;0"))</x:f>
      </x:c>
      <x:c r="D69" s="72" t="str">
        <x:f>IF($A69="","",SUMIFS('补仓对账'!$Q$5:$Q$1204,'补仓对账'!$B$5:$B$1204,$A69,'补仓对账'!$F$5:$F$1204,"C69成功"))</x:f>
      </x:c>
      <x:c r="E69" s="72" t="str">
        <x:f>IF($A69="","",SUMIFS('补仓对账'!$Q$5:$Q$1204,'补仓对账'!$B$5:$B$1204,$A69,'补仓对账'!$F$5:$F$1204,"手动完结"))</x:f>
      </x:c>
      <x:c r="F69" s="72" t="str">
        <x:f>IF($A69="","",SUMIFS('补仓对账'!$Q$5:$Q$1204,'补仓对账'!$B$5:$B$1204,$A69,'补仓对账'!$F$5:$F$1204,"C69发货确认中"))</x:f>
      </x:c>
      <x:c r="G69" s="72" t="str">
        <x:f>IF($A69="","",SUMIFS('补仓对账'!$Q$5:$Q$1204,'补仓对账'!$B$5:$B$1204,$A69,'补仓对账'!$F$5:$F$1204,"卖出待补仓"))</x:f>
      </x:c>
      <x:c r="H69" s="72" t="str">
        <x:f>IF($A69="","",SUMIFS('补仓对账'!$Q$5:$Q$1204,'补仓对账'!$B$5:$B$1204,$A69,'补仓对账'!$F$5:$F$1204,"提交结果待确认"))</x:f>
      </x:c>
      <x:c r="I69" s="72" t="str">
        <x:f>IF($A69="","",SUMIFS('补仓对账'!$Q$5:$Q$1204,'补仓对账'!$B$5:$B$1204,$A69,'补仓对账'!$F$5:$F$1204,"异常待处理"))</x:f>
      </x:c>
      <x:c r="J69" s="72" t="str">
        <x:f>IF(A69="","",SUM(D69:I69))</x:f>
      </x:c>
      <x:c r="K69" s="72" t="str">
        <x:f>IF(A69="","",C69-J69)</x:f>
      </x:c>
      <x:c r="L69" s="72" t="str">
        <x:f>IF(A69="","",D69+E69)</x:f>
      </x:c>
      <x:c r="M69" s="72" t="str">
        <x:f>IF(A69="","",F69+G69+H69+I69)</x:f>
      </x:c>
      <x:c r="N69" s="64" t="str">
        <x:f>IF(A69="","",IF(AND(B69=C69,K69=0),IF(M69=0,"最终库存已闭环","流向对平，仍有待办"),"检查"))</x:f>
      </x:c>
    </x:row>
    <x:row r="70">
      <x:c r="A70" s="73"/>
      <x:c r="B70" s="72" t="str">
        <x:f>IF(A70="","",COUNTIFS('Steam卖出对账'!$C$5:$C$1204,A70,'Steam卖出对账'!$H$5:$H$1204,"&gt;0"))</x:f>
      </x:c>
      <x:c r="C70" s="72" t="str">
        <x:f>IF(A70="","",COUNTIFS('Steam卖出对账'!$C$5:$C$1204,A70,'Steam卖出对账'!$I$5:$I$1204,"&gt;0"))</x:f>
      </x:c>
      <x:c r="D70" s="72" t="str">
        <x:f>IF($A70="","",SUMIFS('补仓对账'!$Q$5:$Q$1204,'补仓对账'!$B$5:$B$1204,$A70,'补仓对账'!$F$5:$F$1204,"C70成功"))</x:f>
      </x:c>
      <x:c r="E70" s="72" t="str">
        <x:f>IF($A70="","",SUMIFS('补仓对账'!$Q$5:$Q$1204,'补仓对账'!$B$5:$B$1204,$A70,'补仓对账'!$F$5:$F$1204,"手动完结"))</x:f>
      </x:c>
      <x:c r="F70" s="72" t="str">
        <x:f>IF($A70="","",SUMIFS('补仓对账'!$Q$5:$Q$1204,'补仓对账'!$B$5:$B$1204,$A70,'补仓对账'!$F$5:$F$1204,"C70发货确认中"))</x:f>
      </x:c>
      <x:c r="G70" s="72" t="str">
        <x:f>IF($A70="","",SUMIFS('补仓对账'!$Q$5:$Q$1204,'补仓对账'!$B$5:$B$1204,$A70,'补仓对账'!$F$5:$F$1204,"卖出待补仓"))</x:f>
      </x:c>
      <x:c r="H70" s="72" t="str">
        <x:f>IF($A70="","",SUMIFS('补仓对账'!$Q$5:$Q$1204,'补仓对账'!$B$5:$B$1204,$A70,'补仓对账'!$F$5:$F$1204,"提交结果待确认"))</x:f>
      </x:c>
      <x:c r="I70" s="72" t="str">
        <x:f>IF($A70="","",SUMIFS('补仓对账'!$Q$5:$Q$1204,'补仓对账'!$B$5:$B$1204,$A70,'补仓对账'!$F$5:$F$1204,"异常待处理"))</x:f>
      </x:c>
      <x:c r="J70" s="72" t="str">
        <x:f>IF(A70="","",SUM(D70:I70))</x:f>
      </x:c>
      <x:c r="K70" s="72" t="str">
        <x:f>IF(A70="","",C70-J70)</x:f>
      </x:c>
      <x:c r="L70" s="72" t="str">
        <x:f>IF(A70="","",D70+E70)</x:f>
      </x:c>
      <x:c r="M70" s="72" t="str">
        <x:f>IF(A70="","",F70+G70+H70+I70)</x:f>
      </x:c>
      <x:c r="N70" s="64" t="str">
        <x:f>IF(A70="","",IF(AND(B70=C70,K70=0),IF(M70=0,"最终库存已闭环","流向对平，仍有待办"),"检查"))</x:f>
      </x:c>
    </x:row>
    <x:row r="71">
      <x:c r="A71" s="73"/>
      <x:c r="B71" s="72" t="str">
        <x:f>IF(A71="","",COUNTIFS('Steam卖出对账'!$C$5:$C$1204,A71,'Steam卖出对账'!$H$5:$H$1204,"&gt;0"))</x:f>
      </x:c>
      <x:c r="C71" s="72" t="str">
        <x:f>IF(A71="","",COUNTIFS('Steam卖出对账'!$C$5:$C$1204,A71,'Steam卖出对账'!$I$5:$I$1204,"&gt;0"))</x:f>
      </x:c>
      <x:c r="D71" s="72" t="str">
        <x:f>IF($A71="","",SUMIFS('补仓对账'!$Q$5:$Q$1204,'补仓对账'!$B$5:$B$1204,$A71,'补仓对账'!$F$5:$F$1204,"C71成功"))</x:f>
      </x:c>
      <x:c r="E71" s="72" t="str">
        <x:f>IF($A71="","",SUMIFS('补仓对账'!$Q$5:$Q$1204,'补仓对账'!$B$5:$B$1204,$A71,'补仓对账'!$F$5:$F$1204,"手动完结"))</x:f>
      </x:c>
      <x:c r="F71" s="72" t="str">
        <x:f>IF($A71="","",SUMIFS('补仓对账'!$Q$5:$Q$1204,'补仓对账'!$B$5:$B$1204,$A71,'补仓对账'!$F$5:$F$1204,"C71发货确认中"))</x:f>
      </x:c>
      <x:c r="G71" s="72" t="str">
        <x:f>IF($A71="","",SUMIFS('补仓对账'!$Q$5:$Q$1204,'补仓对账'!$B$5:$B$1204,$A71,'补仓对账'!$F$5:$F$1204,"卖出待补仓"))</x:f>
      </x:c>
      <x:c r="H71" s="72" t="str">
        <x:f>IF($A71="","",SUMIFS('补仓对账'!$Q$5:$Q$1204,'补仓对账'!$B$5:$B$1204,$A71,'补仓对账'!$F$5:$F$1204,"提交结果待确认"))</x:f>
      </x:c>
      <x:c r="I71" s="72" t="str">
        <x:f>IF($A71="","",SUMIFS('补仓对账'!$Q$5:$Q$1204,'补仓对账'!$B$5:$B$1204,$A71,'补仓对账'!$F$5:$F$1204,"异常待处理"))</x:f>
      </x:c>
      <x:c r="J71" s="72" t="str">
        <x:f>IF(A71="","",SUM(D71:I71))</x:f>
      </x:c>
      <x:c r="K71" s="72" t="str">
        <x:f>IF(A71="","",C71-J71)</x:f>
      </x:c>
      <x:c r="L71" s="72" t="str">
        <x:f>IF(A71="","",D71+E71)</x:f>
      </x:c>
      <x:c r="M71" s="72" t="str">
        <x:f>IF(A71="","",F71+G71+H71+I71)</x:f>
      </x:c>
      <x:c r="N71" s="64" t="str">
        <x:f>IF(A71="","",IF(AND(B71=C71,K71=0),IF(M71=0,"最终库存已闭环","流向对平，仍有待办"),"检查"))</x:f>
      </x:c>
    </x:row>
    <x:row r="72">
      <x:c r="A72" s="73"/>
      <x:c r="B72" s="72" t="str">
        <x:f>IF(A72="","",COUNTIFS('Steam卖出对账'!$C$5:$C$1204,A72,'Steam卖出对账'!$H$5:$H$1204,"&gt;0"))</x:f>
      </x:c>
      <x:c r="C72" s="72" t="str">
        <x:f>IF(A72="","",COUNTIFS('Steam卖出对账'!$C$5:$C$1204,A72,'Steam卖出对账'!$I$5:$I$1204,"&gt;0"))</x:f>
      </x:c>
      <x:c r="D72" s="72" t="str">
        <x:f>IF($A72="","",SUMIFS('补仓对账'!$Q$5:$Q$1204,'补仓对账'!$B$5:$B$1204,$A72,'补仓对账'!$F$5:$F$1204,"C72成功"))</x:f>
      </x:c>
      <x:c r="E72" s="72" t="str">
        <x:f>IF($A72="","",SUMIFS('补仓对账'!$Q$5:$Q$1204,'补仓对账'!$B$5:$B$1204,$A72,'补仓对账'!$F$5:$F$1204,"手动完结"))</x:f>
      </x:c>
      <x:c r="F72" s="72" t="str">
        <x:f>IF($A72="","",SUMIFS('补仓对账'!$Q$5:$Q$1204,'补仓对账'!$B$5:$B$1204,$A72,'补仓对账'!$F$5:$F$1204,"C72发货确认中"))</x:f>
      </x:c>
      <x:c r="G72" s="72" t="str">
        <x:f>IF($A72="","",SUMIFS('补仓对账'!$Q$5:$Q$1204,'补仓对账'!$B$5:$B$1204,$A72,'补仓对账'!$F$5:$F$1204,"卖出待补仓"))</x:f>
      </x:c>
      <x:c r="H72" s="72" t="str">
        <x:f>IF($A72="","",SUMIFS('补仓对账'!$Q$5:$Q$1204,'补仓对账'!$B$5:$B$1204,$A72,'补仓对账'!$F$5:$F$1204,"提交结果待确认"))</x:f>
      </x:c>
      <x:c r="I72" s="72" t="str">
        <x:f>IF($A72="","",SUMIFS('补仓对账'!$Q$5:$Q$1204,'补仓对账'!$B$5:$B$1204,$A72,'补仓对账'!$F$5:$F$1204,"异常待处理"))</x:f>
      </x:c>
      <x:c r="J72" s="72" t="str">
        <x:f>IF(A72="","",SUM(D72:I72))</x:f>
      </x:c>
      <x:c r="K72" s="72" t="str">
        <x:f>IF(A72="","",C72-J72)</x:f>
      </x:c>
      <x:c r="L72" s="72" t="str">
        <x:f>IF(A72="","",D72+E72)</x:f>
      </x:c>
      <x:c r="M72" s="72" t="str">
        <x:f>IF(A72="","",F72+G72+H72+I72)</x:f>
      </x:c>
      <x:c r="N72" s="64" t="str">
        <x:f>IF(A72="","",IF(AND(B72=C72,K72=0),IF(M72=0,"最终库存已闭环","流向对平，仍有待办"),"检查"))</x:f>
      </x:c>
    </x:row>
    <x:row r="73">
      <x:c r="A73" s="73"/>
      <x:c r="B73" s="72" t="str">
        <x:f>IF(A73="","",COUNTIFS('Steam卖出对账'!$C$5:$C$1204,A73,'Steam卖出对账'!$H$5:$H$1204,"&gt;0"))</x:f>
      </x:c>
      <x:c r="C73" s="72" t="str">
        <x:f>IF(A73="","",COUNTIFS('Steam卖出对账'!$C$5:$C$1204,A73,'Steam卖出对账'!$I$5:$I$1204,"&gt;0"))</x:f>
      </x:c>
      <x:c r="D73" s="72" t="str">
        <x:f>IF($A73="","",SUMIFS('补仓对账'!$Q$5:$Q$1204,'补仓对账'!$B$5:$B$1204,$A73,'补仓对账'!$F$5:$F$1204,"C73成功"))</x:f>
      </x:c>
      <x:c r="E73" s="72" t="str">
        <x:f>IF($A73="","",SUMIFS('补仓对账'!$Q$5:$Q$1204,'补仓对账'!$B$5:$B$1204,$A73,'补仓对账'!$F$5:$F$1204,"手动完结"))</x:f>
      </x:c>
      <x:c r="F73" s="72" t="str">
        <x:f>IF($A73="","",SUMIFS('补仓对账'!$Q$5:$Q$1204,'补仓对账'!$B$5:$B$1204,$A73,'补仓对账'!$F$5:$F$1204,"C73发货确认中"))</x:f>
      </x:c>
      <x:c r="G73" s="72" t="str">
        <x:f>IF($A73="","",SUMIFS('补仓对账'!$Q$5:$Q$1204,'补仓对账'!$B$5:$B$1204,$A73,'补仓对账'!$F$5:$F$1204,"卖出待补仓"))</x:f>
      </x:c>
      <x:c r="H73" s="72" t="str">
        <x:f>IF($A73="","",SUMIFS('补仓对账'!$Q$5:$Q$1204,'补仓对账'!$B$5:$B$1204,$A73,'补仓对账'!$F$5:$F$1204,"提交结果待确认"))</x:f>
      </x:c>
      <x:c r="I73" s="72" t="str">
        <x:f>IF($A73="","",SUMIFS('补仓对账'!$Q$5:$Q$1204,'补仓对账'!$B$5:$B$1204,$A73,'补仓对账'!$F$5:$F$1204,"异常待处理"))</x:f>
      </x:c>
      <x:c r="J73" s="72" t="str">
        <x:f>IF(A73="","",SUM(D73:I73))</x:f>
      </x:c>
      <x:c r="K73" s="72" t="str">
        <x:f>IF(A73="","",C73-J73)</x:f>
      </x:c>
      <x:c r="L73" s="72" t="str">
        <x:f>IF(A73="","",D73+E73)</x:f>
      </x:c>
      <x:c r="M73" s="72" t="str">
        <x:f>IF(A73="","",F73+G73+H73+I73)</x:f>
      </x:c>
      <x:c r="N73" s="64" t="str">
        <x:f>IF(A73="","",IF(AND(B73=C73,K73=0),IF(M73=0,"最终库存已闭环","流向对平，仍有待办"),"检查"))</x:f>
      </x:c>
    </x:row>
    <x:row r="74">
      <x:c r="A74" s="73"/>
      <x:c r="B74" s="72" t="str">
        <x:f>IF(A74="","",COUNTIFS('Steam卖出对账'!$C$5:$C$1204,A74,'Steam卖出对账'!$H$5:$H$1204,"&gt;0"))</x:f>
      </x:c>
      <x:c r="C74" s="72" t="str">
        <x:f>IF(A74="","",COUNTIFS('Steam卖出对账'!$C$5:$C$1204,A74,'Steam卖出对账'!$I$5:$I$1204,"&gt;0"))</x:f>
      </x:c>
      <x:c r="D74" s="72" t="str">
        <x:f>IF($A74="","",SUMIFS('补仓对账'!$Q$5:$Q$1204,'补仓对账'!$B$5:$B$1204,$A74,'补仓对账'!$F$5:$F$1204,"C74成功"))</x:f>
      </x:c>
      <x:c r="E74" s="72" t="str">
        <x:f>IF($A74="","",SUMIFS('补仓对账'!$Q$5:$Q$1204,'补仓对账'!$B$5:$B$1204,$A74,'补仓对账'!$F$5:$F$1204,"手动完结"))</x:f>
      </x:c>
      <x:c r="F74" s="72" t="str">
        <x:f>IF($A74="","",SUMIFS('补仓对账'!$Q$5:$Q$1204,'补仓对账'!$B$5:$B$1204,$A74,'补仓对账'!$F$5:$F$1204,"C74发货确认中"))</x:f>
      </x:c>
      <x:c r="G74" s="72" t="str">
        <x:f>IF($A74="","",SUMIFS('补仓对账'!$Q$5:$Q$1204,'补仓对账'!$B$5:$B$1204,$A74,'补仓对账'!$F$5:$F$1204,"卖出待补仓"))</x:f>
      </x:c>
      <x:c r="H74" s="72" t="str">
        <x:f>IF($A74="","",SUMIFS('补仓对账'!$Q$5:$Q$1204,'补仓对账'!$B$5:$B$1204,$A74,'补仓对账'!$F$5:$F$1204,"提交结果待确认"))</x:f>
      </x:c>
      <x:c r="I74" s="72" t="str">
        <x:f>IF($A74="","",SUMIFS('补仓对账'!$Q$5:$Q$1204,'补仓对账'!$B$5:$B$1204,$A74,'补仓对账'!$F$5:$F$1204,"异常待处理"))</x:f>
      </x:c>
      <x:c r="J74" s="72" t="str">
        <x:f>IF(A74="","",SUM(D74:I74))</x:f>
      </x:c>
      <x:c r="K74" s="72" t="str">
        <x:f>IF(A74="","",C74-J74)</x:f>
      </x:c>
      <x:c r="L74" s="72" t="str">
        <x:f>IF(A74="","",D74+E74)</x:f>
      </x:c>
      <x:c r="M74" s="72" t="str">
        <x:f>IF(A74="","",F74+G74+H74+I74)</x:f>
      </x:c>
      <x:c r="N74" s="64" t="str">
        <x:f>IF(A74="","",IF(AND(B74=C74,K74=0),IF(M74=0,"最终库存已闭环","流向对平，仍有待办"),"检查"))</x:f>
      </x:c>
    </x:row>
    <x:row r="75">
      <x:c r="A75" s="73"/>
      <x:c r="B75" s="72" t="str">
        <x:f>IF(A75="","",COUNTIFS('Steam卖出对账'!$C$5:$C$1204,A75,'Steam卖出对账'!$H$5:$H$1204,"&gt;0"))</x:f>
      </x:c>
      <x:c r="C75" s="72" t="str">
        <x:f>IF(A75="","",COUNTIFS('Steam卖出对账'!$C$5:$C$1204,A75,'Steam卖出对账'!$I$5:$I$1204,"&gt;0"))</x:f>
      </x:c>
      <x:c r="D75" s="72" t="str">
        <x:f>IF($A75="","",SUMIFS('补仓对账'!$Q$5:$Q$1204,'补仓对账'!$B$5:$B$1204,$A75,'补仓对账'!$F$5:$F$1204,"C75成功"))</x:f>
      </x:c>
      <x:c r="E75" s="72" t="str">
        <x:f>IF($A75="","",SUMIFS('补仓对账'!$Q$5:$Q$1204,'补仓对账'!$B$5:$B$1204,$A75,'补仓对账'!$F$5:$F$1204,"手动完结"))</x:f>
      </x:c>
      <x:c r="F75" s="72" t="str">
        <x:f>IF($A75="","",SUMIFS('补仓对账'!$Q$5:$Q$1204,'补仓对账'!$B$5:$B$1204,$A75,'补仓对账'!$F$5:$F$1204,"C75发货确认中"))</x:f>
      </x:c>
      <x:c r="G75" s="72" t="str">
        <x:f>IF($A75="","",SUMIFS('补仓对账'!$Q$5:$Q$1204,'补仓对账'!$B$5:$B$1204,$A75,'补仓对账'!$F$5:$F$1204,"卖出待补仓"))</x:f>
      </x:c>
      <x:c r="H75" s="72" t="str">
        <x:f>IF($A75="","",SUMIFS('补仓对账'!$Q$5:$Q$1204,'补仓对账'!$B$5:$B$1204,$A75,'补仓对账'!$F$5:$F$1204,"提交结果待确认"))</x:f>
      </x:c>
      <x:c r="I75" s="72" t="str">
        <x:f>IF($A75="","",SUMIFS('补仓对账'!$Q$5:$Q$1204,'补仓对账'!$B$5:$B$1204,$A75,'补仓对账'!$F$5:$F$1204,"异常待处理"))</x:f>
      </x:c>
      <x:c r="J75" s="72" t="str">
        <x:f>IF(A75="","",SUM(D75:I75))</x:f>
      </x:c>
      <x:c r="K75" s="72" t="str">
        <x:f>IF(A75="","",C75-J75)</x:f>
      </x:c>
      <x:c r="L75" s="72" t="str">
        <x:f>IF(A75="","",D75+E75)</x:f>
      </x:c>
      <x:c r="M75" s="72" t="str">
        <x:f>IF(A75="","",F75+G75+H75+I75)</x:f>
      </x:c>
      <x:c r="N75" s="64" t="str">
        <x:f>IF(A75="","",IF(AND(B75=C75,K75=0),IF(M75=0,"最终库存已闭环","流向对平，仍有待办"),"检查"))</x:f>
      </x:c>
    </x:row>
    <x:row r="76">
      <x:c r="A76" s="73"/>
      <x:c r="B76" s="72" t="str">
        <x:f>IF(A76="","",COUNTIFS('Steam卖出对账'!$C$5:$C$1204,A76,'Steam卖出对账'!$H$5:$H$1204,"&gt;0"))</x:f>
      </x:c>
      <x:c r="C76" s="72" t="str">
        <x:f>IF(A76="","",COUNTIFS('Steam卖出对账'!$C$5:$C$1204,A76,'Steam卖出对账'!$I$5:$I$1204,"&gt;0"))</x:f>
      </x:c>
      <x:c r="D76" s="72" t="str">
        <x:f>IF($A76="","",SUMIFS('补仓对账'!$Q$5:$Q$1204,'补仓对账'!$B$5:$B$1204,$A76,'补仓对账'!$F$5:$F$1204,"C76成功"))</x:f>
      </x:c>
      <x:c r="E76" s="72" t="str">
        <x:f>IF($A76="","",SUMIFS('补仓对账'!$Q$5:$Q$1204,'补仓对账'!$B$5:$B$1204,$A76,'补仓对账'!$F$5:$F$1204,"手动完结"))</x:f>
      </x:c>
      <x:c r="F76" s="72" t="str">
        <x:f>IF($A76="","",SUMIFS('补仓对账'!$Q$5:$Q$1204,'补仓对账'!$B$5:$B$1204,$A76,'补仓对账'!$F$5:$F$1204,"C76发货确认中"))</x:f>
      </x:c>
      <x:c r="G76" s="72" t="str">
        <x:f>IF($A76="","",SUMIFS('补仓对账'!$Q$5:$Q$1204,'补仓对账'!$B$5:$B$1204,$A76,'补仓对账'!$F$5:$F$1204,"卖出待补仓"))</x:f>
      </x:c>
      <x:c r="H76" s="72" t="str">
        <x:f>IF($A76="","",SUMIFS('补仓对账'!$Q$5:$Q$1204,'补仓对账'!$B$5:$B$1204,$A76,'补仓对账'!$F$5:$F$1204,"提交结果待确认"))</x:f>
      </x:c>
      <x:c r="I76" s="72" t="str">
        <x:f>IF($A76="","",SUMIFS('补仓对账'!$Q$5:$Q$1204,'补仓对账'!$B$5:$B$1204,$A76,'补仓对账'!$F$5:$F$1204,"异常待处理"))</x:f>
      </x:c>
      <x:c r="J76" s="72" t="str">
        <x:f>IF(A76="","",SUM(D76:I76))</x:f>
      </x:c>
      <x:c r="K76" s="72" t="str">
        <x:f>IF(A76="","",C76-J76)</x:f>
      </x:c>
      <x:c r="L76" s="72" t="str">
        <x:f>IF(A76="","",D76+E76)</x:f>
      </x:c>
      <x:c r="M76" s="72" t="str">
        <x:f>IF(A76="","",F76+G76+H76+I76)</x:f>
      </x:c>
      <x:c r="N76" s="64" t="str">
        <x:f>IF(A76="","",IF(AND(B76=C76,K76=0),IF(M76=0,"最终库存已闭环","流向对平，仍有待办"),"检查"))</x:f>
      </x:c>
    </x:row>
    <x:row r="77">
      <x:c r="A77" s="73"/>
      <x:c r="B77" s="72" t="str">
        <x:f>IF(A77="","",COUNTIFS('Steam卖出对账'!$C$5:$C$1204,A77,'Steam卖出对账'!$H$5:$H$1204,"&gt;0"))</x:f>
      </x:c>
      <x:c r="C77" s="72" t="str">
        <x:f>IF(A77="","",COUNTIFS('Steam卖出对账'!$C$5:$C$1204,A77,'Steam卖出对账'!$I$5:$I$1204,"&gt;0"))</x:f>
      </x:c>
      <x:c r="D77" s="72" t="str">
        <x:f>IF($A77="","",SUMIFS('补仓对账'!$Q$5:$Q$1204,'补仓对账'!$B$5:$B$1204,$A77,'补仓对账'!$F$5:$F$1204,"C77成功"))</x:f>
      </x:c>
      <x:c r="E77" s="72" t="str">
        <x:f>IF($A77="","",SUMIFS('补仓对账'!$Q$5:$Q$1204,'补仓对账'!$B$5:$B$1204,$A77,'补仓对账'!$F$5:$F$1204,"手动完结"))</x:f>
      </x:c>
      <x:c r="F77" s="72" t="str">
        <x:f>IF($A77="","",SUMIFS('补仓对账'!$Q$5:$Q$1204,'补仓对账'!$B$5:$B$1204,$A77,'补仓对账'!$F$5:$F$1204,"C77发货确认中"))</x:f>
      </x:c>
      <x:c r="G77" s="72" t="str">
        <x:f>IF($A77="","",SUMIFS('补仓对账'!$Q$5:$Q$1204,'补仓对账'!$B$5:$B$1204,$A77,'补仓对账'!$F$5:$F$1204,"卖出待补仓"))</x:f>
      </x:c>
      <x:c r="H77" s="72" t="str">
        <x:f>IF($A77="","",SUMIFS('补仓对账'!$Q$5:$Q$1204,'补仓对账'!$B$5:$B$1204,$A77,'补仓对账'!$F$5:$F$1204,"提交结果待确认"))</x:f>
      </x:c>
      <x:c r="I77" s="72" t="str">
        <x:f>IF($A77="","",SUMIFS('补仓对账'!$Q$5:$Q$1204,'补仓对账'!$B$5:$B$1204,$A77,'补仓对账'!$F$5:$F$1204,"异常待处理"))</x:f>
      </x:c>
      <x:c r="J77" s="72" t="str">
        <x:f>IF(A77="","",SUM(D77:I77))</x:f>
      </x:c>
      <x:c r="K77" s="72" t="str">
        <x:f>IF(A77="","",C77-J77)</x:f>
      </x:c>
      <x:c r="L77" s="72" t="str">
        <x:f>IF(A77="","",D77+E77)</x:f>
      </x:c>
      <x:c r="M77" s="72" t="str">
        <x:f>IF(A77="","",F77+G77+H77+I77)</x:f>
      </x:c>
      <x:c r="N77" s="64" t="str">
        <x:f>IF(A77="","",IF(AND(B77=C77,K77=0),IF(M77=0,"最终库存已闭环","流向对平，仍有待办"),"检查"))</x:f>
      </x:c>
    </x:row>
    <x:row r="78">
      <x:c r="A78" s="73"/>
      <x:c r="B78" s="72" t="str">
        <x:f>IF(A78="","",COUNTIFS('Steam卖出对账'!$C$5:$C$1204,A78,'Steam卖出对账'!$H$5:$H$1204,"&gt;0"))</x:f>
      </x:c>
      <x:c r="C78" s="72" t="str">
        <x:f>IF(A78="","",COUNTIFS('Steam卖出对账'!$C$5:$C$1204,A78,'Steam卖出对账'!$I$5:$I$1204,"&gt;0"))</x:f>
      </x:c>
      <x:c r="D78" s="72" t="str">
        <x:f>IF($A78="","",SUMIFS('补仓对账'!$Q$5:$Q$1204,'补仓对账'!$B$5:$B$1204,$A78,'补仓对账'!$F$5:$F$1204,"C78成功"))</x:f>
      </x:c>
      <x:c r="E78" s="72" t="str">
        <x:f>IF($A78="","",SUMIFS('补仓对账'!$Q$5:$Q$1204,'补仓对账'!$B$5:$B$1204,$A78,'补仓对账'!$F$5:$F$1204,"手动完结"))</x:f>
      </x:c>
      <x:c r="F78" s="72" t="str">
        <x:f>IF($A78="","",SUMIFS('补仓对账'!$Q$5:$Q$1204,'补仓对账'!$B$5:$B$1204,$A78,'补仓对账'!$F$5:$F$1204,"C78发货确认中"))</x:f>
      </x:c>
      <x:c r="G78" s="72" t="str">
        <x:f>IF($A78="","",SUMIFS('补仓对账'!$Q$5:$Q$1204,'补仓对账'!$B$5:$B$1204,$A78,'补仓对账'!$F$5:$F$1204,"卖出待补仓"))</x:f>
      </x:c>
      <x:c r="H78" s="72" t="str">
        <x:f>IF($A78="","",SUMIFS('补仓对账'!$Q$5:$Q$1204,'补仓对账'!$B$5:$B$1204,$A78,'补仓对账'!$F$5:$F$1204,"提交结果待确认"))</x:f>
      </x:c>
      <x:c r="I78" s="72" t="str">
        <x:f>IF($A78="","",SUMIFS('补仓对账'!$Q$5:$Q$1204,'补仓对账'!$B$5:$B$1204,$A78,'补仓对账'!$F$5:$F$1204,"异常待处理"))</x:f>
      </x:c>
      <x:c r="J78" s="72" t="str">
        <x:f>IF(A78="","",SUM(D78:I78))</x:f>
      </x:c>
      <x:c r="K78" s="72" t="str">
        <x:f>IF(A78="","",C78-J78)</x:f>
      </x:c>
      <x:c r="L78" s="72" t="str">
        <x:f>IF(A78="","",D78+E78)</x:f>
      </x:c>
      <x:c r="M78" s="72" t="str">
        <x:f>IF(A78="","",F78+G78+H78+I78)</x:f>
      </x:c>
      <x:c r="N78" s="64" t="str">
        <x:f>IF(A78="","",IF(AND(B78=C78,K78=0),IF(M78=0,"最终库存已闭环","流向对平，仍有待办"),"检查"))</x:f>
      </x:c>
    </x:row>
    <x:row r="79">
      <x:c r="A79" s="73"/>
      <x:c r="B79" s="72" t="str">
        <x:f>IF(A79="","",COUNTIFS('Steam卖出对账'!$C$5:$C$1204,A79,'Steam卖出对账'!$H$5:$H$1204,"&gt;0"))</x:f>
      </x:c>
      <x:c r="C79" s="72" t="str">
        <x:f>IF(A79="","",COUNTIFS('Steam卖出对账'!$C$5:$C$1204,A79,'Steam卖出对账'!$I$5:$I$1204,"&gt;0"))</x:f>
      </x:c>
      <x:c r="D79" s="72" t="str">
        <x:f>IF($A79="","",SUMIFS('补仓对账'!$Q$5:$Q$1204,'补仓对账'!$B$5:$B$1204,$A79,'补仓对账'!$F$5:$F$1204,"C79成功"))</x:f>
      </x:c>
      <x:c r="E79" s="72" t="str">
        <x:f>IF($A79="","",SUMIFS('补仓对账'!$Q$5:$Q$1204,'补仓对账'!$B$5:$B$1204,$A79,'补仓对账'!$F$5:$F$1204,"手动完结"))</x:f>
      </x:c>
      <x:c r="F79" s="72" t="str">
        <x:f>IF($A79="","",SUMIFS('补仓对账'!$Q$5:$Q$1204,'补仓对账'!$B$5:$B$1204,$A79,'补仓对账'!$F$5:$F$1204,"C79发货确认中"))</x:f>
      </x:c>
      <x:c r="G79" s="72" t="str">
        <x:f>IF($A79="","",SUMIFS('补仓对账'!$Q$5:$Q$1204,'补仓对账'!$B$5:$B$1204,$A79,'补仓对账'!$F$5:$F$1204,"卖出待补仓"))</x:f>
      </x:c>
      <x:c r="H79" s="72" t="str">
        <x:f>IF($A79="","",SUMIFS('补仓对账'!$Q$5:$Q$1204,'补仓对账'!$B$5:$B$1204,$A79,'补仓对账'!$F$5:$F$1204,"提交结果待确认"))</x:f>
      </x:c>
      <x:c r="I79" s="72" t="str">
        <x:f>IF($A79="","",SUMIFS('补仓对账'!$Q$5:$Q$1204,'补仓对账'!$B$5:$B$1204,$A79,'补仓对账'!$F$5:$F$1204,"异常待处理"))</x:f>
      </x:c>
      <x:c r="J79" s="72" t="str">
        <x:f>IF(A79="","",SUM(D79:I79))</x:f>
      </x:c>
      <x:c r="K79" s="72" t="str">
        <x:f>IF(A79="","",C79-J79)</x:f>
      </x:c>
      <x:c r="L79" s="72" t="str">
        <x:f>IF(A79="","",D79+E79)</x:f>
      </x:c>
      <x:c r="M79" s="72" t="str">
        <x:f>IF(A79="","",F79+G79+H79+I79)</x:f>
      </x:c>
      <x:c r="N79" s="64" t="str">
        <x:f>IF(A79="","",IF(AND(B79=C79,K79=0),IF(M79=0,"最终库存已闭环","流向对平，仍有待办"),"检查"))</x:f>
      </x:c>
    </x:row>
    <x:row r="80">
      <x:c r="A80" s="73"/>
      <x:c r="B80" s="72" t="str">
        <x:f>IF(A80="","",COUNTIFS('Steam卖出对账'!$C$5:$C$1204,A80,'Steam卖出对账'!$H$5:$H$1204,"&gt;0"))</x:f>
      </x:c>
      <x:c r="C80" s="72" t="str">
        <x:f>IF(A80="","",COUNTIFS('Steam卖出对账'!$C$5:$C$1204,A80,'Steam卖出对账'!$I$5:$I$1204,"&gt;0"))</x:f>
      </x:c>
      <x:c r="D80" s="72" t="str">
        <x:f>IF($A80="","",SUMIFS('补仓对账'!$Q$5:$Q$1204,'补仓对账'!$B$5:$B$1204,$A80,'补仓对账'!$F$5:$F$1204,"C80成功"))</x:f>
      </x:c>
      <x:c r="E80" s="72" t="str">
        <x:f>IF($A80="","",SUMIFS('补仓对账'!$Q$5:$Q$1204,'补仓对账'!$B$5:$B$1204,$A80,'补仓对账'!$F$5:$F$1204,"手动完结"))</x:f>
      </x:c>
      <x:c r="F80" s="72" t="str">
        <x:f>IF($A80="","",SUMIFS('补仓对账'!$Q$5:$Q$1204,'补仓对账'!$B$5:$B$1204,$A80,'补仓对账'!$F$5:$F$1204,"C80发货确认中"))</x:f>
      </x:c>
      <x:c r="G80" s="72" t="str">
        <x:f>IF($A80="","",SUMIFS('补仓对账'!$Q$5:$Q$1204,'补仓对账'!$B$5:$B$1204,$A80,'补仓对账'!$F$5:$F$1204,"卖出待补仓"))</x:f>
      </x:c>
      <x:c r="H80" s="72" t="str">
        <x:f>IF($A80="","",SUMIFS('补仓对账'!$Q$5:$Q$1204,'补仓对账'!$B$5:$B$1204,$A80,'补仓对账'!$F$5:$F$1204,"提交结果待确认"))</x:f>
      </x:c>
      <x:c r="I80" s="72" t="str">
        <x:f>IF($A80="","",SUMIFS('补仓对账'!$Q$5:$Q$1204,'补仓对账'!$B$5:$B$1204,$A80,'补仓对账'!$F$5:$F$1204,"异常待处理"))</x:f>
      </x:c>
      <x:c r="J80" s="72" t="str">
        <x:f>IF(A80="","",SUM(D80:I80))</x:f>
      </x:c>
      <x:c r="K80" s="72" t="str">
        <x:f>IF(A80="","",C80-J80)</x:f>
      </x:c>
      <x:c r="L80" s="72" t="str">
        <x:f>IF(A80="","",D80+E80)</x:f>
      </x:c>
      <x:c r="M80" s="72" t="str">
        <x:f>IF(A80="","",F80+G80+H80+I80)</x:f>
      </x:c>
      <x:c r="N80" s="64" t="str">
        <x:f>IF(A80="","",IF(AND(B80=C80,K80=0),IF(M80=0,"最终库存已闭环","流向对平，仍有待办"),"检查"))</x:f>
      </x:c>
    </x:row>
    <x:row r="81">
      <x:c r="A81" s="73"/>
      <x:c r="B81" s="72" t="str">
        <x:f>IF(A81="","",COUNTIFS('Steam卖出对账'!$C$5:$C$1204,A81,'Steam卖出对账'!$H$5:$H$1204,"&gt;0"))</x:f>
      </x:c>
      <x:c r="C81" s="72" t="str">
        <x:f>IF(A81="","",COUNTIFS('Steam卖出对账'!$C$5:$C$1204,A81,'Steam卖出对账'!$I$5:$I$1204,"&gt;0"))</x:f>
      </x:c>
      <x:c r="D81" s="72" t="str">
        <x:f>IF($A81="","",SUMIFS('补仓对账'!$Q$5:$Q$1204,'补仓对账'!$B$5:$B$1204,$A81,'补仓对账'!$F$5:$F$1204,"C81成功"))</x:f>
      </x:c>
      <x:c r="E81" s="72" t="str">
        <x:f>IF($A81="","",SUMIFS('补仓对账'!$Q$5:$Q$1204,'补仓对账'!$B$5:$B$1204,$A81,'补仓对账'!$F$5:$F$1204,"手动完结"))</x:f>
      </x:c>
      <x:c r="F81" s="72" t="str">
        <x:f>IF($A81="","",SUMIFS('补仓对账'!$Q$5:$Q$1204,'补仓对账'!$B$5:$B$1204,$A81,'补仓对账'!$F$5:$F$1204,"C81发货确认中"))</x:f>
      </x:c>
      <x:c r="G81" s="72" t="str">
        <x:f>IF($A81="","",SUMIFS('补仓对账'!$Q$5:$Q$1204,'补仓对账'!$B$5:$B$1204,$A81,'补仓对账'!$F$5:$F$1204,"卖出待补仓"))</x:f>
      </x:c>
      <x:c r="H81" s="72" t="str">
        <x:f>IF($A81="","",SUMIFS('补仓对账'!$Q$5:$Q$1204,'补仓对账'!$B$5:$B$1204,$A81,'补仓对账'!$F$5:$F$1204,"提交结果待确认"))</x:f>
      </x:c>
      <x:c r="I81" s="72" t="str">
        <x:f>IF($A81="","",SUMIFS('补仓对账'!$Q$5:$Q$1204,'补仓对账'!$B$5:$B$1204,$A81,'补仓对账'!$F$5:$F$1204,"异常待处理"))</x:f>
      </x:c>
      <x:c r="J81" s="72" t="str">
        <x:f>IF(A81="","",SUM(D81:I81))</x:f>
      </x:c>
      <x:c r="K81" s="72" t="str">
        <x:f>IF(A81="","",C81-J81)</x:f>
      </x:c>
      <x:c r="L81" s="72" t="str">
        <x:f>IF(A81="","",D81+E81)</x:f>
      </x:c>
      <x:c r="M81" s="72" t="str">
        <x:f>IF(A81="","",F81+G81+H81+I81)</x:f>
      </x:c>
      <x:c r="N81" s="64" t="str">
        <x:f>IF(A81="","",IF(AND(B81=C81,K81=0),IF(M81=0,"最终库存已闭环","流向对平，仍有待办"),"检查"))</x:f>
      </x:c>
    </x:row>
    <x:row r="82">
      <x:c r="A82" s="73"/>
      <x:c r="B82" s="72" t="str">
        <x:f>IF(A82="","",COUNTIFS('Steam卖出对账'!$C$5:$C$1204,A82,'Steam卖出对账'!$H$5:$H$1204,"&gt;0"))</x:f>
      </x:c>
      <x:c r="C82" s="72" t="str">
        <x:f>IF(A82="","",COUNTIFS('Steam卖出对账'!$C$5:$C$1204,A82,'Steam卖出对账'!$I$5:$I$1204,"&gt;0"))</x:f>
      </x:c>
      <x:c r="D82" s="72" t="str">
        <x:f>IF($A82="","",SUMIFS('补仓对账'!$Q$5:$Q$1204,'补仓对账'!$B$5:$B$1204,$A82,'补仓对账'!$F$5:$F$1204,"C82成功"))</x:f>
      </x:c>
      <x:c r="E82" s="72" t="str">
        <x:f>IF($A82="","",SUMIFS('补仓对账'!$Q$5:$Q$1204,'补仓对账'!$B$5:$B$1204,$A82,'补仓对账'!$F$5:$F$1204,"手动完结"))</x:f>
      </x:c>
      <x:c r="F82" s="72" t="str">
        <x:f>IF($A82="","",SUMIFS('补仓对账'!$Q$5:$Q$1204,'补仓对账'!$B$5:$B$1204,$A82,'补仓对账'!$F$5:$F$1204,"C82发货确认中"))</x:f>
      </x:c>
      <x:c r="G82" s="72" t="str">
        <x:f>IF($A82="","",SUMIFS('补仓对账'!$Q$5:$Q$1204,'补仓对账'!$B$5:$B$1204,$A82,'补仓对账'!$F$5:$F$1204,"卖出待补仓"))</x:f>
      </x:c>
      <x:c r="H82" s="72" t="str">
        <x:f>IF($A82="","",SUMIFS('补仓对账'!$Q$5:$Q$1204,'补仓对账'!$B$5:$B$1204,$A82,'补仓对账'!$F$5:$F$1204,"提交结果待确认"))</x:f>
      </x:c>
      <x:c r="I82" s="72" t="str">
        <x:f>IF($A82="","",SUMIFS('补仓对账'!$Q$5:$Q$1204,'补仓对账'!$B$5:$B$1204,$A82,'补仓对账'!$F$5:$F$1204,"异常待处理"))</x:f>
      </x:c>
      <x:c r="J82" s="72" t="str">
        <x:f>IF(A82="","",SUM(D82:I82))</x:f>
      </x:c>
      <x:c r="K82" s="72" t="str">
        <x:f>IF(A82="","",C82-J82)</x:f>
      </x:c>
      <x:c r="L82" s="72" t="str">
        <x:f>IF(A82="","",D82+E82)</x:f>
      </x:c>
      <x:c r="M82" s="72" t="str">
        <x:f>IF(A82="","",F82+G82+H82+I82)</x:f>
      </x:c>
      <x:c r="N82" s="64" t="str">
        <x:f>IF(A82="","",IF(AND(B82=C82,K82=0),IF(M82=0,"最终库存已闭环","流向对平，仍有待办"),"检查"))</x:f>
      </x:c>
    </x:row>
    <x:row r="83">
      <x:c r="A83" s="73"/>
      <x:c r="B83" s="72" t="str">
        <x:f>IF(A83="","",COUNTIFS('Steam卖出对账'!$C$5:$C$1204,A83,'Steam卖出对账'!$H$5:$H$1204,"&gt;0"))</x:f>
      </x:c>
      <x:c r="C83" s="72" t="str">
        <x:f>IF(A83="","",COUNTIFS('Steam卖出对账'!$C$5:$C$1204,A83,'Steam卖出对账'!$I$5:$I$1204,"&gt;0"))</x:f>
      </x:c>
      <x:c r="D83" s="72" t="str">
        <x:f>IF($A83="","",SUMIFS('补仓对账'!$Q$5:$Q$1204,'补仓对账'!$B$5:$B$1204,$A83,'补仓对账'!$F$5:$F$1204,"C83成功"))</x:f>
      </x:c>
      <x:c r="E83" s="72" t="str">
        <x:f>IF($A83="","",SUMIFS('补仓对账'!$Q$5:$Q$1204,'补仓对账'!$B$5:$B$1204,$A83,'补仓对账'!$F$5:$F$1204,"手动完结"))</x:f>
      </x:c>
      <x:c r="F83" s="72" t="str">
        <x:f>IF($A83="","",SUMIFS('补仓对账'!$Q$5:$Q$1204,'补仓对账'!$B$5:$B$1204,$A83,'补仓对账'!$F$5:$F$1204,"C83发货确认中"))</x:f>
      </x:c>
      <x:c r="G83" s="72" t="str">
        <x:f>IF($A83="","",SUMIFS('补仓对账'!$Q$5:$Q$1204,'补仓对账'!$B$5:$B$1204,$A83,'补仓对账'!$F$5:$F$1204,"卖出待补仓"))</x:f>
      </x:c>
      <x:c r="H83" s="72" t="str">
        <x:f>IF($A83="","",SUMIFS('补仓对账'!$Q$5:$Q$1204,'补仓对账'!$B$5:$B$1204,$A83,'补仓对账'!$F$5:$F$1204,"提交结果待确认"))</x:f>
      </x:c>
      <x:c r="I83" s="72" t="str">
        <x:f>IF($A83="","",SUMIFS('补仓对账'!$Q$5:$Q$1204,'补仓对账'!$B$5:$B$1204,$A83,'补仓对账'!$F$5:$F$1204,"异常待处理"))</x:f>
      </x:c>
      <x:c r="J83" s="72" t="str">
        <x:f>IF(A83="","",SUM(D83:I83))</x:f>
      </x:c>
      <x:c r="K83" s="72" t="str">
        <x:f>IF(A83="","",C83-J83)</x:f>
      </x:c>
      <x:c r="L83" s="72" t="str">
        <x:f>IF(A83="","",D83+E83)</x:f>
      </x:c>
      <x:c r="M83" s="72" t="str">
        <x:f>IF(A83="","",F83+G83+H83+I83)</x:f>
      </x:c>
      <x:c r="N83" s="64" t="str">
        <x:f>IF(A83="","",IF(AND(B83=C83,K83=0),IF(M83=0,"最终库存已闭环","流向对平，仍有待办"),"检查"))</x:f>
      </x:c>
    </x:row>
    <x:row r="84">
      <x:c r="A84" s="73"/>
      <x:c r="B84" s="72" t="str">
        <x:f>IF(A84="","",COUNTIFS('Steam卖出对账'!$C$5:$C$1204,A84,'Steam卖出对账'!$H$5:$H$1204,"&gt;0"))</x:f>
      </x:c>
      <x:c r="C84" s="72" t="str">
        <x:f>IF(A84="","",COUNTIFS('Steam卖出对账'!$C$5:$C$1204,A84,'Steam卖出对账'!$I$5:$I$1204,"&gt;0"))</x:f>
      </x:c>
      <x:c r="D84" s="72" t="str">
        <x:f>IF($A84="","",SUMIFS('补仓对账'!$Q$5:$Q$1204,'补仓对账'!$B$5:$B$1204,$A84,'补仓对账'!$F$5:$F$1204,"C84成功"))</x:f>
      </x:c>
      <x:c r="E84" s="72" t="str">
        <x:f>IF($A84="","",SUMIFS('补仓对账'!$Q$5:$Q$1204,'补仓对账'!$B$5:$B$1204,$A84,'补仓对账'!$F$5:$F$1204,"手动完结"))</x:f>
      </x:c>
      <x:c r="F84" s="72" t="str">
        <x:f>IF($A84="","",SUMIFS('补仓对账'!$Q$5:$Q$1204,'补仓对账'!$B$5:$B$1204,$A84,'补仓对账'!$F$5:$F$1204,"C84发货确认中"))</x:f>
      </x:c>
      <x:c r="G84" s="72" t="str">
        <x:f>IF($A84="","",SUMIFS('补仓对账'!$Q$5:$Q$1204,'补仓对账'!$B$5:$B$1204,$A84,'补仓对账'!$F$5:$F$1204,"卖出待补仓"))</x:f>
      </x:c>
      <x:c r="H84" s="72" t="str">
        <x:f>IF($A84="","",SUMIFS('补仓对账'!$Q$5:$Q$1204,'补仓对账'!$B$5:$B$1204,$A84,'补仓对账'!$F$5:$F$1204,"提交结果待确认"))</x:f>
      </x:c>
      <x:c r="I84" s="72" t="str">
        <x:f>IF($A84="","",SUMIFS('补仓对账'!$Q$5:$Q$1204,'补仓对账'!$B$5:$B$1204,$A84,'补仓对账'!$F$5:$F$1204,"异常待处理"))</x:f>
      </x:c>
      <x:c r="J84" s="72" t="str">
        <x:f>IF(A84="","",SUM(D84:I84))</x:f>
      </x:c>
      <x:c r="K84" s="72" t="str">
        <x:f>IF(A84="","",C84-J84)</x:f>
      </x:c>
      <x:c r="L84" s="72" t="str">
        <x:f>IF(A84="","",D84+E84)</x:f>
      </x:c>
      <x:c r="M84" s="72" t="str">
        <x:f>IF(A84="","",F84+G84+H84+I84)</x:f>
      </x:c>
      <x:c r="N84" s="64" t="str">
        <x:f>IF(A84="","",IF(AND(B84=C84,K84=0),IF(M84=0,"最终库存已闭环","流向对平，仍有待办"),"检查"))</x:f>
      </x:c>
    </x:row>
    <x:row r="85">
      <x:c r="A85" s="73"/>
      <x:c r="B85" s="72" t="str">
        <x:f>IF(A85="","",COUNTIFS('Steam卖出对账'!$C$5:$C$1204,A85,'Steam卖出对账'!$H$5:$H$1204,"&gt;0"))</x:f>
      </x:c>
      <x:c r="C85" s="72" t="str">
        <x:f>IF(A85="","",COUNTIFS('Steam卖出对账'!$C$5:$C$1204,A85,'Steam卖出对账'!$I$5:$I$1204,"&gt;0"))</x:f>
      </x:c>
      <x:c r="D85" s="72" t="str">
        <x:f>IF($A85="","",SUMIFS('补仓对账'!$Q$5:$Q$1204,'补仓对账'!$B$5:$B$1204,$A85,'补仓对账'!$F$5:$F$1204,"C85成功"))</x:f>
      </x:c>
      <x:c r="E85" s="72" t="str">
        <x:f>IF($A85="","",SUMIFS('补仓对账'!$Q$5:$Q$1204,'补仓对账'!$B$5:$B$1204,$A85,'补仓对账'!$F$5:$F$1204,"手动完结"))</x:f>
      </x:c>
      <x:c r="F85" s="72" t="str">
        <x:f>IF($A85="","",SUMIFS('补仓对账'!$Q$5:$Q$1204,'补仓对账'!$B$5:$B$1204,$A85,'补仓对账'!$F$5:$F$1204,"C85发货确认中"))</x:f>
      </x:c>
      <x:c r="G85" s="72" t="str">
        <x:f>IF($A85="","",SUMIFS('补仓对账'!$Q$5:$Q$1204,'补仓对账'!$B$5:$B$1204,$A85,'补仓对账'!$F$5:$F$1204,"卖出待补仓"))</x:f>
      </x:c>
      <x:c r="H85" s="72" t="str">
        <x:f>IF($A85="","",SUMIFS('补仓对账'!$Q$5:$Q$1204,'补仓对账'!$B$5:$B$1204,$A85,'补仓对账'!$F$5:$F$1204,"提交结果待确认"))</x:f>
      </x:c>
      <x:c r="I85" s="72" t="str">
        <x:f>IF($A85="","",SUMIFS('补仓对账'!$Q$5:$Q$1204,'补仓对账'!$B$5:$B$1204,$A85,'补仓对账'!$F$5:$F$1204,"异常待处理"))</x:f>
      </x:c>
      <x:c r="J85" s="72" t="str">
        <x:f>IF(A85="","",SUM(D85:I85))</x:f>
      </x:c>
      <x:c r="K85" s="72" t="str">
        <x:f>IF(A85="","",C85-J85)</x:f>
      </x:c>
      <x:c r="L85" s="72" t="str">
        <x:f>IF(A85="","",D85+E85)</x:f>
      </x:c>
      <x:c r="M85" s="72" t="str">
        <x:f>IF(A85="","",F85+G85+H85+I85)</x:f>
      </x:c>
      <x:c r="N85" s="64" t="str">
        <x:f>IF(A85="","",IF(AND(B85=C85,K85=0),IF(M85=0,"最终库存已闭环","流向对平，仍有待办"),"检查"))</x:f>
      </x:c>
    </x:row>
    <x:row r="86">
      <x:c r="A86" s="73"/>
      <x:c r="B86" s="72" t="str">
        <x:f>IF(A86="","",COUNTIFS('Steam卖出对账'!$C$5:$C$1204,A86,'Steam卖出对账'!$H$5:$H$1204,"&gt;0"))</x:f>
      </x:c>
      <x:c r="C86" s="72" t="str">
        <x:f>IF(A86="","",COUNTIFS('Steam卖出对账'!$C$5:$C$1204,A86,'Steam卖出对账'!$I$5:$I$1204,"&gt;0"))</x:f>
      </x:c>
      <x:c r="D86" s="72" t="str">
        <x:f>IF($A86="","",SUMIFS('补仓对账'!$Q$5:$Q$1204,'补仓对账'!$B$5:$B$1204,$A86,'补仓对账'!$F$5:$F$1204,"C86成功"))</x:f>
      </x:c>
      <x:c r="E86" s="72" t="str">
        <x:f>IF($A86="","",SUMIFS('补仓对账'!$Q$5:$Q$1204,'补仓对账'!$B$5:$B$1204,$A86,'补仓对账'!$F$5:$F$1204,"手动完结"))</x:f>
      </x:c>
      <x:c r="F86" s="72" t="str">
        <x:f>IF($A86="","",SUMIFS('补仓对账'!$Q$5:$Q$1204,'补仓对账'!$B$5:$B$1204,$A86,'补仓对账'!$F$5:$F$1204,"C86发货确认中"))</x:f>
      </x:c>
      <x:c r="G86" s="72" t="str">
        <x:f>IF($A86="","",SUMIFS('补仓对账'!$Q$5:$Q$1204,'补仓对账'!$B$5:$B$1204,$A86,'补仓对账'!$F$5:$F$1204,"卖出待补仓"))</x:f>
      </x:c>
      <x:c r="H86" s="72" t="str">
        <x:f>IF($A86="","",SUMIFS('补仓对账'!$Q$5:$Q$1204,'补仓对账'!$B$5:$B$1204,$A86,'补仓对账'!$F$5:$F$1204,"提交结果待确认"))</x:f>
      </x:c>
      <x:c r="I86" s="72" t="str">
        <x:f>IF($A86="","",SUMIFS('补仓对账'!$Q$5:$Q$1204,'补仓对账'!$B$5:$B$1204,$A86,'补仓对账'!$F$5:$F$1204,"异常待处理"))</x:f>
      </x:c>
      <x:c r="J86" s="72" t="str">
        <x:f>IF(A86="","",SUM(D86:I86))</x:f>
      </x:c>
      <x:c r="K86" s="72" t="str">
        <x:f>IF(A86="","",C86-J86)</x:f>
      </x:c>
      <x:c r="L86" s="72" t="str">
        <x:f>IF(A86="","",D86+E86)</x:f>
      </x:c>
      <x:c r="M86" s="72" t="str">
        <x:f>IF(A86="","",F86+G86+H86+I86)</x:f>
      </x:c>
      <x:c r="N86" s="64" t="str">
        <x:f>IF(A86="","",IF(AND(B86=C86,K86=0),IF(M86=0,"最终库存已闭环","流向对平，仍有待办"),"检查"))</x:f>
      </x:c>
    </x:row>
    <x:row r="87">
      <x:c r="A87" s="73"/>
      <x:c r="B87" s="72" t="str">
        <x:f>IF(A87="","",COUNTIFS('Steam卖出对账'!$C$5:$C$1204,A87,'Steam卖出对账'!$H$5:$H$1204,"&gt;0"))</x:f>
      </x:c>
      <x:c r="C87" s="72" t="str">
        <x:f>IF(A87="","",COUNTIFS('Steam卖出对账'!$C$5:$C$1204,A87,'Steam卖出对账'!$I$5:$I$1204,"&gt;0"))</x:f>
      </x:c>
      <x:c r="D87" s="72" t="str">
        <x:f>IF($A87="","",SUMIFS('补仓对账'!$Q$5:$Q$1204,'补仓对账'!$B$5:$B$1204,$A87,'补仓对账'!$F$5:$F$1204,"C87成功"))</x:f>
      </x:c>
      <x:c r="E87" s="72" t="str">
        <x:f>IF($A87="","",SUMIFS('补仓对账'!$Q$5:$Q$1204,'补仓对账'!$B$5:$B$1204,$A87,'补仓对账'!$F$5:$F$1204,"手动完结"))</x:f>
      </x:c>
      <x:c r="F87" s="72" t="str">
        <x:f>IF($A87="","",SUMIFS('补仓对账'!$Q$5:$Q$1204,'补仓对账'!$B$5:$B$1204,$A87,'补仓对账'!$F$5:$F$1204,"C87发货确认中"))</x:f>
      </x:c>
      <x:c r="G87" s="72" t="str">
        <x:f>IF($A87="","",SUMIFS('补仓对账'!$Q$5:$Q$1204,'补仓对账'!$B$5:$B$1204,$A87,'补仓对账'!$F$5:$F$1204,"卖出待补仓"))</x:f>
      </x:c>
      <x:c r="H87" s="72" t="str">
        <x:f>IF($A87="","",SUMIFS('补仓对账'!$Q$5:$Q$1204,'补仓对账'!$B$5:$B$1204,$A87,'补仓对账'!$F$5:$F$1204,"提交结果待确认"))</x:f>
      </x:c>
      <x:c r="I87" s="72" t="str">
        <x:f>IF($A87="","",SUMIFS('补仓对账'!$Q$5:$Q$1204,'补仓对账'!$B$5:$B$1204,$A87,'补仓对账'!$F$5:$F$1204,"异常待处理"))</x:f>
      </x:c>
      <x:c r="J87" s="72" t="str">
        <x:f>IF(A87="","",SUM(D87:I87))</x:f>
      </x:c>
      <x:c r="K87" s="72" t="str">
        <x:f>IF(A87="","",C87-J87)</x:f>
      </x:c>
      <x:c r="L87" s="72" t="str">
        <x:f>IF(A87="","",D87+E87)</x:f>
      </x:c>
      <x:c r="M87" s="72" t="str">
        <x:f>IF(A87="","",F87+G87+H87+I87)</x:f>
      </x:c>
      <x:c r="N87" s="64" t="str">
        <x:f>IF(A87="","",IF(AND(B87=C87,K87=0),IF(M87=0,"最终库存已闭环","流向对平，仍有待办"),"检查"))</x:f>
      </x:c>
    </x:row>
    <x:row r="88">
      <x:c r="A88" s="73"/>
      <x:c r="B88" s="72" t="str">
        <x:f>IF(A88="","",COUNTIFS('Steam卖出对账'!$C$5:$C$1204,A88,'Steam卖出对账'!$H$5:$H$1204,"&gt;0"))</x:f>
      </x:c>
      <x:c r="C88" s="72" t="str">
        <x:f>IF(A88="","",COUNTIFS('Steam卖出对账'!$C$5:$C$1204,A88,'Steam卖出对账'!$I$5:$I$1204,"&gt;0"))</x:f>
      </x:c>
      <x:c r="D88" s="72" t="str">
        <x:f>IF($A88="","",SUMIFS('补仓对账'!$Q$5:$Q$1204,'补仓对账'!$B$5:$B$1204,$A88,'补仓对账'!$F$5:$F$1204,"C88成功"))</x:f>
      </x:c>
      <x:c r="E88" s="72" t="str">
        <x:f>IF($A88="","",SUMIFS('补仓对账'!$Q$5:$Q$1204,'补仓对账'!$B$5:$B$1204,$A88,'补仓对账'!$F$5:$F$1204,"手动完结"))</x:f>
      </x:c>
      <x:c r="F88" s="72" t="str">
        <x:f>IF($A88="","",SUMIFS('补仓对账'!$Q$5:$Q$1204,'补仓对账'!$B$5:$B$1204,$A88,'补仓对账'!$F$5:$F$1204,"C88发货确认中"))</x:f>
      </x:c>
      <x:c r="G88" s="72" t="str">
        <x:f>IF($A88="","",SUMIFS('补仓对账'!$Q$5:$Q$1204,'补仓对账'!$B$5:$B$1204,$A88,'补仓对账'!$F$5:$F$1204,"卖出待补仓"))</x:f>
      </x:c>
      <x:c r="H88" s="72" t="str">
        <x:f>IF($A88="","",SUMIFS('补仓对账'!$Q$5:$Q$1204,'补仓对账'!$B$5:$B$1204,$A88,'补仓对账'!$F$5:$F$1204,"提交结果待确认"))</x:f>
      </x:c>
      <x:c r="I88" s="72" t="str">
        <x:f>IF($A88="","",SUMIFS('补仓对账'!$Q$5:$Q$1204,'补仓对账'!$B$5:$B$1204,$A88,'补仓对账'!$F$5:$F$1204,"异常待处理"))</x:f>
      </x:c>
      <x:c r="J88" s="72" t="str">
        <x:f>IF(A88="","",SUM(D88:I88))</x:f>
      </x:c>
      <x:c r="K88" s="72" t="str">
        <x:f>IF(A88="","",C88-J88)</x:f>
      </x:c>
      <x:c r="L88" s="72" t="str">
        <x:f>IF(A88="","",D88+E88)</x:f>
      </x:c>
      <x:c r="M88" s="72" t="str">
        <x:f>IF(A88="","",F88+G88+H88+I88)</x:f>
      </x:c>
      <x:c r="N88" s="64" t="str">
        <x:f>IF(A88="","",IF(AND(B88=C88,K88=0),IF(M88=0,"最终库存已闭环","流向对平，仍有待办"),"检查"))</x:f>
      </x:c>
    </x:row>
    <x:row r="89">
      <x:c r="A89" s="73"/>
      <x:c r="B89" s="72" t="str">
        <x:f>IF(A89="","",COUNTIFS('Steam卖出对账'!$C$5:$C$1204,A89,'Steam卖出对账'!$H$5:$H$1204,"&gt;0"))</x:f>
      </x:c>
      <x:c r="C89" s="72" t="str">
        <x:f>IF(A89="","",COUNTIFS('Steam卖出对账'!$C$5:$C$1204,A89,'Steam卖出对账'!$I$5:$I$1204,"&gt;0"))</x:f>
      </x:c>
      <x:c r="D89" s="72" t="str">
        <x:f>IF($A89="","",SUMIFS('补仓对账'!$Q$5:$Q$1204,'补仓对账'!$B$5:$B$1204,$A89,'补仓对账'!$F$5:$F$1204,"C89成功"))</x:f>
      </x:c>
      <x:c r="E89" s="72" t="str">
        <x:f>IF($A89="","",SUMIFS('补仓对账'!$Q$5:$Q$1204,'补仓对账'!$B$5:$B$1204,$A89,'补仓对账'!$F$5:$F$1204,"手动完结"))</x:f>
      </x:c>
      <x:c r="F89" s="72" t="str">
        <x:f>IF($A89="","",SUMIFS('补仓对账'!$Q$5:$Q$1204,'补仓对账'!$B$5:$B$1204,$A89,'补仓对账'!$F$5:$F$1204,"C89发货确认中"))</x:f>
      </x:c>
      <x:c r="G89" s="72" t="str">
        <x:f>IF($A89="","",SUMIFS('补仓对账'!$Q$5:$Q$1204,'补仓对账'!$B$5:$B$1204,$A89,'补仓对账'!$F$5:$F$1204,"卖出待补仓"))</x:f>
      </x:c>
      <x:c r="H89" s="72" t="str">
        <x:f>IF($A89="","",SUMIFS('补仓对账'!$Q$5:$Q$1204,'补仓对账'!$B$5:$B$1204,$A89,'补仓对账'!$F$5:$F$1204,"提交结果待确认"))</x:f>
      </x:c>
      <x:c r="I89" s="72" t="str">
        <x:f>IF($A89="","",SUMIFS('补仓对账'!$Q$5:$Q$1204,'补仓对账'!$B$5:$B$1204,$A89,'补仓对账'!$F$5:$F$1204,"异常待处理"))</x:f>
      </x:c>
      <x:c r="J89" s="72" t="str">
        <x:f>IF(A89="","",SUM(D89:I89))</x:f>
      </x:c>
      <x:c r="K89" s="72" t="str">
        <x:f>IF(A89="","",C89-J89)</x:f>
      </x:c>
      <x:c r="L89" s="72" t="str">
        <x:f>IF(A89="","",D89+E89)</x:f>
      </x:c>
      <x:c r="M89" s="72" t="str">
        <x:f>IF(A89="","",F89+G89+H89+I89)</x:f>
      </x:c>
      <x:c r="N89" s="64" t="str">
        <x:f>IF(A89="","",IF(AND(B89=C89,K89=0),IF(M89=0,"最终库存已闭环","流向对平，仍有待办"),"检查"))</x:f>
      </x:c>
    </x:row>
    <x:row r="90">
      <x:c r="A90" s="73"/>
      <x:c r="B90" s="72" t="str">
        <x:f>IF(A90="","",COUNTIFS('Steam卖出对账'!$C$5:$C$1204,A90,'Steam卖出对账'!$H$5:$H$1204,"&gt;0"))</x:f>
      </x:c>
      <x:c r="C90" s="72" t="str">
        <x:f>IF(A90="","",COUNTIFS('Steam卖出对账'!$C$5:$C$1204,A90,'Steam卖出对账'!$I$5:$I$1204,"&gt;0"))</x:f>
      </x:c>
      <x:c r="D90" s="72" t="str">
        <x:f>IF($A90="","",SUMIFS('补仓对账'!$Q$5:$Q$1204,'补仓对账'!$B$5:$B$1204,$A90,'补仓对账'!$F$5:$F$1204,"C90成功"))</x:f>
      </x:c>
      <x:c r="E90" s="72" t="str">
        <x:f>IF($A90="","",SUMIFS('补仓对账'!$Q$5:$Q$1204,'补仓对账'!$B$5:$B$1204,$A90,'补仓对账'!$F$5:$F$1204,"手动完结"))</x:f>
      </x:c>
      <x:c r="F90" s="72" t="str">
        <x:f>IF($A90="","",SUMIFS('补仓对账'!$Q$5:$Q$1204,'补仓对账'!$B$5:$B$1204,$A90,'补仓对账'!$F$5:$F$1204,"C90发货确认中"))</x:f>
      </x:c>
      <x:c r="G90" s="72" t="str">
        <x:f>IF($A90="","",SUMIFS('补仓对账'!$Q$5:$Q$1204,'补仓对账'!$B$5:$B$1204,$A90,'补仓对账'!$F$5:$F$1204,"卖出待补仓"))</x:f>
      </x:c>
      <x:c r="H90" s="72" t="str">
        <x:f>IF($A90="","",SUMIFS('补仓对账'!$Q$5:$Q$1204,'补仓对账'!$B$5:$B$1204,$A90,'补仓对账'!$F$5:$F$1204,"提交结果待确认"))</x:f>
      </x:c>
      <x:c r="I90" s="72" t="str">
        <x:f>IF($A90="","",SUMIFS('补仓对账'!$Q$5:$Q$1204,'补仓对账'!$B$5:$B$1204,$A90,'补仓对账'!$F$5:$F$1204,"异常待处理"))</x:f>
      </x:c>
      <x:c r="J90" s="72" t="str">
        <x:f>IF(A90="","",SUM(D90:I90))</x:f>
      </x:c>
      <x:c r="K90" s="72" t="str">
        <x:f>IF(A90="","",C90-J90)</x:f>
      </x:c>
      <x:c r="L90" s="72" t="str">
        <x:f>IF(A90="","",D90+E90)</x:f>
      </x:c>
      <x:c r="M90" s="72" t="str">
        <x:f>IF(A90="","",F90+G90+H90+I90)</x:f>
      </x:c>
      <x:c r="N90" s="64" t="str">
        <x:f>IF(A90="","",IF(AND(B90=C90,K90=0),IF(M90=0,"最终库存已闭环","流向对平，仍有待办"),"检查"))</x:f>
      </x:c>
    </x:row>
    <x:row r="91">
      <x:c r="A91" s="73"/>
      <x:c r="B91" s="72" t="str">
        <x:f>IF(A91="","",COUNTIFS('Steam卖出对账'!$C$5:$C$1204,A91,'Steam卖出对账'!$H$5:$H$1204,"&gt;0"))</x:f>
      </x:c>
      <x:c r="C91" s="72" t="str">
        <x:f>IF(A91="","",COUNTIFS('Steam卖出对账'!$C$5:$C$1204,A91,'Steam卖出对账'!$I$5:$I$1204,"&gt;0"))</x:f>
      </x:c>
      <x:c r="D91" s="72" t="str">
        <x:f>IF($A91="","",SUMIFS('补仓对账'!$Q$5:$Q$1204,'补仓对账'!$B$5:$B$1204,$A91,'补仓对账'!$F$5:$F$1204,"C91成功"))</x:f>
      </x:c>
      <x:c r="E91" s="72" t="str">
        <x:f>IF($A91="","",SUMIFS('补仓对账'!$Q$5:$Q$1204,'补仓对账'!$B$5:$B$1204,$A91,'补仓对账'!$F$5:$F$1204,"手动完结"))</x:f>
      </x:c>
      <x:c r="F91" s="72" t="str">
        <x:f>IF($A91="","",SUMIFS('补仓对账'!$Q$5:$Q$1204,'补仓对账'!$B$5:$B$1204,$A91,'补仓对账'!$F$5:$F$1204,"C91发货确认中"))</x:f>
      </x:c>
      <x:c r="G91" s="72" t="str">
        <x:f>IF($A91="","",SUMIFS('补仓对账'!$Q$5:$Q$1204,'补仓对账'!$B$5:$B$1204,$A91,'补仓对账'!$F$5:$F$1204,"卖出待补仓"))</x:f>
      </x:c>
      <x:c r="H91" s="72" t="str">
        <x:f>IF($A91="","",SUMIFS('补仓对账'!$Q$5:$Q$1204,'补仓对账'!$B$5:$B$1204,$A91,'补仓对账'!$F$5:$F$1204,"提交结果待确认"))</x:f>
      </x:c>
      <x:c r="I91" s="72" t="str">
        <x:f>IF($A91="","",SUMIFS('补仓对账'!$Q$5:$Q$1204,'补仓对账'!$B$5:$B$1204,$A91,'补仓对账'!$F$5:$F$1204,"异常待处理"))</x:f>
      </x:c>
      <x:c r="J91" s="72" t="str">
        <x:f>IF(A91="","",SUM(D91:I91))</x:f>
      </x:c>
      <x:c r="K91" s="72" t="str">
        <x:f>IF(A91="","",C91-J91)</x:f>
      </x:c>
      <x:c r="L91" s="72" t="str">
        <x:f>IF(A91="","",D91+E91)</x:f>
      </x:c>
      <x:c r="M91" s="72" t="str">
        <x:f>IF(A91="","",F91+G91+H91+I91)</x:f>
      </x:c>
      <x:c r="N91" s="64" t="str">
        <x:f>IF(A91="","",IF(AND(B91=C91,K91=0),IF(M91=0,"最终库存已闭环","流向对平，仍有待办"),"检查"))</x:f>
      </x:c>
    </x:row>
    <x:row r="92">
      <x:c r="A92" s="73"/>
      <x:c r="B92" s="72" t="str">
        <x:f>IF(A92="","",COUNTIFS('Steam卖出对账'!$C$5:$C$1204,A92,'Steam卖出对账'!$H$5:$H$1204,"&gt;0"))</x:f>
      </x:c>
      <x:c r="C92" s="72" t="str">
        <x:f>IF(A92="","",COUNTIFS('Steam卖出对账'!$C$5:$C$1204,A92,'Steam卖出对账'!$I$5:$I$1204,"&gt;0"))</x:f>
      </x:c>
      <x:c r="D92" s="72" t="str">
        <x:f>IF($A92="","",SUMIFS('补仓对账'!$Q$5:$Q$1204,'补仓对账'!$B$5:$B$1204,$A92,'补仓对账'!$F$5:$F$1204,"C92成功"))</x:f>
      </x:c>
      <x:c r="E92" s="72" t="str">
        <x:f>IF($A92="","",SUMIFS('补仓对账'!$Q$5:$Q$1204,'补仓对账'!$B$5:$B$1204,$A92,'补仓对账'!$F$5:$F$1204,"手动完结"))</x:f>
      </x:c>
      <x:c r="F92" s="72" t="str">
        <x:f>IF($A92="","",SUMIFS('补仓对账'!$Q$5:$Q$1204,'补仓对账'!$B$5:$B$1204,$A92,'补仓对账'!$F$5:$F$1204,"C92发货确认中"))</x:f>
      </x:c>
      <x:c r="G92" s="72" t="str">
        <x:f>IF($A92="","",SUMIFS('补仓对账'!$Q$5:$Q$1204,'补仓对账'!$B$5:$B$1204,$A92,'补仓对账'!$F$5:$F$1204,"卖出待补仓"))</x:f>
      </x:c>
      <x:c r="H92" s="72" t="str">
        <x:f>IF($A92="","",SUMIFS('补仓对账'!$Q$5:$Q$1204,'补仓对账'!$B$5:$B$1204,$A92,'补仓对账'!$F$5:$F$1204,"提交结果待确认"))</x:f>
      </x:c>
      <x:c r="I92" s="72" t="str">
        <x:f>IF($A92="","",SUMIFS('补仓对账'!$Q$5:$Q$1204,'补仓对账'!$B$5:$B$1204,$A92,'补仓对账'!$F$5:$F$1204,"异常待处理"))</x:f>
      </x:c>
      <x:c r="J92" s="72" t="str">
        <x:f>IF(A92="","",SUM(D92:I92))</x:f>
      </x:c>
      <x:c r="K92" s="72" t="str">
        <x:f>IF(A92="","",C92-J92)</x:f>
      </x:c>
      <x:c r="L92" s="72" t="str">
        <x:f>IF(A92="","",D92+E92)</x:f>
      </x:c>
      <x:c r="M92" s="72" t="str">
        <x:f>IF(A92="","",F92+G92+H92+I92)</x:f>
      </x:c>
      <x:c r="N92" s="64" t="str">
        <x:f>IF(A92="","",IF(AND(B92=C92,K92=0),IF(M92=0,"最终库存已闭环","流向对平，仍有待办"),"检查"))</x:f>
      </x:c>
    </x:row>
    <x:row r="93">
      <x:c r="A93" s="73"/>
      <x:c r="B93" s="72" t="str">
        <x:f>IF(A93="","",COUNTIFS('Steam卖出对账'!$C$5:$C$1204,A93,'Steam卖出对账'!$H$5:$H$1204,"&gt;0"))</x:f>
      </x:c>
      <x:c r="C93" s="72" t="str">
        <x:f>IF(A93="","",COUNTIFS('Steam卖出对账'!$C$5:$C$1204,A93,'Steam卖出对账'!$I$5:$I$1204,"&gt;0"))</x:f>
      </x:c>
      <x:c r="D93" s="72" t="str">
        <x:f>IF($A93="","",SUMIFS('补仓对账'!$Q$5:$Q$1204,'补仓对账'!$B$5:$B$1204,$A93,'补仓对账'!$F$5:$F$1204,"C93成功"))</x:f>
      </x:c>
      <x:c r="E93" s="72" t="str">
        <x:f>IF($A93="","",SUMIFS('补仓对账'!$Q$5:$Q$1204,'补仓对账'!$B$5:$B$1204,$A93,'补仓对账'!$F$5:$F$1204,"手动完结"))</x:f>
      </x:c>
      <x:c r="F93" s="72" t="str">
        <x:f>IF($A93="","",SUMIFS('补仓对账'!$Q$5:$Q$1204,'补仓对账'!$B$5:$B$1204,$A93,'补仓对账'!$F$5:$F$1204,"C93发货确认中"))</x:f>
      </x:c>
      <x:c r="G93" s="72" t="str">
        <x:f>IF($A93="","",SUMIFS('补仓对账'!$Q$5:$Q$1204,'补仓对账'!$B$5:$B$1204,$A93,'补仓对账'!$F$5:$F$1204,"卖出待补仓"))</x:f>
      </x:c>
      <x:c r="H93" s="72" t="str">
        <x:f>IF($A93="","",SUMIFS('补仓对账'!$Q$5:$Q$1204,'补仓对账'!$B$5:$B$1204,$A93,'补仓对账'!$F$5:$F$1204,"提交结果待确认"))</x:f>
      </x:c>
      <x:c r="I93" s="72" t="str">
        <x:f>IF($A93="","",SUMIFS('补仓对账'!$Q$5:$Q$1204,'补仓对账'!$B$5:$B$1204,$A93,'补仓对账'!$F$5:$F$1204,"异常待处理"))</x:f>
      </x:c>
      <x:c r="J93" s="72" t="str">
        <x:f>IF(A93="","",SUM(D93:I93))</x:f>
      </x:c>
      <x:c r="K93" s="72" t="str">
        <x:f>IF(A93="","",C93-J93)</x:f>
      </x:c>
      <x:c r="L93" s="72" t="str">
        <x:f>IF(A93="","",D93+E93)</x:f>
      </x:c>
      <x:c r="M93" s="72" t="str">
        <x:f>IF(A93="","",F93+G93+H93+I93)</x:f>
      </x:c>
      <x:c r="N93" s="64" t="str">
        <x:f>IF(A93="","",IF(AND(B93=C93,K93=0),IF(M93=0,"最终库存已闭环","流向对平，仍有待办"),"检查"))</x:f>
      </x:c>
    </x:row>
    <x:row r="94">
      <x:c r="A94" s="73"/>
      <x:c r="B94" s="72" t="str">
        <x:f>IF(A94="","",COUNTIFS('Steam卖出对账'!$C$5:$C$1204,A94,'Steam卖出对账'!$H$5:$H$1204,"&gt;0"))</x:f>
      </x:c>
      <x:c r="C94" s="72" t="str">
        <x:f>IF(A94="","",COUNTIFS('Steam卖出对账'!$C$5:$C$1204,A94,'Steam卖出对账'!$I$5:$I$1204,"&gt;0"))</x:f>
      </x:c>
      <x:c r="D94" s="72" t="str">
        <x:f>IF($A94="","",SUMIFS('补仓对账'!$Q$5:$Q$1204,'补仓对账'!$B$5:$B$1204,$A94,'补仓对账'!$F$5:$F$1204,"C94成功"))</x:f>
      </x:c>
      <x:c r="E94" s="72" t="str">
        <x:f>IF($A94="","",SUMIFS('补仓对账'!$Q$5:$Q$1204,'补仓对账'!$B$5:$B$1204,$A94,'补仓对账'!$F$5:$F$1204,"手动完结"))</x:f>
      </x:c>
      <x:c r="F94" s="72" t="str">
        <x:f>IF($A94="","",SUMIFS('补仓对账'!$Q$5:$Q$1204,'补仓对账'!$B$5:$B$1204,$A94,'补仓对账'!$F$5:$F$1204,"C94发货确认中"))</x:f>
      </x:c>
      <x:c r="G94" s="72" t="str">
        <x:f>IF($A94="","",SUMIFS('补仓对账'!$Q$5:$Q$1204,'补仓对账'!$B$5:$B$1204,$A94,'补仓对账'!$F$5:$F$1204,"卖出待补仓"))</x:f>
      </x:c>
      <x:c r="H94" s="72" t="str">
        <x:f>IF($A94="","",SUMIFS('补仓对账'!$Q$5:$Q$1204,'补仓对账'!$B$5:$B$1204,$A94,'补仓对账'!$F$5:$F$1204,"提交结果待确认"))</x:f>
      </x:c>
      <x:c r="I94" s="72" t="str">
        <x:f>IF($A94="","",SUMIFS('补仓对账'!$Q$5:$Q$1204,'补仓对账'!$B$5:$B$1204,$A94,'补仓对账'!$F$5:$F$1204,"异常待处理"))</x:f>
      </x:c>
      <x:c r="J94" s="72" t="str">
        <x:f>IF(A94="","",SUM(D94:I94))</x:f>
      </x:c>
      <x:c r="K94" s="72" t="str">
        <x:f>IF(A94="","",C94-J94)</x:f>
      </x:c>
      <x:c r="L94" s="72" t="str">
        <x:f>IF(A94="","",D94+E94)</x:f>
      </x:c>
      <x:c r="M94" s="72" t="str">
        <x:f>IF(A94="","",F94+G94+H94+I94)</x:f>
      </x:c>
      <x:c r="N94" s="64" t="str">
        <x:f>IF(A94="","",IF(AND(B94=C94,K94=0),IF(M94=0,"最终库存已闭环","流向对平，仍有待办"),"检查"))</x:f>
      </x:c>
    </x:row>
    <x:row r="95">
      <x:c r="A95" s="73"/>
      <x:c r="B95" s="72" t="str">
        <x:f>IF(A95="","",COUNTIFS('Steam卖出对账'!$C$5:$C$1204,A95,'Steam卖出对账'!$H$5:$H$1204,"&gt;0"))</x:f>
      </x:c>
      <x:c r="C95" s="72" t="str">
        <x:f>IF(A95="","",COUNTIFS('Steam卖出对账'!$C$5:$C$1204,A95,'Steam卖出对账'!$I$5:$I$1204,"&gt;0"))</x:f>
      </x:c>
      <x:c r="D95" s="72" t="str">
        <x:f>IF($A95="","",SUMIFS('补仓对账'!$Q$5:$Q$1204,'补仓对账'!$B$5:$B$1204,$A95,'补仓对账'!$F$5:$F$1204,"C95成功"))</x:f>
      </x:c>
      <x:c r="E95" s="72" t="str">
        <x:f>IF($A95="","",SUMIFS('补仓对账'!$Q$5:$Q$1204,'补仓对账'!$B$5:$B$1204,$A95,'补仓对账'!$F$5:$F$1204,"手动完结"))</x:f>
      </x:c>
      <x:c r="F95" s="72" t="str">
        <x:f>IF($A95="","",SUMIFS('补仓对账'!$Q$5:$Q$1204,'补仓对账'!$B$5:$B$1204,$A95,'补仓对账'!$F$5:$F$1204,"C95发货确认中"))</x:f>
      </x:c>
      <x:c r="G95" s="72" t="str">
        <x:f>IF($A95="","",SUMIFS('补仓对账'!$Q$5:$Q$1204,'补仓对账'!$B$5:$B$1204,$A95,'补仓对账'!$F$5:$F$1204,"卖出待补仓"))</x:f>
      </x:c>
      <x:c r="H95" s="72" t="str">
        <x:f>IF($A95="","",SUMIFS('补仓对账'!$Q$5:$Q$1204,'补仓对账'!$B$5:$B$1204,$A95,'补仓对账'!$F$5:$F$1204,"提交结果待确认"))</x:f>
      </x:c>
      <x:c r="I95" s="72" t="str">
        <x:f>IF($A95="","",SUMIFS('补仓对账'!$Q$5:$Q$1204,'补仓对账'!$B$5:$B$1204,$A95,'补仓对账'!$F$5:$F$1204,"异常待处理"))</x:f>
      </x:c>
      <x:c r="J95" s="72" t="str">
        <x:f>IF(A95="","",SUM(D95:I95))</x:f>
      </x:c>
      <x:c r="K95" s="72" t="str">
        <x:f>IF(A95="","",C95-J95)</x:f>
      </x:c>
      <x:c r="L95" s="72" t="str">
        <x:f>IF(A95="","",D95+E95)</x:f>
      </x:c>
      <x:c r="M95" s="72" t="str">
        <x:f>IF(A95="","",F95+G95+H95+I95)</x:f>
      </x:c>
      <x:c r="N95" s="64" t="str">
        <x:f>IF(A95="","",IF(AND(B95=C95,K95=0),IF(M95=0,"最终库存已闭环","流向对平，仍有待办"),"检查"))</x:f>
      </x:c>
    </x:row>
    <x:row r="96">
      <x:c r="A96" s="73"/>
      <x:c r="B96" s="72" t="str">
        <x:f>IF(A96="","",COUNTIFS('Steam卖出对账'!$C$5:$C$1204,A96,'Steam卖出对账'!$H$5:$H$1204,"&gt;0"))</x:f>
      </x:c>
      <x:c r="C96" s="72" t="str">
        <x:f>IF(A96="","",COUNTIFS('Steam卖出对账'!$C$5:$C$1204,A96,'Steam卖出对账'!$I$5:$I$1204,"&gt;0"))</x:f>
      </x:c>
      <x:c r="D96" s="72" t="str">
        <x:f>IF($A96="","",SUMIFS('补仓对账'!$Q$5:$Q$1204,'补仓对账'!$B$5:$B$1204,$A96,'补仓对账'!$F$5:$F$1204,"C96成功"))</x:f>
      </x:c>
      <x:c r="E96" s="72" t="str">
        <x:f>IF($A96="","",SUMIFS('补仓对账'!$Q$5:$Q$1204,'补仓对账'!$B$5:$B$1204,$A96,'补仓对账'!$F$5:$F$1204,"手动完结"))</x:f>
      </x:c>
      <x:c r="F96" s="72" t="str">
        <x:f>IF($A96="","",SUMIFS('补仓对账'!$Q$5:$Q$1204,'补仓对账'!$B$5:$B$1204,$A96,'补仓对账'!$F$5:$F$1204,"C96发货确认中"))</x:f>
      </x:c>
      <x:c r="G96" s="72" t="str">
        <x:f>IF($A96="","",SUMIFS('补仓对账'!$Q$5:$Q$1204,'补仓对账'!$B$5:$B$1204,$A96,'补仓对账'!$F$5:$F$1204,"卖出待补仓"))</x:f>
      </x:c>
      <x:c r="H96" s="72" t="str">
        <x:f>IF($A96="","",SUMIFS('补仓对账'!$Q$5:$Q$1204,'补仓对账'!$B$5:$B$1204,$A96,'补仓对账'!$F$5:$F$1204,"提交结果待确认"))</x:f>
      </x:c>
      <x:c r="I96" s="72" t="str">
        <x:f>IF($A96="","",SUMIFS('补仓对账'!$Q$5:$Q$1204,'补仓对账'!$B$5:$B$1204,$A96,'补仓对账'!$F$5:$F$1204,"异常待处理"))</x:f>
      </x:c>
      <x:c r="J96" s="72" t="str">
        <x:f>IF(A96="","",SUM(D96:I96))</x:f>
      </x:c>
      <x:c r="K96" s="72" t="str">
        <x:f>IF(A96="","",C96-J96)</x:f>
      </x:c>
      <x:c r="L96" s="72" t="str">
        <x:f>IF(A96="","",D96+E96)</x:f>
      </x:c>
      <x:c r="M96" s="72" t="str">
        <x:f>IF(A96="","",F96+G96+H96+I96)</x:f>
      </x:c>
      <x:c r="N96" s="64" t="str">
        <x:f>IF(A96="","",IF(AND(B96=C96,K96=0),IF(M96=0,"最终库存已闭环","流向对平，仍有待办"),"检查"))</x:f>
      </x:c>
    </x:row>
    <x:row r="97">
      <x:c r="A97" s="73"/>
      <x:c r="B97" s="72" t="str">
        <x:f>IF(A97="","",COUNTIFS('Steam卖出对账'!$C$5:$C$1204,A97,'Steam卖出对账'!$H$5:$H$1204,"&gt;0"))</x:f>
      </x:c>
      <x:c r="C97" s="72" t="str">
        <x:f>IF(A97="","",COUNTIFS('Steam卖出对账'!$C$5:$C$1204,A97,'Steam卖出对账'!$I$5:$I$1204,"&gt;0"))</x:f>
      </x:c>
      <x:c r="D97" s="72" t="str">
        <x:f>IF($A97="","",SUMIFS('补仓对账'!$Q$5:$Q$1204,'补仓对账'!$B$5:$B$1204,$A97,'补仓对账'!$F$5:$F$1204,"C97成功"))</x:f>
      </x:c>
      <x:c r="E97" s="72" t="str">
        <x:f>IF($A97="","",SUMIFS('补仓对账'!$Q$5:$Q$1204,'补仓对账'!$B$5:$B$1204,$A97,'补仓对账'!$F$5:$F$1204,"手动完结"))</x:f>
      </x:c>
      <x:c r="F97" s="72" t="str">
        <x:f>IF($A97="","",SUMIFS('补仓对账'!$Q$5:$Q$1204,'补仓对账'!$B$5:$B$1204,$A97,'补仓对账'!$F$5:$F$1204,"C97发货确认中"))</x:f>
      </x:c>
      <x:c r="G97" s="72" t="str">
        <x:f>IF($A97="","",SUMIFS('补仓对账'!$Q$5:$Q$1204,'补仓对账'!$B$5:$B$1204,$A97,'补仓对账'!$F$5:$F$1204,"卖出待补仓"))</x:f>
      </x:c>
      <x:c r="H97" s="72" t="str">
        <x:f>IF($A97="","",SUMIFS('补仓对账'!$Q$5:$Q$1204,'补仓对账'!$B$5:$B$1204,$A97,'补仓对账'!$F$5:$F$1204,"提交结果待确认"))</x:f>
      </x:c>
      <x:c r="I97" s="72" t="str">
        <x:f>IF($A97="","",SUMIFS('补仓对账'!$Q$5:$Q$1204,'补仓对账'!$B$5:$B$1204,$A97,'补仓对账'!$F$5:$F$1204,"异常待处理"))</x:f>
      </x:c>
      <x:c r="J97" s="72" t="str">
        <x:f>IF(A97="","",SUM(D97:I97))</x:f>
      </x:c>
      <x:c r="K97" s="72" t="str">
        <x:f>IF(A97="","",C97-J97)</x:f>
      </x:c>
      <x:c r="L97" s="72" t="str">
        <x:f>IF(A97="","",D97+E97)</x:f>
      </x:c>
      <x:c r="M97" s="72" t="str">
        <x:f>IF(A97="","",F97+G97+H97+I97)</x:f>
      </x:c>
      <x:c r="N97" s="64" t="str">
        <x:f>IF(A97="","",IF(AND(B97=C97,K97=0),IF(M97=0,"最终库存已闭环","流向对平，仍有待办"),"检查"))</x:f>
      </x:c>
    </x:row>
    <x:row r="98">
      <x:c r="A98" s="73"/>
      <x:c r="B98" s="72" t="str">
        <x:f>IF(A98="","",COUNTIFS('Steam卖出对账'!$C$5:$C$1204,A98,'Steam卖出对账'!$H$5:$H$1204,"&gt;0"))</x:f>
      </x:c>
      <x:c r="C98" s="72" t="str">
        <x:f>IF(A98="","",COUNTIFS('Steam卖出对账'!$C$5:$C$1204,A98,'Steam卖出对账'!$I$5:$I$1204,"&gt;0"))</x:f>
      </x:c>
      <x:c r="D98" s="72" t="str">
        <x:f>IF($A98="","",SUMIFS('补仓对账'!$Q$5:$Q$1204,'补仓对账'!$B$5:$B$1204,$A98,'补仓对账'!$F$5:$F$1204,"C98成功"))</x:f>
      </x:c>
      <x:c r="E98" s="72" t="str">
        <x:f>IF($A98="","",SUMIFS('补仓对账'!$Q$5:$Q$1204,'补仓对账'!$B$5:$B$1204,$A98,'补仓对账'!$F$5:$F$1204,"手动完结"))</x:f>
      </x:c>
      <x:c r="F98" s="72" t="str">
        <x:f>IF($A98="","",SUMIFS('补仓对账'!$Q$5:$Q$1204,'补仓对账'!$B$5:$B$1204,$A98,'补仓对账'!$F$5:$F$1204,"C98发货确认中"))</x:f>
      </x:c>
      <x:c r="G98" s="72" t="str">
        <x:f>IF($A98="","",SUMIFS('补仓对账'!$Q$5:$Q$1204,'补仓对账'!$B$5:$B$1204,$A98,'补仓对账'!$F$5:$F$1204,"卖出待补仓"))</x:f>
      </x:c>
      <x:c r="H98" s="72" t="str">
        <x:f>IF($A98="","",SUMIFS('补仓对账'!$Q$5:$Q$1204,'补仓对账'!$B$5:$B$1204,$A98,'补仓对账'!$F$5:$F$1204,"提交结果待确认"))</x:f>
      </x:c>
      <x:c r="I98" s="72" t="str">
        <x:f>IF($A98="","",SUMIFS('补仓对账'!$Q$5:$Q$1204,'补仓对账'!$B$5:$B$1204,$A98,'补仓对账'!$F$5:$F$1204,"异常待处理"))</x:f>
      </x:c>
      <x:c r="J98" s="72" t="str">
        <x:f>IF(A98="","",SUM(D98:I98))</x:f>
      </x:c>
      <x:c r="K98" s="72" t="str">
        <x:f>IF(A98="","",C98-J98)</x:f>
      </x:c>
      <x:c r="L98" s="72" t="str">
        <x:f>IF(A98="","",D98+E98)</x:f>
      </x:c>
      <x:c r="M98" s="72" t="str">
        <x:f>IF(A98="","",F98+G98+H98+I98)</x:f>
      </x:c>
      <x:c r="N98" s="64" t="str">
        <x:f>IF(A98="","",IF(AND(B98=C98,K98=0),IF(M98=0,"最终库存已闭环","流向对平，仍有待办"),"检查"))</x:f>
      </x:c>
    </x:row>
    <x:row r="99">
      <x:c r="A99" s="73"/>
      <x:c r="B99" s="72" t="str">
        <x:f>IF(A99="","",COUNTIFS('Steam卖出对账'!$C$5:$C$1204,A99,'Steam卖出对账'!$H$5:$H$1204,"&gt;0"))</x:f>
      </x:c>
      <x:c r="C99" s="72" t="str">
        <x:f>IF(A99="","",COUNTIFS('Steam卖出对账'!$C$5:$C$1204,A99,'Steam卖出对账'!$I$5:$I$1204,"&gt;0"))</x:f>
      </x:c>
      <x:c r="D99" s="72" t="str">
        <x:f>IF($A99="","",SUMIFS('补仓对账'!$Q$5:$Q$1204,'补仓对账'!$B$5:$B$1204,$A99,'补仓对账'!$F$5:$F$1204,"C99成功"))</x:f>
      </x:c>
      <x:c r="E99" s="72" t="str">
        <x:f>IF($A99="","",SUMIFS('补仓对账'!$Q$5:$Q$1204,'补仓对账'!$B$5:$B$1204,$A99,'补仓对账'!$F$5:$F$1204,"手动完结"))</x:f>
      </x:c>
      <x:c r="F99" s="72" t="str">
        <x:f>IF($A99="","",SUMIFS('补仓对账'!$Q$5:$Q$1204,'补仓对账'!$B$5:$B$1204,$A99,'补仓对账'!$F$5:$F$1204,"C99发货确认中"))</x:f>
      </x:c>
      <x:c r="G99" s="72" t="str">
        <x:f>IF($A99="","",SUMIFS('补仓对账'!$Q$5:$Q$1204,'补仓对账'!$B$5:$B$1204,$A99,'补仓对账'!$F$5:$F$1204,"卖出待补仓"))</x:f>
      </x:c>
      <x:c r="H99" s="72" t="str">
        <x:f>IF($A99="","",SUMIFS('补仓对账'!$Q$5:$Q$1204,'补仓对账'!$B$5:$B$1204,$A99,'补仓对账'!$F$5:$F$1204,"提交结果待确认"))</x:f>
      </x:c>
      <x:c r="I99" s="72" t="str">
        <x:f>IF($A99="","",SUMIFS('补仓对账'!$Q$5:$Q$1204,'补仓对账'!$B$5:$B$1204,$A99,'补仓对账'!$F$5:$F$1204,"异常待处理"))</x:f>
      </x:c>
      <x:c r="J99" s="72" t="str">
        <x:f>IF(A99="","",SUM(D99:I99))</x:f>
      </x:c>
      <x:c r="K99" s="72" t="str">
        <x:f>IF(A99="","",C99-J99)</x:f>
      </x:c>
      <x:c r="L99" s="72" t="str">
        <x:f>IF(A99="","",D99+E99)</x:f>
      </x:c>
      <x:c r="M99" s="72" t="str">
        <x:f>IF(A99="","",F99+G99+H99+I99)</x:f>
      </x:c>
      <x:c r="N99" s="64" t="str">
        <x:f>IF(A99="","",IF(AND(B99=C99,K99=0),IF(M99=0,"最终库存已闭环","流向对平，仍有待办"),"检查"))</x:f>
      </x:c>
    </x:row>
    <x:row r="100">
      <x:c r="A100" s="73"/>
      <x:c r="B100" s="72" t="str">
        <x:f>IF(A100="","",COUNTIFS('Steam卖出对账'!$C$5:$C$1204,A100,'Steam卖出对账'!$H$5:$H$1204,"&gt;0"))</x:f>
      </x:c>
      <x:c r="C100" s="72" t="str">
        <x:f>IF(A100="","",COUNTIFS('Steam卖出对账'!$C$5:$C$1204,A100,'Steam卖出对账'!$I$5:$I$1204,"&gt;0"))</x:f>
      </x:c>
      <x:c r="D100" s="72" t="str">
        <x:f>IF($A100="","",SUMIFS('补仓对账'!$Q$5:$Q$1204,'补仓对账'!$B$5:$B$1204,$A100,'补仓对账'!$F$5:$F$1204,"C100成功"))</x:f>
      </x:c>
      <x:c r="E100" s="72" t="str">
        <x:f>IF($A100="","",SUMIFS('补仓对账'!$Q$5:$Q$1204,'补仓对账'!$B$5:$B$1204,$A100,'补仓对账'!$F$5:$F$1204,"手动完结"))</x:f>
      </x:c>
      <x:c r="F100" s="72" t="str">
        <x:f>IF($A100="","",SUMIFS('补仓对账'!$Q$5:$Q$1204,'补仓对账'!$B$5:$B$1204,$A100,'补仓对账'!$F$5:$F$1204,"C100发货确认中"))</x:f>
      </x:c>
      <x:c r="G100" s="72" t="str">
        <x:f>IF($A100="","",SUMIFS('补仓对账'!$Q$5:$Q$1204,'补仓对账'!$B$5:$B$1204,$A100,'补仓对账'!$F$5:$F$1204,"卖出待补仓"))</x:f>
      </x:c>
      <x:c r="H100" s="72" t="str">
        <x:f>IF($A100="","",SUMIFS('补仓对账'!$Q$5:$Q$1204,'补仓对账'!$B$5:$B$1204,$A100,'补仓对账'!$F$5:$F$1204,"提交结果待确认"))</x:f>
      </x:c>
      <x:c r="I100" s="72" t="str">
        <x:f>IF($A100="","",SUMIFS('补仓对账'!$Q$5:$Q$1204,'补仓对账'!$B$5:$B$1204,$A100,'补仓对账'!$F$5:$F$1204,"异常待处理"))</x:f>
      </x:c>
      <x:c r="J100" s="72" t="str">
        <x:f>IF(A100="","",SUM(D100:I100))</x:f>
      </x:c>
      <x:c r="K100" s="72" t="str">
        <x:f>IF(A100="","",C100-J100)</x:f>
      </x:c>
      <x:c r="L100" s="72" t="str">
        <x:f>IF(A100="","",D100+E100)</x:f>
      </x:c>
      <x:c r="M100" s="72" t="str">
        <x:f>IF(A100="","",F100+G100+H100+I100)</x:f>
      </x:c>
      <x:c r="N100" s="64" t="str">
        <x:f>IF(A100="","",IF(AND(B100=C100,K100=0),IF(M100=0,"最终库存已闭环","流向对平，仍有待办"),"检查"))</x:f>
      </x:c>
    </x:row>
    <x:row r="101">
      <x:c r="A101" s="73"/>
      <x:c r="B101" s="72" t="str">
        <x:f>IF(A101="","",COUNTIFS('Steam卖出对账'!$C$5:$C$1204,A101,'Steam卖出对账'!$H$5:$H$1204,"&gt;0"))</x:f>
      </x:c>
      <x:c r="C101" s="72" t="str">
        <x:f>IF(A101="","",COUNTIFS('Steam卖出对账'!$C$5:$C$1204,A101,'Steam卖出对账'!$I$5:$I$1204,"&gt;0"))</x:f>
      </x:c>
      <x:c r="D101" s="72" t="str">
        <x:f>IF($A101="","",SUMIFS('补仓对账'!$Q$5:$Q$1204,'补仓对账'!$B$5:$B$1204,$A101,'补仓对账'!$F$5:$F$1204,"C101成功"))</x:f>
      </x:c>
      <x:c r="E101" s="72" t="str">
        <x:f>IF($A101="","",SUMIFS('补仓对账'!$Q$5:$Q$1204,'补仓对账'!$B$5:$B$1204,$A101,'补仓对账'!$F$5:$F$1204,"手动完结"))</x:f>
      </x:c>
      <x:c r="F101" s="72" t="str">
        <x:f>IF($A101="","",SUMIFS('补仓对账'!$Q$5:$Q$1204,'补仓对账'!$B$5:$B$1204,$A101,'补仓对账'!$F$5:$F$1204,"C101发货确认中"))</x:f>
      </x:c>
      <x:c r="G101" s="72" t="str">
        <x:f>IF($A101="","",SUMIFS('补仓对账'!$Q$5:$Q$1204,'补仓对账'!$B$5:$B$1204,$A101,'补仓对账'!$F$5:$F$1204,"卖出待补仓"))</x:f>
      </x:c>
      <x:c r="H101" s="72" t="str">
        <x:f>IF($A101="","",SUMIFS('补仓对账'!$Q$5:$Q$1204,'补仓对账'!$B$5:$B$1204,$A101,'补仓对账'!$F$5:$F$1204,"提交结果待确认"))</x:f>
      </x:c>
      <x:c r="I101" s="72" t="str">
        <x:f>IF($A101="","",SUMIFS('补仓对账'!$Q$5:$Q$1204,'补仓对账'!$B$5:$B$1204,$A101,'补仓对账'!$F$5:$F$1204,"异常待处理"))</x:f>
      </x:c>
      <x:c r="J101" s="72" t="str">
        <x:f>IF(A101="","",SUM(D101:I101))</x:f>
      </x:c>
      <x:c r="K101" s="72" t="str">
        <x:f>IF(A101="","",C101-J101)</x:f>
      </x:c>
      <x:c r="L101" s="72" t="str">
        <x:f>IF(A101="","",D101+E101)</x:f>
      </x:c>
      <x:c r="M101" s="72" t="str">
        <x:f>IF(A101="","",F101+G101+H101+I101)</x:f>
      </x:c>
      <x:c r="N101" s="64" t="str">
        <x:f>IF(A101="","",IF(AND(B101=C101,K101=0),IF(M101=0,"最终库存已闭环","流向对平，仍有待办"),"检查"))</x:f>
      </x:c>
    </x:row>
    <x:row r="102">
      <x:c r="A102" s="73"/>
      <x:c r="B102" s="72" t="str">
        <x:f>IF(A102="","",COUNTIFS('Steam卖出对账'!$C$5:$C$1204,A102,'Steam卖出对账'!$H$5:$H$1204,"&gt;0"))</x:f>
      </x:c>
      <x:c r="C102" s="72" t="str">
        <x:f>IF(A102="","",COUNTIFS('Steam卖出对账'!$C$5:$C$1204,A102,'Steam卖出对账'!$I$5:$I$1204,"&gt;0"))</x:f>
      </x:c>
      <x:c r="D102" s="72" t="str">
        <x:f>IF($A102="","",SUMIFS('补仓对账'!$Q$5:$Q$1204,'补仓对账'!$B$5:$B$1204,$A102,'补仓对账'!$F$5:$F$1204,"C102成功"))</x:f>
      </x:c>
      <x:c r="E102" s="72" t="str">
        <x:f>IF($A102="","",SUMIFS('补仓对账'!$Q$5:$Q$1204,'补仓对账'!$B$5:$B$1204,$A102,'补仓对账'!$F$5:$F$1204,"手动完结"))</x:f>
      </x:c>
      <x:c r="F102" s="72" t="str">
        <x:f>IF($A102="","",SUMIFS('补仓对账'!$Q$5:$Q$1204,'补仓对账'!$B$5:$B$1204,$A102,'补仓对账'!$F$5:$F$1204,"C102发货确认中"))</x:f>
      </x:c>
      <x:c r="G102" s="72" t="str">
        <x:f>IF($A102="","",SUMIFS('补仓对账'!$Q$5:$Q$1204,'补仓对账'!$B$5:$B$1204,$A102,'补仓对账'!$F$5:$F$1204,"卖出待补仓"))</x:f>
      </x:c>
      <x:c r="H102" s="72" t="str">
        <x:f>IF($A102="","",SUMIFS('补仓对账'!$Q$5:$Q$1204,'补仓对账'!$B$5:$B$1204,$A102,'补仓对账'!$F$5:$F$1204,"提交结果待确认"))</x:f>
      </x:c>
      <x:c r="I102" s="72" t="str">
        <x:f>IF($A102="","",SUMIFS('补仓对账'!$Q$5:$Q$1204,'补仓对账'!$B$5:$B$1204,$A102,'补仓对账'!$F$5:$F$1204,"异常待处理"))</x:f>
      </x:c>
      <x:c r="J102" s="72" t="str">
        <x:f>IF(A102="","",SUM(D102:I102))</x:f>
      </x:c>
      <x:c r="K102" s="72" t="str">
        <x:f>IF(A102="","",C102-J102)</x:f>
      </x:c>
      <x:c r="L102" s="72" t="str">
        <x:f>IF(A102="","",D102+E102)</x:f>
      </x:c>
      <x:c r="M102" s="72" t="str">
        <x:f>IF(A102="","",F102+G102+H102+I102)</x:f>
      </x:c>
      <x:c r="N102" s="64" t="str">
        <x:f>IF(A102="","",IF(AND(B102=C102,K102=0),IF(M102=0,"最终库存已闭环","流向对平，仍有待办"),"检查"))</x:f>
      </x:c>
    </x:row>
    <x:row r="103">
      <x:c r="A103" s="73"/>
      <x:c r="B103" s="72" t="str">
        <x:f>IF(A103="","",COUNTIFS('Steam卖出对账'!$C$5:$C$1204,A103,'Steam卖出对账'!$H$5:$H$1204,"&gt;0"))</x:f>
      </x:c>
      <x:c r="C103" s="72" t="str">
        <x:f>IF(A103="","",COUNTIFS('Steam卖出对账'!$C$5:$C$1204,A103,'Steam卖出对账'!$I$5:$I$1204,"&gt;0"))</x:f>
      </x:c>
      <x:c r="D103" s="72" t="str">
        <x:f>IF($A103="","",SUMIFS('补仓对账'!$Q$5:$Q$1204,'补仓对账'!$B$5:$B$1204,$A103,'补仓对账'!$F$5:$F$1204,"C103成功"))</x:f>
      </x:c>
      <x:c r="E103" s="72" t="str">
        <x:f>IF($A103="","",SUMIFS('补仓对账'!$Q$5:$Q$1204,'补仓对账'!$B$5:$B$1204,$A103,'补仓对账'!$F$5:$F$1204,"手动完结"))</x:f>
      </x:c>
      <x:c r="F103" s="72" t="str">
        <x:f>IF($A103="","",SUMIFS('补仓对账'!$Q$5:$Q$1204,'补仓对账'!$B$5:$B$1204,$A103,'补仓对账'!$F$5:$F$1204,"C103发货确认中"))</x:f>
      </x:c>
      <x:c r="G103" s="72" t="str">
        <x:f>IF($A103="","",SUMIFS('补仓对账'!$Q$5:$Q$1204,'补仓对账'!$B$5:$B$1204,$A103,'补仓对账'!$F$5:$F$1204,"卖出待补仓"))</x:f>
      </x:c>
      <x:c r="H103" s="72" t="str">
        <x:f>IF($A103="","",SUMIFS('补仓对账'!$Q$5:$Q$1204,'补仓对账'!$B$5:$B$1204,$A103,'补仓对账'!$F$5:$F$1204,"提交结果待确认"))</x:f>
      </x:c>
      <x:c r="I103" s="72" t="str">
        <x:f>IF($A103="","",SUMIFS('补仓对账'!$Q$5:$Q$1204,'补仓对账'!$B$5:$B$1204,$A103,'补仓对账'!$F$5:$F$1204,"异常待处理"))</x:f>
      </x:c>
      <x:c r="J103" s="72" t="str">
        <x:f>IF(A103="","",SUM(D103:I103))</x:f>
      </x:c>
      <x:c r="K103" s="72" t="str">
        <x:f>IF(A103="","",C103-J103)</x:f>
      </x:c>
      <x:c r="L103" s="72" t="str">
        <x:f>IF(A103="","",D103+E103)</x:f>
      </x:c>
      <x:c r="M103" s="72" t="str">
        <x:f>IF(A103="","",F103+G103+H103+I103)</x:f>
      </x:c>
      <x:c r="N103" s="64" t="str">
        <x:f>IF(A103="","",IF(AND(B103=C103,K103=0),IF(M103=0,"最终库存已闭环","流向对平，仍有待办"),"检查"))</x:f>
      </x:c>
    </x:row>
    <x:row r="104">
      <x:c r="A104" s="73"/>
      <x:c r="B104" s="72" t="str">
        <x:f>IF(A104="","",COUNTIFS('Steam卖出对账'!$C$5:$C$1204,A104,'Steam卖出对账'!$H$5:$H$1204,"&gt;0"))</x:f>
      </x:c>
      <x:c r="C104" s="72" t="str">
        <x:f>IF(A104="","",COUNTIFS('Steam卖出对账'!$C$5:$C$1204,A104,'Steam卖出对账'!$I$5:$I$1204,"&gt;0"))</x:f>
      </x:c>
      <x:c r="D104" s="72" t="str">
        <x:f>IF($A104="","",SUMIFS('补仓对账'!$Q$5:$Q$1204,'补仓对账'!$B$5:$B$1204,$A104,'补仓对账'!$F$5:$F$1204,"C104成功"))</x:f>
      </x:c>
      <x:c r="E104" s="72" t="str">
        <x:f>IF($A104="","",SUMIFS('补仓对账'!$Q$5:$Q$1204,'补仓对账'!$B$5:$B$1204,$A104,'补仓对账'!$F$5:$F$1204,"手动完结"))</x:f>
      </x:c>
      <x:c r="F104" s="72" t="str">
        <x:f>IF($A104="","",SUMIFS('补仓对账'!$Q$5:$Q$1204,'补仓对账'!$B$5:$B$1204,$A104,'补仓对账'!$F$5:$F$1204,"C104发货确认中"))</x:f>
      </x:c>
      <x:c r="G104" s="72" t="str">
        <x:f>IF($A104="","",SUMIFS('补仓对账'!$Q$5:$Q$1204,'补仓对账'!$B$5:$B$1204,$A104,'补仓对账'!$F$5:$F$1204,"卖出待补仓"))</x:f>
      </x:c>
      <x:c r="H104" s="72" t="str">
        <x:f>IF($A104="","",SUMIFS('补仓对账'!$Q$5:$Q$1204,'补仓对账'!$B$5:$B$1204,$A104,'补仓对账'!$F$5:$F$1204,"提交结果待确认"))</x:f>
      </x:c>
      <x:c r="I104" s="72" t="str">
        <x:f>IF($A104="","",SUMIFS('补仓对账'!$Q$5:$Q$1204,'补仓对账'!$B$5:$B$1204,$A104,'补仓对账'!$F$5:$F$1204,"异常待处理"))</x:f>
      </x:c>
      <x:c r="J104" s="72" t="str">
        <x:f>IF(A104="","",SUM(D104:I104))</x:f>
      </x:c>
      <x:c r="K104" s="72" t="str">
        <x:f>IF(A104="","",C104-J104)</x:f>
      </x:c>
      <x:c r="L104" s="72" t="str">
        <x:f>IF(A104="","",D104+E104)</x:f>
      </x:c>
      <x:c r="M104" s="72" t="str">
        <x:f>IF(A104="","",F104+G104+H104+I104)</x:f>
      </x:c>
      <x:c r="N104" s="64" t="str">
        <x:f>IF(A104="","",IF(AND(B104=C104,K104=0),IF(M104=0,"最终库存已闭环","流向对平，仍有待办"),"检查"))</x:f>
      </x:c>
    </x:row>
    <x:row r="105">
      <x:c r="A105" s="73"/>
      <x:c r="B105" s="72" t="str">
        <x:f>IF(A105="","",COUNTIFS('Steam卖出对账'!$C$5:$C$1204,A105,'Steam卖出对账'!$H$5:$H$1204,"&gt;0"))</x:f>
      </x:c>
      <x:c r="C105" s="72" t="str">
        <x:f>IF(A105="","",COUNTIFS('Steam卖出对账'!$C$5:$C$1204,A105,'Steam卖出对账'!$I$5:$I$1204,"&gt;0"))</x:f>
      </x:c>
      <x:c r="D105" s="72" t="str">
        <x:f>IF($A105="","",SUMIFS('补仓对账'!$Q$5:$Q$1204,'补仓对账'!$B$5:$B$1204,$A105,'补仓对账'!$F$5:$F$1204,"C105成功"))</x:f>
      </x:c>
      <x:c r="E105" s="72" t="str">
        <x:f>IF($A105="","",SUMIFS('补仓对账'!$Q$5:$Q$1204,'补仓对账'!$B$5:$B$1204,$A105,'补仓对账'!$F$5:$F$1204,"手动完结"))</x:f>
      </x:c>
      <x:c r="F105" s="72" t="str">
        <x:f>IF($A105="","",SUMIFS('补仓对账'!$Q$5:$Q$1204,'补仓对账'!$B$5:$B$1204,$A105,'补仓对账'!$F$5:$F$1204,"C105发货确认中"))</x:f>
      </x:c>
      <x:c r="G105" s="72" t="str">
        <x:f>IF($A105="","",SUMIFS('补仓对账'!$Q$5:$Q$1204,'补仓对账'!$B$5:$B$1204,$A105,'补仓对账'!$F$5:$F$1204,"卖出待补仓"))</x:f>
      </x:c>
      <x:c r="H105" s="72" t="str">
        <x:f>IF($A105="","",SUMIFS('补仓对账'!$Q$5:$Q$1204,'补仓对账'!$B$5:$B$1204,$A105,'补仓对账'!$F$5:$F$1204,"提交结果待确认"))</x:f>
      </x:c>
      <x:c r="I105" s="72" t="str">
        <x:f>IF($A105="","",SUMIFS('补仓对账'!$Q$5:$Q$1204,'补仓对账'!$B$5:$B$1204,$A105,'补仓对账'!$F$5:$F$1204,"异常待处理"))</x:f>
      </x:c>
      <x:c r="J105" s="72" t="str">
        <x:f>IF(A105="","",SUM(D105:I105))</x:f>
      </x:c>
      <x:c r="K105" s="72" t="str">
        <x:f>IF(A105="","",C105-J105)</x:f>
      </x:c>
      <x:c r="L105" s="72" t="str">
        <x:f>IF(A105="","",D105+E105)</x:f>
      </x:c>
      <x:c r="M105" s="72" t="str">
        <x:f>IF(A105="","",F105+G105+H105+I105)</x:f>
      </x:c>
      <x:c r="N105" s="64" t="str">
        <x:f>IF(A105="","",IF(AND(B105=C105,K105=0),IF(M105=0,"最终库存已闭环","流向对平，仍有待办"),"检查"))</x:f>
      </x:c>
    </x:row>
    <x:row r="106">
      <x:c r="A106" s="73"/>
      <x:c r="B106" s="72" t="str">
        <x:f>IF(A106="","",COUNTIFS('Steam卖出对账'!$C$5:$C$1204,A106,'Steam卖出对账'!$H$5:$H$1204,"&gt;0"))</x:f>
      </x:c>
      <x:c r="C106" s="72" t="str">
        <x:f>IF(A106="","",COUNTIFS('Steam卖出对账'!$C$5:$C$1204,A106,'Steam卖出对账'!$I$5:$I$1204,"&gt;0"))</x:f>
      </x:c>
      <x:c r="D106" s="72" t="str">
        <x:f>IF($A106="","",SUMIFS('补仓对账'!$Q$5:$Q$1204,'补仓对账'!$B$5:$B$1204,$A106,'补仓对账'!$F$5:$F$1204,"C106成功"))</x:f>
      </x:c>
      <x:c r="E106" s="72" t="str">
        <x:f>IF($A106="","",SUMIFS('补仓对账'!$Q$5:$Q$1204,'补仓对账'!$B$5:$B$1204,$A106,'补仓对账'!$F$5:$F$1204,"手动完结"))</x:f>
      </x:c>
      <x:c r="F106" s="72" t="str">
        <x:f>IF($A106="","",SUMIFS('补仓对账'!$Q$5:$Q$1204,'补仓对账'!$B$5:$B$1204,$A106,'补仓对账'!$F$5:$F$1204,"C106发货确认中"))</x:f>
      </x:c>
      <x:c r="G106" s="72" t="str">
        <x:f>IF($A106="","",SUMIFS('补仓对账'!$Q$5:$Q$1204,'补仓对账'!$B$5:$B$1204,$A106,'补仓对账'!$F$5:$F$1204,"卖出待补仓"))</x:f>
      </x:c>
      <x:c r="H106" s="72" t="str">
        <x:f>IF($A106="","",SUMIFS('补仓对账'!$Q$5:$Q$1204,'补仓对账'!$B$5:$B$1204,$A106,'补仓对账'!$F$5:$F$1204,"提交结果待确认"))</x:f>
      </x:c>
      <x:c r="I106" s="72" t="str">
        <x:f>IF($A106="","",SUMIFS('补仓对账'!$Q$5:$Q$1204,'补仓对账'!$B$5:$B$1204,$A106,'补仓对账'!$F$5:$F$1204,"异常待处理"))</x:f>
      </x:c>
      <x:c r="J106" s="72" t="str">
        <x:f>IF(A106="","",SUM(D106:I106))</x:f>
      </x:c>
      <x:c r="K106" s="72" t="str">
        <x:f>IF(A106="","",C106-J106)</x:f>
      </x:c>
      <x:c r="L106" s="72" t="str">
        <x:f>IF(A106="","",D106+E106)</x:f>
      </x:c>
      <x:c r="M106" s="72" t="str">
        <x:f>IF(A106="","",F106+G106+H106+I106)</x:f>
      </x:c>
      <x:c r="N106" s="64" t="str">
        <x:f>IF(A106="","",IF(AND(B106=C106,K106=0),IF(M106=0,"最终库存已闭环","流向对平，仍有待办"),"检查"))</x:f>
      </x:c>
    </x:row>
    <x:row r="107">
      <x:c r="A107" s="73"/>
      <x:c r="B107" s="72" t="str">
        <x:f>IF(A107="","",COUNTIFS('Steam卖出对账'!$C$5:$C$1204,A107,'Steam卖出对账'!$H$5:$H$1204,"&gt;0"))</x:f>
      </x:c>
      <x:c r="C107" s="72" t="str">
        <x:f>IF(A107="","",COUNTIFS('Steam卖出对账'!$C$5:$C$1204,A107,'Steam卖出对账'!$I$5:$I$1204,"&gt;0"))</x:f>
      </x:c>
      <x:c r="D107" s="72" t="str">
        <x:f>IF($A107="","",SUMIFS('补仓对账'!$Q$5:$Q$1204,'补仓对账'!$B$5:$B$1204,$A107,'补仓对账'!$F$5:$F$1204,"C107成功"))</x:f>
      </x:c>
      <x:c r="E107" s="72" t="str">
        <x:f>IF($A107="","",SUMIFS('补仓对账'!$Q$5:$Q$1204,'补仓对账'!$B$5:$B$1204,$A107,'补仓对账'!$F$5:$F$1204,"手动完结"))</x:f>
      </x:c>
      <x:c r="F107" s="72" t="str">
        <x:f>IF($A107="","",SUMIFS('补仓对账'!$Q$5:$Q$1204,'补仓对账'!$B$5:$B$1204,$A107,'补仓对账'!$F$5:$F$1204,"C107发货确认中"))</x:f>
      </x:c>
      <x:c r="G107" s="72" t="str">
        <x:f>IF($A107="","",SUMIFS('补仓对账'!$Q$5:$Q$1204,'补仓对账'!$B$5:$B$1204,$A107,'补仓对账'!$F$5:$F$1204,"卖出待补仓"))</x:f>
      </x:c>
      <x:c r="H107" s="72" t="str">
        <x:f>IF($A107="","",SUMIFS('补仓对账'!$Q$5:$Q$1204,'补仓对账'!$B$5:$B$1204,$A107,'补仓对账'!$F$5:$F$1204,"提交结果待确认"))</x:f>
      </x:c>
      <x:c r="I107" s="72" t="str">
        <x:f>IF($A107="","",SUMIFS('补仓对账'!$Q$5:$Q$1204,'补仓对账'!$B$5:$B$1204,$A107,'补仓对账'!$F$5:$F$1204,"异常待处理"))</x:f>
      </x:c>
      <x:c r="J107" s="72" t="str">
        <x:f>IF(A107="","",SUM(D107:I107))</x:f>
      </x:c>
      <x:c r="K107" s="72" t="str">
        <x:f>IF(A107="","",C107-J107)</x:f>
      </x:c>
      <x:c r="L107" s="72" t="str">
        <x:f>IF(A107="","",D107+E107)</x:f>
      </x:c>
      <x:c r="M107" s="72" t="str">
        <x:f>IF(A107="","",F107+G107+H107+I107)</x:f>
      </x:c>
      <x:c r="N107" s="64" t="str">
        <x:f>IF(A107="","",IF(AND(B107=C107,K107=0),IF(M107=0,"最终库存已闭环","流向对平，仍有待办"),"检查"))</x:f>
      </x:c>
    </x:row>
    <x:row r="108">
      <x:c r="A108" s="73"/>
      <x:c r="B108" s="72" t="str">
        <x:f>IF(A108="","",COUNTIFS('Steam卖出对账'!$C$5:$C$1204,A108,'Steam卖出对账'!$H$5:$H$1204,"&gt;0"))</x:f>
      </x:c>
      <x:c r="C108" s="72" t="str">
        <x:f>IF(A108="","",COUNTIFS('Steam卖出对账'!$C$5:$C$1204,A108,'Steam卖出对账'!$I$5:$I$1204,"&gt;0"))</x:f>
      </x:c>
      <x:c r="D108" s="72" t="str">
        <x:f>IF($A108="","",SUMIFS('补仓对账'!$Q$5:$Q$1204,'补仓对账'!$B$5:$B$1204,$A108,'补仓对账'!$F$5:$F$1204,"C108成功"))</x:f>
      </x:c>
      <x:c r="E108" s="72" t="str">
        <x:f>IF($A108="","",SUMIFS('补仓对账'!$Q$5:$Q$1204,'补仓对账'!$B$5:$B$1204,$A108,'补仓对账'!$F$5:$F$1204,"手动完结"))</x:f>
      </x:c>
      <x:c r="F108" s="72" t="str">
        <x:f>IF($A108="","",SUMIFS('补仓对账'!$Q$5:$Q$1204,'补仓对账'!$B$5:$B$1204,$A108,'补仓对账'!$F$5:$F$1204,"C108发货确认中"))</x:f>
      </x:c>
      <x:c r="G108" s="72" t="str">
        <x:f>IF($A108="","",SUMIFS('补仓对账'!$Q$5:$Q$1204,'补仓对账'!$B$5:$B$1204,$A108,'补仓对账'!$F$5:$F$1204,"卖出待补仓"))</x:f>
      </x:c>
      <x:c r="H108" s="72" t="str">
        <x:f>IF($A108="","",SUMIFS('补仓对账'!$Q$5:$Q$1204,'补仓对账'!$B$5:$B$1204,$A108,'补仓对账'!$F$5:$F$1204,"提交结果待确认"))</x:f>
      </x:c>
      <x:c r="I108" s="72" t="str">
        <x:f>IF($A108="","",SUMIFS('补仓对账'!$Q$5:$Q$1204,'补仓对账'!$B$5:$B$1204,$A108,'补仓对账'!$F$5:$F$1204,"异常待处理"))</x:f>
      </x:c>
      <x:c r="J108" s="72" t="str">
        <x:f>IF(A108="","",SUM(D108:I108))</x:f>
      </x:c>
      <x:c r="K108" s="72" t="str">
        <x:f>IF(A108="","",C108-J108)</x:f>
      </x:c>
      <x:c r="L108" s="72" t="str">
        <x:f>IF(A108="","",D108+E108)</x:f>
      </x:c>
      <x:c r="M108" s="72" t="str">
        <x:f>IF(A108="","",F108+G108+H108+I108)</x:f>
      </x:c>
      <x:c r="N108" s="64" t="str">
        <x:f>IF(A108="","",IF(AND(B108=C108,K108=0),IF(M108=0,"最终库存已闭环","流向对平，仍有待办"),"检查"))</x:f>
      </x:c>
    </x:row>
    <x:row r="109">
      <x:c r="A109" s="73"/>
      <x:c r="B109" s="72" t="str">
        <x:f>IF(A109="","",COUNTIFS('Steam卖出对账'!$C$5:$C$1204,A109,'Steam卖出对账'!$H$5:$H$1204,"&gt;0"))</x:f>
      </x:c>
      <x:c r="C109" s="72" t="str">
        <x:f>IF(A109="","",COUNTIFS('Steam卖出对账'!$C$5:$C$1204,A109,'Steam卖出对账'!$I$5:$I$1204,"&gt;0"))</x:f>
      </x:c>
      <x:c r="D109" s="72" t="str">
        <x:f>IF($A109="","",SUMIFS('补仓对账'!$Q$5:$Q$1204,'补仓对账'!$B$5:$B$1204,$A109,'补仓对账'!$F$5:$F$1204,"C109成功"))</x:f>
      </x:c>
      <x:c r="E109" s="72" t="str">
        <x:f>IF($A109="","",SUMIFS('补仓对账'!$Q$5:$Q$1204,'补仓对账'!$B$5:$B$1204,$A109,'补仓对账'!$F$5:$F$1204,"手动完结"))</x:f>
      </x:c>
      <x:c r="F109" s="72" t="str">
        <x:f>IF($A109="","",SUMIFS('补仓对账'!$Q$5:$Q$1204,'补仓对账'!$B$5:$B$1204,$A109,'补仓对账'!$F$5:$F$1204,"C109发货确认中"))</x:f>
      </x:c>
      <x:c r="G109" s="72" t="str">
        <x:f>IF($A109="","",SUMIFS('补仓对账'!$Q$5:$Q$1204,'补仓对账'!$B$5:$B$1204,$A109,'补仓对账'!$F$5:$F$1204,"卖出待补仓"))</x:f>
      </x:c>
      <x:c r="H109" s="72" t="str">
        <x:f>IF($A109="","",SUMIFS('补仓对账'!$Q$5:$Q$1204,'补仓对账'!$B$5:$B$1204,$A109,'补仓对账'!$F$5:$F$1204,"提交结果待确认"))</x:f>
      </x:c>
      <x:c r="I109" s="72" t="str">
        <x:f>IF($A109="","",SUMIFS('补仓对账'!$Q$5:$Q$1204,'补仓对账'!$B$5:$B$1204,$A109,'补仓对账'!$F$5:$F$1204,"异常待处理"))</x:f>
      </x:c>
      <x:c r="J109" s="72" t="str">
        <x:f>IF(A109="","",SUM(D109:I109))</x:f>
      </x:c>
      <x:c r="K109" s="72" t="str">
        <x:f>IF(A109="","",C109-J109)</x:f>
      </x:c>
      <x:c r="L109" s="72" t="str">
        <x:f>IF(A109="","",D109+E109)</x:f>
      </x:c>
      <x:c r="M109" s="72" t="str">
        <x:f>IF(A109="","",F109+G109+H109+I109)</x:f>
      </x:c>
      <x:c r="N109" s="64" t="str">
        <x:f>IF(A109="","",IF(AND(B109=C109,K109=0),IF(M109=0,"最终库存已闭环","流向对平，仍有待办"),"检查"))</x:f>
      </x:c>
    </x:row>
    <x:row r="110">
      <x:c r="A110" s="73"/>
      <x:c r="B110" s="72" t="str">
        <x:f>IF(A110="","",COUNTIFS('Steam卖出对账'!$C$5:$C$1204,A110,'Steam卖出对账'!$H$5:$H$1204,"&gt;0"))</x:f>
      </x:c>
      <x:c r="C110" s="72" t="str">
        <x:f>IF(A110="","",COUNTIFS('Steam卖出对账'!$C$5:$C$1204,A110,'Steam卖出对账'!$I$5:$I$1204,"&gt;0"))</x:f>
      </x:c>
      <x:c r="D110" s="72" t="str">
        <x:f>IF($A110="","",SUMIFS('补仓对账'!$Q$5:$Q$1204,'补仓对账'!$B$5:$B$1204,$A110,'补仓对账'!$F$5:$F$1204,"C110成功"))</x:f>
      </x:c>
      <x:c r="E110" s="72" t="str">
        <x:f>IF($A110="","",SUMIFS('补仓对账'!$Q$5:$Q$1204,'补仓对账'!$B$5:$B$1204,$A110,'补仓对账'!$F$5:$F$1204,"手动完结"))</x:f>
      </x:c>
      <x:c r="F110" s="72" t="str">
        <x:f>IF($A110="","",SUMIFS('补仓对账'!$Q$5:$Q$1204,'补仓对账'!$B$5:$B$1204,$A110,'补仓对账'!$F$5:$F$1204,"C110发货确认中"))</x:f>
      </x:c>
      <x:c r="G110" s="72" t="str">
        <x:f>IF($A110="","",SUMIFS('补仓对账'!$Q$5:$Q$1204,'补仓对账'!$B$5:$B$1204,$A110,'补仓对账'!$F$5:$F$1204,"卖出待补仓"))</x:f>
      </x:c>
      <x:c r="H110" s="72" t="str">
        <x:f>IF($A110="","",SUMIFS('补仓对账'!$Q$5:$Q$1204,'补仓对账'!$B$5:$B$1204,$A110,'补仓对账'!$F$5:$F$1204,"提交结果待确认"))</x:f>
      </x:c>
      <x:c r="I110" s="72" t="str">
        <x:f>IF($A110="","",SUMIFS('补仓对账'!$Q$5:$Q$1204,'补仓对账'!$B$5:$B$1204,$A110,'补仓对账'!$F$5:$F$1204,"异常待处理"))</x:f>
      </x:c>
      <x:c r="J110" s="72" t="str">
        <x:f>IF(A110="","",SUM(D110:I110))</x:f>
      </x:c>
      <x:c r="K110" s="72" t="str">
        <x:f>IF(A110="","",C110-J110)</x:f>
      </x:c>
      <x:c r="L110" s="72" t="str">
        <x:f>IF(A110="","",D110+E110)</x:f>
      </x:c>
      <x:c r="M110" s="72" t="str">
        <x:f>IF(A110="","",F110+G110+H110+I110)</x:f>
      </x:c>
      <x:c r="N110" s="64" t="str">
        <x:f>IF(A110="","",IF(AND(B110=C110,K110=0),IF(M110=0,"最终库存已闭环","流向对平，仍有待办"),"检查"))</x:f>
      </x:c>
    </x:row>
    <x:row r="111">
      <x:c r="A111" s="73"/>
      <x:c r="B111" s="72" t="str">
        <x:f>IF(A111="","",COUNTIFS('Steam卖出对账'!$C$5:$C$1204,A111,'Steam卖出对账'!$H$5:$H$1204,"&gt;0"))</x:f>
      </x:c>
      <x:c r="C111" s="72" t="str">
        <x:f>IF(A111="","",COUNTIFS('Steam卖出对账'!$C$5:$C$1204,A111,'Steam卖出对账'!$I$5:$I$1204,"&gt;0"))</x:f>
      </x:c>
      <x:c r="D111" s="72" t="str">
        <x:f>IF($A111="","",SUMIFS('补仓对账'!$Q$5:$Q$1204,'补仓对账'!$B$5:$B$1204,$A111,'补仓对账'!$F$5:$F$1204,"C111成功"))</x:f>
      </x:c>
      <x:c r="E111" s="72" t="str">
        <x:f>IF($A111="","",SUMIFS('补仓对账'!$Q$5:$Q$1204,'补仓对账'!$B$5:$B$1204,$A111,'补仓对账'!$F$5:$F$1204,"手动完结"))</x:f>
      </x:c>
      <x:c r="F111" s="72" t="str">
        <x:f>IF($A111="","",SUMIFS('补仓对账'!$Q$5:$Q$1204,'补仓对账'!$B$5:$B$1204,$A111,'补仓对账'!$F$5:$F$1204,"C111发货确认中"))</x:f>
      </x:c>
      <x:c r="G111" s="72" t="str">
        <x:f>IF($A111="","",SUMIFS('补仓对账'!$Q$5:$Q$1204,'补仓对账'!$B$5:$B$1204,$A111,'补仓对账'!$F$5:$F$1204,"卖出待补仓"))</x:f>
      </x:c>
      <x:c r="H111" s="72" t="str">
        <x:f>IF($A111="","",SUMIFS('补仓对账'!$Q$5:$Q$1204,'补仓对账'!$B$5:$B$1204,$A111,'补仓对账'!$F$5:$F$1204,"提交结果待确认"))</x:f>
      </x:c>
      <x:c r="I111" s="72" t="str">
        <x:f>IF($A111="","",SUMIFS('补仓对账'!$Q$5:$Q$1204,'补仓对账'!$B$5:$B$1204,$A111,'补仓对账'!$F$5:$F$1204,"异常待处理"))</x:f>
      </x:c>
      <x:c r="J111" s="72" t="str">
        <x:f>IF(A111="","",SUM(D111:I111))</x:f>
      </x:c>
      <x:c r="K111" s="72" t="str">
        <x:f>IF(A111="","",C111-J111)</x:f>
      </x:c>
      <x:c r="L111" s="72" t="str">
        <x:f>IF(A111="","",D111+E111)</x:f>
      </x:c>
      <x:c r="M111" s="72" t="str">
        <x:f>IF(A111="","",F111+G111+H111+I111)</x:f>
      </x:c>
      <x:c r="N111" s="64" t="str">
        <x:f>IF(A111="","",IF(AND(B111=C111,K111=0),IF(M111=0,"最终库存已闭环","流向对平，仍有待办"),"检查"))</x:f>
      </x:c>
    </x:row>
    <x:row r="112">
      <x:c r="A112" s="73"/>
      <x:c r="B112" s="72" t="str">
        <x:f>IF(A112="","",COUNTIFS('Steam卖出对账'!$C$5:$C$1204,A112,'Steam卖出对账'!$H$5:$H$1204,"&gt;0"))</x:f>
      </x:c>
      <x:c r="C112" s="72" t="str">
        <x:f>IF(A112="","",COUNTIFS('Steam卖出对账'!$C$5:$C$1204,A112,'Steam卖出对账'!$I$5:$I$1204,"&gt;0"))</x:f>
      </x:c>
      <x:c r="D112" s="72" t="str">
        <x:f>IF($A112="","",SUMIFS('补仓对账'!$Q$5:$Q$1204,'补仓对账'!$B$5:$B$1204,$A112,'补仓对账'!$F$5:$F$1204,"C112成功"))</x:f>
      </x:c>
      <x:c r="E112" s="72" t="str">
        <x:f>IF($A112="","",SUMIFS('补仓对账'!$Q$5:$Q$1204,'补仓对账'!$B$5:$B$1204,$A112,'补仓对账'!$F$5:$F$1204,"手动完结"))</x:f>
      </x:c>
      <x:c r="F112" s="72" t="str">
        <x:f>IF($A112="","",SUMIFS('补仓对账'!$Q$5:$Q$1204,'补仓对账'!$B$5:$B$1204,$A112,'补仓对账'!$F$5:$F$1204,"C112发货确认中"))</x:f>
      </x:c>
      <x:c r="G112" s="72" t="str">
        <x:f>IF($A112="","",SUMIFS('补仓对账'!$Q$5:$Q$1204,'补仓对账'!$B$5:$B$1204,$A112,'补仓对账'!$F$5:$F$1204,"卖出待补仓"))</x:f>
      </x:c>
      <x:c r="H112" s="72" t="str">
        <x:f>IF($A112="","",SUMIFS('补仓对账'!$Q$5:$Q$1204,'补仓对账'!$B$5:$B$1204,$A112,'补仓对账'!$F$5:$F$1204,"提交结果待确认"))</x:f>
      </x:c>
      <x:c r="I112" s="72" t="str">
        <x:f>IF($A112="","",SUMIFS('补仓对账'!$Q$5:$Q$1204,'补仓对账'!$B$5:$B$1204,$A112,'补仓对账'!$F$5:$F$1204,"异常待处理"))</x:f>
      </x:c>
      <x:c r="J112" s="72" t="str">
        <x:f>IF(A112="","",SUM(D112:I112))</x:f>
      </x:c>
      <x:c r="K112" s="72" t="str">
        <x:f>IF(A112="","",C112-J112)</x:f>
      </x:c>
      <x:c r="L112" s="72" t="str">
        <x:f>IF(A112="","",D112+E112)</x:f>
      </x:c>
      <x:c r="M112" s="72" t="str">
        <x:f>IF(A112="","",F112+G112+H112+I112)</x:f>
      </x:c>
      <x:c r="N112" s="64" t="str">
        <x:f>IF(A112="","",IF(AND(B112=C112,K112=0),IF(M112=0,"最终库存已闭环","流向对平，仍有待办"),"检查"))</x:f>
      </x:c>
    </x:row>
    <x:row r="113">
      <x:c r="A113" s="73"/>
      <x:c r="B113" s="72" t="str">
        <x:f>IF(A113="","",COUNTIFS('Steam卖出对账'!$C$5:$C$1204,A113,'Steam卖出对账'!$H$5:$H$1204,"&gt;0"))</x:f>
      </x:c>
      <x:c r="C113" s="72" t="str">
        <x:f>IF(A113="","",COUNTIFS('Steam卖出对账'!$C$5:$C$1204,A113,'Steam卖出对账'!$I$5:$I$1204,"&gt;0"))</x:f>
      </x:c>
      <x:c r="D113" s="72" t="str">
        <x:f>IF($A113="","",SUMIFS('补仓对账'!$Q$5:$Q$1204,'补仓对账'!$B$5:$B$1204,$A113,'补仓对账'!$F$5:$F$1204,"C113成功"))</x:f>
      </x:c>
      <x:c r="E113" s="72" t="str">
        <x:f>IF($A113="","",SUMIFS('补仓对账'!$Q$5:$Q$1204,'补仓对账'!$B$5:$B$1204,$A113,'补仓对账'!$F$5:$F$1204,"手动完结"))</x:f>
      </x:c>
      <x:c r="F113" s="72" t="str">
        <x:f>IF($A113="","",SUMIFS('补仓对账'!$Q$5:$Q$1204,'补仓对账'!$B$5:$B$1204,$A113,'补仓对账'!$F$5:$F$1204,"C113发货确认中"))</x:f>
      </x:c>
      <x:c r="G113" s="72" t="str">
        <x:f>IF($A113="","",SUMIFS('补仓对账'!$Q$5:$Q$1204,'补仓对账'!$B$5:$B$1204,$A113,'补仓对账'!$F$5:$F$1204,"卖出待补仓"))</x:f>
      </x:c>
      <x:c r="H113" s="72" t="str">
        <x:f>IF($A113="","",SUMIFS('补仓对账'!$Q$5:$Q$1204,'补仓对账'!$B$5:$B$1204,$A113,'补仓对账'!$F$5:$F$1204,"提交结果待确认"))</x:f>
      </x:c>
      <x:c r="I113" s="72" t="str">
        <x:f>IF($A113="","",SUMIFS('补仓对账'!$Q$5:$Q$1204,'补仓对账'!$B$5:$B$1204,$A113,'补仓对账'!$F$5:$F$1204,"异常待处理"))</x:f>
      </x:c>
      <x:c r="J113" s="72" t="str">
        <x:f>IF(A113="","",SUM(D113:I113))</x:f>
      </x:c>
      <x:c r="K113" s="72" t="str">
        <x:f>IF(A113="","",C113-J113)</x:f>
      </x:c>
      <x:c r="L113" s="72" t="str">
        <x:f>IF(A113="","",D113+E113)</x:f>
      </x:c>
      <x:c r="M113" s="72" t="str">
        <x:f>IF(A113="","",F113+G113+H113+I113)</x:f>
      </x:c>
      <x:c r="N113" s="64" t="str">
        <x:f>IF(A113="","",IF(AND(B113=C113,K113=0),IF(M113=0,"最终库存已闭环","流向对平，仍有待办"),"检查"))</x:f>
      </x:c>
    </x:row>
    <x:row r="114">
      <x:c r="A114" s="73"/>
      <x:c r="B114" s="72" t="str">
        <x:f>IF(A114="","",COUNTIFS('Steam卖出对账'!$C$5:$C$1204,A114,'Steam卖出对账'!$H$5:$H$1204,"&gt;0"))</x:f>
      </x:c>
      <x:c r="C114" s="72" t="str">
        <x:f>IF(A114="","",COUNTIFS('Steam卖出对账'!$C$5:$C$1204,A114,'Steam卖出对账'!$I$5:$I$1204,"&gt;0"))</x:f>
      </x:c>
      <x:c r="D114" s="72" t="str">
        <x:f>IF($A114="","",SUMIFS('补仓对账'!$Q$5:$Q$1204,'补仓对账'!$B$5:$B$1204,$A114,'补仓对账'!$F$5:$F$1204,"C114成功"))</x:f>
      </x:c>
      <x:c r="E114" s="72" t="str">
        <x:f>IF($A114="","",SUMIFS('补仓对账'!$Q$5:$Q$1204,'补仓对账'!$B$5:$B$1204,$A114,'补仓对账'!$F$5:$F$1204,"手动完结"))</x:f>
      </x:c>
      <x:c r="F114" s="72" t="str">
        <x:f>IF($A114="","",SUMIFS('补仓对账'!$Q$5:$Q$1204,'补仓对账'!$B$5:$B$1204,$A114,'补仓对账'!$F$5:$F$1204,"C114发货确认中"))</x:f>
      </x:c>
      <x:c r="G114" s="72" t="str">
        <x:f>IF($A114="","",SUMIFS('补仓对账'!$Q$5:$Q$1204,'补仓对账'!$B$5:$B$1204,$A114,'补仓对账'!$F$5:$F$1204,"卖出待补仓"))</x:f>
      </x:c>
      <x:c r="H114" s="72" t="str">
        <x:f>IF($A114="","",SUMIFS('补仓对账'!$Q$5:$Q$1204,'补仓对账'!$B$5:$B$1204,$A114,'补仓对账'!$F$5:$F$1204,"提交结果待确认"))</x:f>
      </x:c>
      <x:c r="I114" s="72" t="str">
        <x:f>IF($A114="","",SUMIFS('补仓对账'!$Q$5:$Q$1204,'补仓对账'!$B$5:$B$1204,$A114,'补仓对账'!$F$5:$F$1204,"异常待处理"))</x:f>
      </x:c>
      <x:c r="J114" s="72" t="str">
        <x:f>IF(A114="","",SUM(D114:I114))</x:f>
      </x:c>
      <x:c r="K114" s="72" t="str">
        <x:f>IF(A114="","",C114-J114)</x:f>
      </x:c>
      <x:c r="L114" s="72" t="str">
        <x:f>IF(A114="","",D114+E114)</x:f>
      </x:c>
      <x:c r="M114" s="72" t="str">
        <x:f>IF(A114="","",F114+G114+H114+I114)</x:f>
      </x:c>
      <x:c r="N114" s="64" t="str">
        <x:f>IF(A114="","",IF(AND(B114=C114,K114=0),IF(M114=0,"最终库存已闭环","流向对平，仍有待办"),"检查"))</x:f>
      </x:c>
    </x:row>
    <x:row r="115">
      <x:c r="A115" s="73"/>
      <x:c r="B115" s="72" t="str">
        <x:f>IF(A115="","",COUNTIFS('Steam卖出对账'!$C$5:$C$1204,A115,'Steam卖出对账'!$H$5:$H$1204,"&gt;0"))</x:f>
      </x:c>
      <x:c r="C115" s="72" t="str">
        <x:f>IF(A115="","",COUNTIFS('Steam卖出对账'!$C$5:$C$1204,A115,'Steam卖出对账'!$I$5:$I$1204,"&gt;0"))</x:f>
      </x:c>
      <x:c r="D115" s="72" t="str">
        <x:f>IF($A115="","",SUMIFS('补仓对账'!$Q$5:$Q$1204,'补仓对账'!$B$5:$B$1204,$A115,'补仓对账'!$F$5:$F$1204,"C115成功"))</x:f>
      </x:c>
      <x:c r="E115" s="72" t="str">
        <x:f>IF($A115="","",SUMIFS('补仓对账'!$Q$5:$Q$1204,'补仓对账'!$B$5:$B$1204,$A115,'补仓对账'!$F$5:$F$1204,"手动完结"))</x:f>
      </x:c>
      <x:c r="F115" s="72" t="str">
        <x:f>IF($A115="","",SUMIFS('补仓对账'!$Q$5:$Q$1204,'补仓对账'!$B$5:$B$1204,$A115,'补仓对账'!$F$5:$F$1204,"C115发货确认中"))</x:f>
      </x:c>
      <x:c r="G115" s="72" t="str">
        <x:f>IF($A115="","",SUMIFS('补仓对账'!$Q$5:$Q$1204,'补仓对账'!$B$5:$B$1204,$A115,'补仓对账'!$F$5:$F$1204,"卖出待补仓"))</x:f>
      </x:c>
      <x:c r="H115" s="72" t="str">
        <x:f>IF($A115="","",SUMIFS('补仓对账'!$Q$5:$Q$1204,'补仓对账'!$B$5:$B$1204,$A115,'补仓对账'!$F$5:$F$1204,"提交结果待确认"))</x:f>
      </x:c>
      <x:c r="I115" s="72" t="str">
        <x:f>IF($A115="","",SUMIFS('补仓对账'!$Q$5:$Q$1204,'补仓对账'!$B$5:$B$1204,$A115,'补仓对账'!$F$5:$F$1204,"异常待处理"))</x:f>
      </x:c>
      <x:c r="J115" s="72" t="str">
        <x:f>IF(A115="","",SUM(D115:I115))</x:f>
      </x:c>
      <x:c r="K115" s="72" t="str">
        <x:f>IF(A115="","",C115-J115)</x:f>
      </x:c>
      <x:c r="L115" s="72" t="str">
        <x:f>IF(A115="","",D115+E115)</x:f>
      </x:c>
      <x:c r="M115" s="72" t="str">
        <x:f>IF(A115="","",F115+G115+H115+I115)</x:f>
      </x:c>
      <x:c r="N115" s="64" t="str">
        <x:f>IF(A115="","",IF(AND(B115=C115,K115=0),IF(M115=0,"最终库存已闭环","流向对平，仍有待办"),"检查"))</x:f>
      </x:c>
    </x:row>
    <x:row r="116">
      <x:c r="A116" s="73"/>
      <x:c r="B116" s="72" t="str">
        <x:f>IF(A116="","",COUNTIFS('Steam卖出对账'!$C$5:$C$1204,A116,'Steam卖出对账'!$H$5:$H$1204,"&gt;0"))</x:f>
      </x:c>
      <x:c r="C116" s="72" t="str">
        <x:f>IF(A116="","",COUNTIFS('Steam卖出对账'!$C$5:$C$1204,A116,'Steam卖出对账'!$I$5:$I$1204,"&gt;0"))</x:f>
      </x:c>
      <x:c r="D116" s="72" t="str">
        <x:f>IF($A116="","",SUMIFS('补仓对账'!$Q$5:$Q$1204,'补仓对账'!$B$5:$B$1204,$A116,'补仓对账'!$F$5:$F$1204,"C116成功"))</x:f>
      </x:c>
      <x:c r="E116" s="72" t="str">
        <x:f>IF($A116="","",SUMIFS('补仓对账'!$Q$5:$Q$1204,'补仓对账'!$B$5:$B$1204,$A116,'补仓对账'!$F$5:$F$1204,"手动完结"))</x:f>
      </x:c>
      <x:c r="F116" s="72" t="str">
        <x:f>IF($A116="","",SUMIFS('补仓对账'!$Q$5:$Q$1204,'补仓对账'!$B$5:$B$1204,$A116,'补仓对账'!$F$5:$F$1204,"C116发货确认中"))</x:f>
      </x:c>
      <x:c r="G116" s="72" t="str">
        <x:f>IF($A116="","",SUMIFS('补仓对账'!$Q$5:$Q$1204,'补仓对账'!$B$5:$B$1204,$A116,'补仓对账'!$F$5:$F$1204,"卖出待补仓"))</x:f>
      </x:c>
      <x:c r="H116" s="72" t="str">
        <x:f>IF($A116="","",SUMIFS('补仓对账'!$Q$5:$Q$1204,'补仓对账'!$B$5:$B$1204,$A116,'补仓对账'!$F$5:$F$1204,"提交结果待确认"))</x:f>
      </x:c>
      <x:c r="I116" s="72" t="str">
        <x:f>IF($A116="","",SUMIFS('补仓对账'!$Q$5:$Q$1204,'补仓对账'!$B$5:$B$1204,$A116,'补仓对账'!$F$5:$F$1204,"异常待处理"))</x:f>
      </x:c>
      <x:c r="J116" s="72" t="str">
        <x:f>IF(A116="","",SUM(D116:I116))</x:f>
      </x:c>
      <x:c r="K116" s="72" t="str">
        <x:f>IF(A116="","",C116-J116)</x:f>
      </x:c>
      <x:c r="L116" s="72" t="str">
        <x:f>IF(A116="","",D116+E116)</x:f>
      </x:c>
      <x:c r="M116" s="72" t="str">
        <x:f>IF(A116="","",F116+G116+H116+I116)</x:f>
      </x:c>
      <x:c r="N116" s="64" t="str">
        <x:f>IF(A116="","",IF(AND(B116=C116,K116=0),IF(M116=0,"最终库存已闭环","流向对平，仍有待办"),"检查"))</x:f>
      </x:c>
    </x:row>
    <x:row r="117">
      <x:c r="A117" s="73"/>
      <x:c r="B117" s="72" t="str">
        <x:f>IF(A117="","",COUNTIFS('Steam卖出对账'!$C$5:$C$1204,A117,'Steam卖出对账'!$H$5:$H$1204,"&gt;0"))</x:f>
      </x:c>
      <x:c r="C117" s="72" t="str">
        <x:f>IF(A117="","",COUNTIFS('Steam卖出对账'!$C$5:$C$1204,A117,'Steam卖出对账'!$I$5:$I$1204,"&gt;0"))</x:f>
      </x:c>
      <x:c r="D117" s="72" t="str">
        <x:f>IF($A117="","",SUMIFS('补仓对账'!$Q$5:$Q$1204,'补仓对账'!$B$5:$B$1204,$A117,'补仓对账'!$F$5:$F$1204,"C117成功"))</x:f>
      </x:c>
      <x:c r="E117" s="72" t="str">
        <x:f>IF($A117="","",SUMIFS('补仓对账'!$Q$5:$Q$1204,'补仓对账'!$B$5:$B$1204,$A117,'补仓对账'!$F$5:$F$1204,"手动完结"))</x:f>
      </x:c>
      <x:c r="F117" s="72" t="str">
        <x:f>IF($A117="","",SUMIFS('补仓对账'!$Q$5:$Q$1204,'补仓对账'!$B$5:$B$1204,$A117,'补仓对账'!$F$5:$F$1204,"C117发货确认中"))</x:f>
      </x:c>
      <x:c r="G117" s="72" t="str">
        <x:f>IF($A117="","",SUMIFS('补仓对账'!$Q$5:$Q$1204,'补仓对账'!$B$5:$B$1204,$A117,'补仓对账'!$F$5:$F$1204,"卖出待补仓"))</x:f>
      </x:c>
      <x:c r="H117" s="72" t="str">
        <x:f>IF($A117="","",SUMIFS('补仓对账'!$Q$5:$Q$1204,'补仓对账'!$B$5:$B$1204,$A117,'补仓对账'!$F$5:$F$1204,"提交结果待确认"))</x:f>
      </x:c>
      <x:c r="I117" s="72" t="str">
        <x:f>IF($A117="","",SUMIFS('补仓对账'!$Q$5:$Q$1204,'补仓对账'!$B$5:$B$1204,$A117,'补仓对账'!$F$5:$F$1204,"异常待处理"))</x:f>
      </x:c>
      <x:c r="J117" s="72" t="str">
        <x:f>IF(A117="","",SUM(D117:I117))</x:f>
      </x:c>
      <x:c r="K117" s="72" t="str">
        <x:f>IF(A117="","",C117-J117)</x:f>
      </x:c>
      <x:c r="L117" s="72" t="str">
        <x:f>IF(A117="","",D117+E117)</x:f>
      </x:c>
      <x:c r="M117" s="72" t="str">
        <x:f>IF(A117="","",F117+G117+H117+I117)</x:f>
      </x:c>
      <x:c r="N117" s="64" t="str">
        <x:f>IF(A117="","",IF(AND(B117=C117,K117=0),IF(M117=0,"最终库存已闭环","流向对平，仍有待办"),"检查"))</x:f>
      </x:c>
    </x:row>
    <x:row r="118">
      <x:c r="A118" s="73"/>
      <x:c r="B118" s="72" t="str">
        <x:f>IF(A118="","",COUNTIFS('Steam卖出对账'!$C$5:$C$1204,A118,'Steam卖出对账'!$H$5:$H$1204,"&gt;0"))</x:f>
      </x:c>
      <x:c r="C118" s="72" t="str">
        <x:f>IF(A118="","",COUNTIFS('Steam卖出对账'!$C$5:$C$1204,A118,'Steam卖出对账'!$I$5:$I$1204,"&gt;0"))</x:f>
      </x:c>
      <x:c r="D118" s="72" t="str">
        <x:f>IF($A118="","",SUMIFS('补仓对账'!$Q$5:$Q$1204,'补仓对账'!$B$5:$B$1204,$A118,'补仓对账'!$F$5:$F$1204,"C118成功"))</x:f>
      </x:c>
      <x:c r="E118" s="72" t="str">
        <x:f>IF($A118="","",SUMIFS('补仓对账'!$Q$5:$Q$1204,'补仓对账'!$B$5:$B$1204,$A118,'补仓对账'!$F$5:$F$1204,"手动完结"))</x:f>
      </x:c>
      <x:c r="F118" s="72" t="str">
        <x:f>IF($A118="","",SUMIFS('补仓对账'!$Q$5:$Q$1204,'补仓对账'!$B$5:$B$1204,$A118,'补仓对账'!$F$5:$F$1204,"C118发货确认中"))</x:f>
      </x:c>
      <x:c r="G118" s="72" t="str">
        <x:f>IF($A118="","",SUMIFS('补仓对账'!$Q$5:$Q$1204,'补仓对账'!$B$5:$B$1204,$A118,'补仓对账'!$F$5:$F$1204,"卖出待补仓"))</x:f>
      </x:c>
      <x:c r="H118" s="72" t="str">
        <x:f>IF($A118="","",SUMIFS('补仓对账'!$Q$5:$Q$1204,'补仓对账'!$B$5:$B$1204,$A118,'补仓对账'!$F$5:$F$1204,"提交结果待确认"))</x:f>
      </x:c>
      <x:c r="I118" s="72" t="str">
        <x:f>IF($A118="","",SUMIFS('补仓对账'!$Q$5:$Q$1204,'补仓对账'!$B$5:$B$1204,$A118,'补仓对账'!$F$5:$F$1204,"异常待处理"))</x:f>
      </x:c>
      <x:c r="J118" s="72" t="str">
        <x:f>IF(A118="","",SUM(D118:I118))</x:f>
      </x:c>
      <x:c r="K118" s="72" t="str">
        <x:f>IF(A118="","",C118-J118)</x:f>
      </x:c>
      <x:c r="L118" s="72" t="str">
        <x:f>IF(A118="","",D118+E118)</x:f>
      </x:c>
      <x:c r="M118" s="72" t="str">
        <x:f>IF(A118="","",F118+G118+H118+I118)</x:f>
      </x:c>
      <x:c r="N118" s="64" t="str">
        <x:f>IF(A118="","",IF(AND(B118=C118,K118=0),IF(M118=0,"最终库存已闭环","流向对平，仍有待办"),"检查"))</x:f>
      </x:c>
    </x:row>
    <x:row r="119">
      <x:c r="A119" s="73"/>
      <x:c r="B119" s="72" t="str">
        <x:f>IF(A119="","",COUNTIFS('Steam卖出对账'!$C$5:$C$1204,A119,'Steam卖出对账'!$H$5:$H$1204,"&gt;0"))</x:f>
      </x:c>
      <x:c r="C119" s="72" t="str">
        <x:f>IF(A119="","",COUNTIFS('Steam卖出对账'!$C$5:$C$1204,A119,'Steam卖出对账'!$I$5:$I$1204,"&gt;0"))</x:f>
      </x:c>
      <x:c r="D119" s="72" t="str">
        <x:f>IF($A119="","",SUMIFS('补仓对账'!$Q$5:$Q$1204,'补仓对账'!$B$5:$B$1204,$A119,'补仓对账'!$F$5:$F$1204,"C119成功"))</x:f>
      </x:c>
      <x:c r="E119" s="72" t="str">
        <x:f>IF($A119="","",SUMIFS('补仓对账'!$Q$5:$Q$1204,'补仓对账'!$B$5:$B$1204,$A119,'补仓对账'!$F$5:$F$1204,"手动完结"))</x:f>
      </x:c>
      <x:c r="F119" s="72" t="str">
        <x:f>IF($A119="","",SUMIFS('补仓对账'!$Q$5:$Q$1204,'补仓对账'!$B$5:$B$1204,$A119,'补仓对账'!$F$5:$F$1204,"C119发货确认中"))</x:f>
      </x:c>
      <x:c r="G119" s="72" t="str">
        <x:f>IF($A119="","",SUMIFS('补仓对账'!$Q$5:$Q$1204,'补仓对账'!$B$5:$B$1204,$A119,'补仓对账'!$F$5:$F$1204,"卖出待补仓"))</x:f>
      </x:c>
      <x:c r="H119" s="72" t="str">
        <x:f>IF($A119="","",SUMIFS('补仓对账'!$Q$5:$Q$1204,'补仓对账'!$B$5:$B$1204,$A119,'补仓对账'!$F$5:$F$1204,"提交结果待确认"))</x:f>
      </x:c>
      <x:c r="I119" s="72" t="str">
        <x:f>IF($A119="","",SUMIFS('补仓对账'!$Q$5:$Q$1204,'补仓对账'!$B$5:$B$1204,$A119,'补仓对账'!$F$5:$F$1204,"异常待处理"))</x:f>
      </x:c>
      <x:c r="J119" s="72" t="str">
        <x:f>IF(A119="","",SUM(D119:I119))</x:f>
      </x:c>
      <x:c r="K119" s="72" t="str">
        <x:f>IF(A119="","",C119-J119)</x:f>
      </x:c>
      <x:c r="L119" s="72" t="str">
        <x:f>IF(A119="","",D119+E119)</x:f>
      </x:c>
      <x:c r="M119" s="72" t="str">
        <x:f>IF(A119="","",F119+G119+H119+I119)</x:f>
      </x:c>
      <x:c r="N119" s="64" t="str">
        <x:f>IF(A119="","",IF(AND(B119=C119,K119=0),IF(M119=0,"最终库存已闭环","流向对平，仍有待办"),"检查"))</x:f>
      </x:c>
    </x:row>
    <x:row r="120">
      <x:c r="A120" s="73"/>
      <x:c r="B120" s="72" t="str">
        <x:f>IF(A120="","",COUNTIFS('Steam卖出对账'!$C$5:$C$1204,A120,'Steam卖出对账'!$H$5:$H$1204,"&gt;0"))</x:f>
      </x:c>
      <x:c r="C120" s="72" t="str">
        <x:f>IF(A120="","",COUNTIFS('Steam卖出对账'!$C$5:$C$1204,A120,'Steam卖出对账'!$I$5:$I$1204,"&gt;0"))</x:f>
      </x:c>
      <x:c r="D120" s="72" t="str">
        <x:f>IF($A120="","",SUMIFS('补仓对账'!$Q$5:$Q$1204,'补仓对账'!$B$5:$B$1204,$A120,'补仓对账'!$F$5:$F$1204,"C120成功"))</x:f>
      </x:c>
      <x:c r="E120" s="72" t="str">
        <x:f>IF($A120="","",SUMIFS('补仓对账'!$Q$5:$Q$1204,'补仓对账'!$B$5:$B$1204,$A120,'补仓对账'!$F$5:$F$1204,"手动完结"))</x:f>
      </x:c>
      <x:c r="F120" s="72" t="str">
        <x:f>IF($A120="","",SUMIFS('补仓对账'!$Q$5:$Q$1204,'补仓对账'!$B$5:$B$1204,$A120,'补仓对账'!$F$5:$F$1204,"C120发货确认中"))</x:f>
      </x:c>
      <x:c r="G120" s="72" t="str">
        <x:f>IF($A120="","",SUMIFS('补仓对账'!$Q$5:$Q$1204,'补仓对账'!$B$5:$B$1204,$A120,'补仓对账'!$F$5:$F$1204,"卖出待补仓"))</x:f>
      </x:c>
      <x:c r="H120" s="72" t="str">
        <x:f>IF($A120="","",SUMIFS('补仓对账'!$Q$5:$Q$1204,'补仓对账'!$B$5:$B$1204,$A120,'补仓对账'!$F$5:$F$1204,"提交结果待确认"))</x:f>
      </x:c>
      <x:c r="I120" s="72" t="str">
        <x:f>IF($A120="","",SUMIFS('补仓对账'!$Q$5:$Q$1204,'补仓对账'!$B$5:$B$1204,$A120,'补仓对账'!$F$5:$F$1204,"异常待处理"))</x:f>
      </x:c>
      <x:c r="J120" s="72" t="str">
        <x:f>IF(A120="","",SUM(D120:I120))</x:f>
      </x:c>
      <x:c r="K120" s="72" t="str">
        <x:f>IF(A120="","",C120-J120)</x:f>
      </x:c>
      <x:c r="L120" s="72" t="str">
        <x:f>IF(A120="","",D120+E120)</x:f>
      </x:c>
      <x:c r="M120" s="72" t="str">
        <x:f>IF(A120="","",F120+G120+H120+I120)</x:f>
      </x:c>
      <x:c r="N120" s="64" t="str">
        <x:f>IF(A120="","",IF(AND(B120=C120,K120=0),IF(M120=0,"最终库存已闭环","流向对平，仍有待办"),"检查"))</x:f>
      </x:c>
    </x:row>
    <x:row r="121">
      <x:c r="A121" s="73"/>
      <x:c r="B121" s="72" t="str">
        <x:f>IF(A121="","",COUNTIFS('Steam卖出对账'!$C$5:$C$1204,A121,'Steam卖出对账'!$H$5:$H$1204,"&gt;0"))</x:f>
      </x:c>
      <x:c r="C121" s="72" t="str">
        <x:f>IF(A121="","",COUNTIFS('Steam卖出对账'!$C$5:$C$1204,A121,'Steam卖出对账'!$I$5:$I$1204,"&gt;0"))</x:f>
      </x:c>
      <x:c r="D121" s="72" t="str">
        <x:f>IF($A121="","",SUMIFS('补仓对账'!$Q$5:$Q$1204,'补仓对账'!$B$5:$B$1204,$A121,'补仓对账'!$F$5:$F$1204,"C121成功"))</x:f>
      </x:c>
      <x:c r="E121" s="72" t="str">
        <x:f>IF($A121="","",SUMIFS('补仓对账'!$Q$5:$Q$1204,'补仓对账'!$B$5:$B$1204,$A121,'补仓对账'!$F$5:$F$1204,"手动完结"))</x:f>
      </x:c>
      <x:c r="F121" s="72" t="str">
        <x:f>IF($A121="","",SUMIFS('补仓对账'!$Q$5:$Q$1204,'补仓对账'!$B$5:$B$1204,$A121,'补仓对账'!$F$5:$F$1204,"C121发货确认中"))</x:f>
      </x:c>
      <x:c r="G121" s="72" t="str">
        <x:f>IF($A121="","",SUMIFS('补仓对账'!$Q$5:$Q$1204,'补仓对账'!$B$5:$B$1204,$A121,'补仓对账'!$F$5:$F$1204,"卖出待补仓"))</x:f>
      </x:c>
      <x:c r="H121" s="72" t="str">
        <x:f>IF($A121="","",SUMIFS('补仓对账'!$Q$5:$Q$1204,'补仓对账'!$B$5:$B$1204,$A121,'补仓对账'!$F$5:$F$1204,"提交结果待确认"))</x:f>
      </x:c>
      <x:c r="I121" s="72" t="str">
        <x:f>IF($A121="","",SUMIFS('补仓对账'!$Q$5:$Q$1204,'补仓对账'!$B$5:$B$1204,$A121,'补仓对账'!$F$5:$F$1204,"异常待处理"))</x:f>
      </x:c>
      <x:c r="J121" s="72" t="str">
        <x:f>IF(A121="","",SUM(D121:I121))</x:f>
      </x:c>
      <x:c r="K121" s="72" t="str">
        <x:f>IF(A121="","",C121-J121)</x:f>
      </x:c>
      <x:c r="L121" s="72" t="str">
        <x:f>IF(A121="","",D121+E121)</x:f>
      </x:c>
      <x:c r="M121" s="72" t="str">
        <x:f>IF(A121="","",F121+G121+H121+I121)</x:f>
      </x:c>
      <x:c r="N121" s="64" t="str">
        <x:f>IF(A121="","",IF(AND(B121=C121,K121=0),IF(M121=0,"最终库存已闭环","流向对平，仍有待办"),"检查"))</x:f>
      </x:c>
    </x:row>
    <x:row r="122">
      <x:c r="A122" s="73"/>
      <x:c r="B122" s="72" t="str">
        <x:f>IF(A122="","",COUNTIFS('Steam卖出对账'!$C$5:$C$1204,A122,'Steam卖出对账'!$H$5:$H$1204,"&gt;0"))</x:f>
      </x:c>
      <x:c r="C122" s="72" t="str">
        <x:f>IF(A122="","",COUNTIFS('Steam卖出对账'!$C$5:$C$1204,A122,'Steam卖出对账'!$I$5:$I$1204,"&gt;0"))</x:f>
      </x:c>
      <x:c r="D122" s="72" t="str">
        <x:f>IF($A122="","",SUMIFS('补仓对账'!$Q$5:$Q$1204,'补仓对账'!$B$5:$B$1204,$A122,'补仓对账'!$F$5:$F$1204,"C122成功"))</x:f>
      </x:c>
      <x:c r="E122" s="72" t="str">
        <x:f>IF($A122="","",SUMIFS('补仓对账'!$Q$5:$Q$1204,'补仓对账'!$B$5:$B$1204,$A122,'补仓对账'!$F$5:$F$1204,"手动完结"))</x:f>
      </x:c>
      <x:c r="F122" s="72" t="str">
        <x:f>IF($A122="","",SUMIFS('补仓对账'!$Q$5:$Q$1204,'补仓对账'!$B$5:$B$1204,$A122,'补仓对账'!$F$5:$F$1204,"C122发货确认中"))</x:f>
      </x:c>
      <x:c r="G122" s="72" t="str">
        <x:f>IF($A122="","",SUMIFS('补仓对账'!$Q$5:$Q$1204,'补仓对账'!$B$5:$B$1204,$A122,'补仓对账'!$F$5:$F$1204,"卖出待补仓"))</x:f>
      </x:c>
      <x:c r="H122" s="72" t="str">
        <x:f>IF($A122="","",SUMIFS('补仓对账'!$Q$5:$Q$1204,'补仓对账'!$B$5:$B$1204,$A122,'补仓对账'!$F$5:$F$1204,"提交结果待确认"))</x:f>
      </x:c>
      <x:c r="I122" s="72" t="str">
        <x:f>IF($A122="","",SUMIFS('补仓对账'!$Q$5:$Q$1204,'补仓对账'!$B$5:$B$1204,$A122,'补仓对账'!$F$5:$F$1204,"异常待处理"))</x:f>
      </x:c>
      <x:c r="J122" s="72" t="str">
        <x:f>IF(A122="","",SUM(D122:I122))</x:f>
      </x:c>
      <x:c r="K122" s="72" t="str">
        <x:f>IF(A122="","",C122-J122)</x:f>
      </x:c>
      <x:c r="L122" s="72" t="str">
        <x:f>IF(A122="","",D122+E122)</x:f>
      </x:c>
      <x:c r="M122" s="72" t="str">
        <x:f>IF(A122="","",F122+G122+H122+I122)</x:f>
      </x:c>
      <x:c r="N122" s="64" t="str">
        <x:f>IF(A122="","",IF(AND(B122=C122,K122=0),IF(M122=0,"最终库存已闭环","流向对平，仍有待办"),"检查"))</x:f>
      </x:c>
    </x:row>
    <x:row r="123">
      <x:c r="A123" s="73"/>
      <x:c r="B123" s="72" t="str">
        <x:f>IF(A123="","",COUNTIFS('Steam卖出对账'!$C$5:$C$1204,A123,'Steam卖出对账'!$H$5:$H$1204,"&gt;0"))</x:f>
      </x:c>
      <x:c r="C123" s="72" t="str">
        <x:f>IF(A123="","",COUNTIFS('Steam卖出对账'!$C$5:$C$1204,A123,'Steam卖出对账'!$I$5:$I$1204,"&gt;0"))</x:f>
      </x:c>
      <x:c r="D123" s="72" t="str">
        <x:f>IF($A123="","",SUMIFS('补仓对账'!$Q$5:$Q$1204,'补仓对账'!$B$5:$B$1204,$A123,'补仓对账'!$F$5:$F$1204,"C123成功"))</x:f>
      </x:c>
      <x:c r="E123" s="72" t="str">
        <x:f>IF($A123="","",SUMIFS('补仓对账'!$Q$5:$Q$1204,'补仓对账'!$B$5:$B$1204,$A123,'补仓对账'!$F$5:$F$1204,"手动完结"))</x:f>
      </x:c>
      <x:c r="F123" s="72" t="str">
        <x:f>IF($A123="","",SUMIFS('补仓对账'!$Q$5:$Q$1204,'补仓对账'!$B$5:$B$1204,$A123,'补仓对账'!$F$5:$F$1204,"C123发货确认中"))</x:f>
      </x:c>
      <x:c r="G123" s="72" t="str">
        <x:f>IF($A123="","",SUMIFS('补仓对账'!$Q$5:$Q$1204,'补仓对账'!$B$5:$B$1204,$A123,'补仓对账'!$F$5:$F$1204,"卖出待补仓"))</x:f>
      </x:c>
      <x:c r="H123" s="72" t="str">
        <x:f>IF($A123="","",SUMIFS('补仓对账'!$Q$5:$Q$1204,'补仓对账'!$B$5:$B$1204,$A123,'补仓对账'!$F$5:$F$1204,"提交结果待确认"))</x:f>
      </x:c>
      <x:c r="I123" s="72" t="str">
        <x:f>IF($A123="","",SUMIFS('补仓对账'!$Q$5:$Q$1204,'补仓对账'!$B$5:$B$1204,$A123,'补仓对账'!$F$5:$F$1204,"异常待处理"))</x:f>
      </x:c>
      <x:c r="J123" s="72" t="str">
        <x:f>IF(A123="","",SUM(D123:I123))</x:f>
      </x:c>
      <x:c r="K123" s="72" t="str">
        <x:f>IF(A123="","",C123-J123)</x:f>
      </x:c>
      <x:c r="L123" s="72" t="str">
        <x:f>IF(A123="","",D123+E123)</x:f>
      </x:c>
      <x:c r="M123" s="72" t="str">
        <x:f>IF(A123="","",F123+G123+H123+I123)</x:f>
      </x:c>
      <x:c r="N123" s="64" t="str">
        <x:f>IF(A123="","",IF(AND(B123=C123,K123=0),IF(M123=0,"最终库存已闭环","流向对平，仍有待办"),"检查"))</x:f>
      </x:c>
    </x:row>
    <x:row r="124">
      <x:c r="A124" s="73"/>
      <x:c r="B124" s="72" t="str">
        <x:f>IF(A124="","",COUNTIFS('Steam卖出对账'!$C$5:$C$1204,A124,'Steam卖出对账'!$H$5:$H$1204,"&gt;0"))</x:f>
      </x:c>
      <x:c r="C124" s="72" t="str">
        <x:f>IF(A124="","",COUNTIFS('Steam卖出对账'!$C$5:$C$1204,A124,'Steam卖出对账'!$I$5:$I$1204,"&gt;0"))</x:f>
      </x:c>
      <x:c r="D124" s="72" t="str">
        <x:f>IF($A124="","",SUMIFS('补仓对账'!$Q$5:$Q$1204,'补仓对账'!$B$5:$B$1204,$A124,'补仓对账'!$F$5:$F$1204,"C124成功"))</x:f>
      </x:c>
      <x:c r="E124" s="72" t="str">
        <x:f>IF($A124="","",SUMIFS('补仓对账'!$Q$5:$Q$1204,'补仓对账'!$B$5:$B$1204,$A124,'补仓对账'!$F$5:$F$1204,"手动完结"))</x:f>
      </x:c>
      <x:c r="F124" s="72" t="str">
        <x:f>IF($A124="","",SUMIFS('补仓对账'!$Q$5:$Q$1204,'补仓对账'!$B$5:$B$1204,$A124,'补仓对账'!$F$5:$F$1204,"C124发货确认中"))</x:f>
      </x:c>
      <x:c r="G124" s="72" t="str">
        <x:f>IF($A124="","",SUMIFS('补仓对账'!$Q$5:$Q$1204,'补仓对账'!$B$5:$B$1204,$A124,'补仓对账'!$F$5:$F$1204,"卖出待补仓"))</x:f>
      </x:c>
      <x:c r="H124" s="72" t="str">
        <x:f>IF($A124="","",SUMIFS('补仓对账'!$Q$5:$Q$1204,'补仓对账'!$B$5:$B$1204,$A124,'补仓对账'!$F$5:$F$1204,"提交结果待确认"))</x:f>
      </x:c>
      <x:c r="I124" s="72" t="str">
        <x:f>IF($A124="","",SUMIFS('补仓对账'!$Q$5:$Q$1204,'补仓对账'!$B$5:$B$1204,$A124,'补仓对账'!$F$5:$F$1204,"异常待处理"))</x:f>
      </x:c>
      <x:c r="J124" s="72" t="str">
        <x:f>IF(A124="","",SUM(D124:I124))</x:f>
      </x:c>
      <x:c r="K124" s="72" t="str">
        <x:f>IF(A124="","",C124-J124)</x:f>
      </x:c>
      <x:c r="L124" s="72" t="str">
        <x:f>IF(A124="","",D124+E124)</x:f>
      </x:c>
      <x:c r="M124" s="72" t="str">
        <x:f>IF(A124="","",F124+G124+H124+I124)</x:f>
      </x:c>
      <x:c r="N124" s="64" t="str">
        <x:f>IF(A124="","",IF(AND(B124=C124,K124=0),IF(M124=0,"最终库存已闭环","流向对平，仍有待办"),"检查"))</x:f>
      </x:c>
    </x:row>
    <x:row r="125">
      <x:c r="A125" s="73"/>
      <x:c r="B125" s="72" t="str">
        <x:f>IF(A125="","",COUNTIFS('Steam卖出对账'!$C$5:$C$1204,A125,'Steam卖出对账'!$H$5:$H$1204,"&gt;0"))</x:f>
      </x:c>
      <x:c r="C125" s="72" t="str">
        <x:f>IF(A125="","",COUNTIFS('Steam卖出对账'!$C$5:$C$1204,A125,'Steam卖出对账'!$I$5:$I$1204,"&gt;0"))</x:f>
      </x:c>
      <x:c r="D125" s="72" t="str">
        <x:f>IF($A125="","",SUMIFS('补仓对账'!$Q$5:$Q$1204,'补仓对账'!$B$5:$B$1204,$A125,'补仓对账'!$F$5:$F$1204,"C125成功"))</x:f>
      </x:c>
      <x:c r="E125" s="72" t="str">
        <x:f>IF($A125="","",SUMIFS('补仓对账'!$Q$5:$Q$1204,'补仓对账'!$B$5:$B$1204,$A125,'补仓对账'!$F$5:$F$1204,"手动完结"))</x:f>
      </x:c>
      <x:c r="F125" s="72" t="str">
        <x:f>IF($A125="","",SUMIFS('补仓对账'!$Q$5:$Q$1204,'补仓对账'!$B$5:$B$1204,$A125,'补仓对账'!$F$5:$F$1204,"C125发货确认中"))</x:f>
      </x:c>
      <x:c r="G125" s="72" t="str">
        <x:f>IF($A125="","",SUMIFS('补仓对账'!$Q$5:$Q$1204,'补仓对账'!$B$5:$B$1204,$A125,'补仓对账'!$F$5:$F$1204,"卖出待补仓"))</x:f>
      </x:c>
      <x:c r="H125" s="72" t="str">
        <x:f>IF($A125="","",SUMIFS('补仓对账'!$Q$5:$Q$1204,'补仓对账'!$B$5:$B$1204,$A125,'补仓对账'!$F$5:$F$1204,"提交结果待确认"))</x:f>
      </x:c>
      <x:c r="I125" s="72" t="str">
        <x:f>IF($A125="","",SUMIFS('补仓对账'!$Q$5:$Q$1204,'补仓对账'!$B$5:$B$1204,$A125,'补仓对账'!$F$5:$F$1204,"异常待处理"))</x:f>
      </x:c>
      <x:c r="J125" s="72" t="str">
        <x:f>IF(A125="","",SUM(D125:I125))</x:f>
      </x:c>
      <x:c r="K125" s="72" t="str">
        <x:f>IF(A125="","",C125-J125)</x:f>
      </x:c>
      <x:c r="L125" s="72" t="str">
        <x:f>IF(A125="","",D125+E125)</x:f>
      </x:c>
      <x:c r="M125" s="72" t="str">
        <x:f>IF(A125="","",F125+G125+H125+I125)</x:f>
      </x:c>
      <x:c r="N125" s="64" t="str">
        <x:f>IF(A125="","",IF(AND(B125=C125,K125=0),IF(M125=0,"最终库存已闭环","流向对平，仍有待办"),"检查"))</x:f>
      </x:c>
    </x:row>
    <x:row r="126">
      <x:c r="A126" s="73"/>
      <x:c r="B126" s="72" t="str">
        <x:f>IF(A126="","",COUNTIFS('Steam卖出对账'!$C$5:$C$1204,A126,'Steam卖出对账'!$H$5:$H$1204,"&gt;0"))</x:f>
      </x:c>
      <x:c r="C126" s="72" t="str">
        <x:f>IF(A126="","",COUNTIFS('Steam卖出对账'!$C$5:$C$1204,A126,'Steam卖出对账'!$I$5:$I$1204,"&gt;0"))</x:f>
      </x:c>
      <x:c r="D126" s="72" t="str">
        <x:f>IF($A126="","",SUMIFS('补仓对账'!$Q$5:$Q$1204,'补仓对账'!$B$5:$B$1204,$A126,'补仓对账'!$F$5:$F$1204,"C126成功"))</x:f>
      </x:c>
      <x:c r="E126" s="72" t="str">
        <x:f>IF($A126="","",SUMIFS('补仓对账'!$Q$5:$Q$1204,'补仓对账'!$B$5:$B$1204,$A126,'补仓对账'!$F$5:$F$1204,"手动完结"))</x:f>
      </x:c>
      <x:c r="F126" s="72" t="str">
        <x:f>IF($A126="","",SUMIFS('补仓对账'!$Q$5:$Q$1204,'补仓对账'!$B$5:$B$1204,$A126,'补仓对账'!$F$5:$F$1204,"C126发货确认中"))</x:f>
      </x:c>
      <x:c r="G126" s="72" t="str">
        <x:f>IF($A126="","",SUMIFS('补仓对账'!$Q$5:$Q$1204,'补仓对账'!$B$5:$B$1204,$A126,'补仓对账'!$F$5:$F$1204,"卖出待补仓"))</x:f>
      </x:c>
      <x:c r="H126" s="72" t="str">
        <x:f>IF($A126="","",SUMIFS('补仓对账'!$Q$5:$Q$1204,'补仓对账'!$B$5:$B$1204,$A126,'补仓对账'!$F$5:$F$1204,"提交结果待确认"))</x:f>
      </x:c>
      <x:c r="I126" s="72" t="str">
        <x:f>IF($A126="","",SUMIFS('补仓对账'!$Q$5:$Q$1204,'补仓对账'!$B$5:$B$1204,$A126,'补仓对账'!$F$5:$F$1204,"异常待处理"))</x:f>
      </x:c>
      <x:c r="J126" s="72" t="str">
        <x:f>IF(A126="","",SUM(D126:I126))</x:f>
      </x:c>
      <x:c r="K126" s="72" t="str">
        <x:f>IF(A126="","",C126-J126)</x:f>
      </x:c>
      <x:c r="L126" s="72" t="str">
        <x:f>IF(A126="","",D126+E126)</x:f>
      </x:c>
      <x:c r="M126" s="72" t="str">
        <x:f>IF(A126="","",F126+G126+H126+I126)</x:f>
      </x:c>
      <x:c r="N126" s="64" t="str">
        <x:f>IF(A126="","",IF(AND(B126=C126,K126=0),IF(M126=0,"最终库存已闭环","流向对平，仍有待办"),"检查"))</x:f>
      </x:c>
    </x:row>
    <x:row r="127">
      <x:c r="A127" s="73"/>
      <x:c r="B127" s="72" t="str">
        <x:f>IF(A127="","",COUNTIFS('Steam卖出对账'!$C$5:$C$1204,A127,'Steam卖出对账'!$H$5:$H$1204,"&gt;0"))</x:f>
      </x:c>
      <x:c r="C127" s="72" t="str">
        <x:f>IF(A127="","",COUNTIFS('Steam卖出对账'!$C$5:$C$1204,A127,'Steam卖出对账'!$I$5:$I$1204,"&gt;0"))</x:f>
      </x:c>
      <x:c r="D127" s="72" t="str">
        <x:f>IF($A127="","",SUMIFS('补仓对账'!$Q$5:$Q$1204,'补仓对账'!$B$5:$B$1204,$A127,'补仓对账'!$F$5:$F$1204,"C127成功"))</x:f>
      </x:c>
      <x:c r="E127" s="72" t="str">
        <x:f>IF($A127="","",SUMIFS('补仓对账'!$Q$5:$Q$1204,'补仓对账'!$B$5:$B$1204,$A127,'补仓对账'!$F$5:$F$1204,"手动完结"))</x:f>
      </x:c>
      <x:c r="F127" s="72" t="str">
        <x:f>IF($A127="","",SUMIFS('补仓对账'!$Q$5:$Q$1204,'补仓对账'!$B$5:$B$1204,$A127,'补仓对账'!$F$5:$F$1204,"C127发货确认中"))</x:f>
      </x:c>
      <x:c r="G127" s="72" t="str">
        <x:f>IF($A127="","",SUMIFS('补仓对账'!$Q$5:$Q$1204,'补仓对账'!$B$5:$B$1204,$A127,'补仓对账'!$F$5:$F$1204,"卖出待补仓"))</x:f>
      </x:c>
      <x:c r="H127" s="72" t="str">
        <x:f>IF($A127="","",SUMIFS('补仓对账'!$Q$5:$Q$1204,'补仓对账'!$B$5:$B$1204,$A127,'补仓对账'!$F$5:$F$1204,"提交结果待确认"))</x:f>
      </x:c>
      <x:c r="I127" s="72" t="str">
        <x:f>IF($A127="","",SUMIFS('补仓对账'!$Q$5:$Q$1204,'补仓对账'!$B$5:$B$1204,$A127,'补仓对账'!$F$5:$F$1204,"异常待处理"))</x:f>
      </x:c>
      <x:c r="J127" s="72" t="str">
        <x:f>IF(A127="","",SUM(D127:I127))</x:f>
      </x:c>
      <x:c r="K127" s="72" t="str">
        <x:f>IF(A127="","",C127-J127)</x:f>
      </x:c>
      <x:c r="L127" s="72" t="str">
        <x:f>IF(A127="","",D127+E127)</x:f>
      </x:c>
      <x:c r="M127" s="72" t="str">
        <x:f>IF(A127="","",F127+G127+H127+I127)</x:f>
      </x:c>
      <x:c r="N127" s="64" t="str">
        <x:f>IF(A127="","",IF(AND(B127=C127,K127=0),IF(M127=0,"最终库存已闭环","流向对平，仍有待办"),"检查"))</x:f>
      </x:c>
    </x:row>
    <x:row r="128">
      <x:c r="A128" s="73"/>
      <x:c r="B128" s="72" t="str">
        <x:f>IF(A128="","",COUNTIFS('Steam卖出对账'!$C$5:$C$1204,A128,'Steam卖出对账'!$H$5:$H$1204,"&gt;0"))</x:f>
      </x:c>
      <x:c r="C128" s="72" t="str">
        <x:f>IF(A128="","",COUNTIFS('Steam卖出对账'!$C$5:$C$1204,A128,'Steam卖出对账'!$I$5:$I$1204,"&gt;0"))</x:f>
      </x:c>
      <x:c r="D128" s="72" t="str">
        <x:f>IF($A128="","",SUMIFS('补仓对账'!$Q$5:$Q$1204,'补仓对账'!$B$5:$B$1204,$A128,'补仓对账'!$F$5:$F$1204,"C128成功"))</x:f>
      </x:c>
      <x:c r="E128" s="72" t="str">
        <x:f>IF($A128="","",SUMIFS('补仓对账'!$Q$5:$Q$1204,'补仓对账'!$B$5:$B$1204,$A128,'补仓对账'!$F$5:$F$1204,"手动完结"))</x:f>
      </x:c>
      <x:c r="F128" s="72" t="str">
        <x:f>IF($A128="","",SUMIFS('补仓对账'!$Q$5:$Q$1204,'补仓对账'!$B$5:$B$1204,$A128,'补仓对账'!$F$5:$F$1204,"C128发货确认中"))</x:f>
      </x:c>
      <x:c r="G128" s="72" t="str">
        <x:f>IF($A128="","",SUMIFS('补仓对账'!$Q$5:$Q$1204,'补仓对账'!$B$5:$B$1204,$A128,'补仓对账'!$F$5:$F$1204,"卖出待补仓"))</x:f>
      </x:c>
      <x:c r="H128" s="72" t="str">
        <x:f>IF($A128="","",SUMIFS('补仓对账'!$Q$5:$Q$1204,'补仓对账'!$B$5:$B$1204,$A128,'补仓对账'!$F$5:$F$1204,"提交结果待确认"))</x:f>
      </x:c>
      <x:c r="I128" s="72" t="str">
        <x:f>IF($A128="","",SUMIFS('补仓对账'!$Q$5:$Q$1204,'补仓对账'!$B$5:$B$1204,$A128,'补仓对账'!$F$5:$F$1204,"异常待处理"))</x:f>
      </x:c>
      <x:c r="J128" s="72" t="str">
        <x:f>IF(A128="","",SUM(D128:I128))</x:f>
      </x:c>
      <x:c r="K128" s="72" t="str">
        <x:f>IF(A128="","",C128-J128)</x:f>
      </x:c>
      <x:c r="L128" s="72" t="str">
        <x:f>IF(A128="","",D128+E128)</x:f>
      </x:c>
      <x:c r="M128" s="72" t="str">
        <x:f>IF(A128="","",F128+G128+H128+I128)</x:f>
      </x:c>
      <x:c r="N128" s="64" t="str">
        <x:f>IF(A128="","",IF(AND(B128=C128,K128=0),IF(M128=0,"最终库存已闭环","流向对平，仍有待办"),"检查"))</x:f>
      </x:c>
    </x:row>
    <x:row r="129">
      <x:c r="A129" s="73"/>
      <x:c r="B129" s="72" t="str">
        <x:f>IF(A129="","",COUNTIFS('Steam卖出对账'!$C$5:$C$1204,A129,'Steam卖出对账'!$H$5:$H$1204,"&gt;0"))</x:f>
      </x:c>
      <x:c r="C129" s="72" t="str">
        <x:f>IF(A129="","",COUNTIFS('Steam卖出对账'!$C$5:$C$1204,A129,'Steam卖出对账'!$I$5:$I$1204,"&gt;0"))</x:f>
      </x:c>
      <x:c r="D129" s="72" t="str">
        <x:f>IF($A129="","",SUMIFS('补仓对账'!$Q$5:$Q$1204,'补仓对账'!$B$5:$B$1204,$A129,'补仓对账'!$F$5:$F$1204,"C129成功"))</x:f>
      </x:c>
      <x:c r="E129" s="72" t="str">
        <x:f>IF($A129="","",SUMIFS('补仓对账'!$Q$5:$Q$1204,'补仓对账'!$B$5:$B$1204,$A129,'补仓对账'!$F$5:$F$1204,"手动完结"))</x:f>
      </x:c>
      <x:c r="F129" s="72" t="str">
        <x:f>IF($A129="","",SUMIFS('补仓对账'!$Q$5:$Q$1204,'补仓对账'!$B$5:$B$1204,$A129,'补仓对账'!$F$5:$F$1204,"C129发货确认中"))</x:f>
      </x:c>
      <x:c r="G129" s="72" t="str">
        <x:f>IF($A129="","",SUMIFS('补仓对账'!$Q$5:$Q$1204,'补仓对账'!$B$5:$B$1204,$A129,'补仓对账'!$F$5:$F$1204,"卖出待补仓"))</x:f>
      </x:c>
      <x:c r="H129" s="72" t="str">
        <x:f>IF($A129="","",SUMIFS('补仓对账'!$Q$5:$Q$1204,'补仓对账'!$B$5:$B$1204,$A129,'补仓对账'!$F$5:$F$1204,"提交结果待确认"))</x:f>
      </x:c>
      <x:c r="I129" s="72" t="str">
        <x:f>IF($A129="","",SUMIFS('补仓对账'!$Q$5:$Q$1204,'补仓对账'!$B$5:$B$1204,$A129,'补仓对账'!$F$5:$F$1204,"异常待处理"))</x:f>
      </x:c>
      <x:c r="J129" s="72" t="str">
        <x:f>IF(A129="","",SUM(D129:I129))</x:f>
      </x:c>
      <x:c r="K129" s="72" t="str">
        <x:f>IF(A129="","",C129-J129)</x:f>
      </x:c>
      <x:c r="L129" s="72" t="str">
        <x:f>IF(A129="","",D129+E129)</x:f>
      </x:c>
      <x:c r="M129" s="72" t="str">
        <x:f>IF(A129="","",F129+G129+H129+I129)</x:f>
      </x:c>
      <x:c r="N129" s="64" t="str">
        <x:f>IF(A129="","",IF(AND(B129=C129,K129=0),IF(M129=0,"最终库存已闭环","流向对平，仍有待办"),"检查"))</x:f>
      </x:c>
    </x:row>
    <x:row r="130">
      <x:c r="A130" s="73"/>
      <x:c r="B130" s="72" t="str">
        <x:f>IF(A130="","",COUNTIFS('Steam卖出对账'!$C$5:$C$1204,A130,'Steam卖出对账'!$H$5:$H$1204,"&gt;0"))</x:f>
      </x:c>
      <x:c r="C130" s="72" t="str">
        <x:f>IF(A130="","",COUNTIFS('Steam卖出对账'!$C$5:$C$1204,A130,'Steam卖出对账'!$I$5:$I$1204,"&gt;0"))</x:f>
      </x:c>
      <x:c r="D130" s="72" t="str">
        <x:f>IF($A130="","",SUMIFS('补仓对账'!$Q$5:$Q$1204,'补仓对账'!$B$5:$B$1204,$A130,'补仓对账'!$F$5:$F$1204,"C130成功"))</x:f>
      </x:c>
      <x:c r="E130" s="72" t="str">
        <x:f>IF($A130="","",SUMIFS('补仓对账'!$Q$5:$Q$1204,'补仓对账'!$B$5:$B$1204,$A130,'补仓对账'!$F$5:$F$1204,"手动完结"))</x:f>
      </x:c>
      <x:c r="F130" s="72" t="str">
        <x:f>IF($A130="","",SUMIFS('补仓对账'!$Q$5:$Q$1204,'补仓对账'!$B$5:$B$1204,$A130,'补仓对账'!$F$5:$F$1204,"C130发货确认中"))</x:f>
      </x:c>
      <x:c r="G130" s="72" t="str">
        <x:f>IF($A130="","",SUMIFS('补仓对账'!$Q$5:$Q$1204,'补仓对账'!$B$5:$B$1204,$A130,'补仓对账'!$F$5:$F$1204,"卖出待补仓"))</x:f>
      </x:c>
      <x:c r="H130" s="72" t="str">
        <x:f>IF($A130="","",SUMIFS('补仓对账'!$Q$5:$Q$1204,'补仓对账'!$B$5:$B$1204,$A130,'补仓对账'!$F$5:$F$1204,"提交结果待确认"))</x:f>
      </x:c>
      <x:c r="I130" s="72" t="str">
        <x:f>IF($A130="","",SUMIFS('补仓对账'!$Q$5:$Q$1204,'补仓对账'!$B$5:$B$1204,$A130,'补仓对账'!$F$5:$F$1204,"异常待处理"))</x:f>
      </x:c>
      <x:c r="J130" s="72" t="str">
        <x:f>IF(A130="","",SUM(D130:I130))</x:f>
      </x:c>
      <x:c r="K130" s="72" t="str">
        <x:f>IF(A130="","",C130-J130)</x:f>
      </x:c>
      <x:c r="L130" s="72" t="str">
        <x:f>IF(A130="","",D130+E130)</x:f>
      </x:c>
      <x:c r="M130" s="72" t="str">
        <x:f>IF(A130="","",F130+G130+H130+I130)</x:f>
      </x:c>
      <x:c r="N130" s="64" t="str">
        <x:f>IF(A130="","",IF(AND(B130=C130,K130=0),IF(M130=0,"最终库存已闭环","流向对平，仍有待办"),"检查"))</x:f>
      </x:c>
    </x:row>
    <x:row r="131">
      <x:c r="A131" s="73"/>
      <x:c r="B131" s="72" t="str">
        <x:f>IF(A131="","",COUNTIFS('Steam卖出对账'!$C$5:$C$1204,A131,'Steam卖出对账'!$H$5:$H$1204,"&gt;0"))</x:f>
      </x:c>
      <x:c r="C131" s="72" t="str">
        <x:f>IF(A131="","",COUNTIFS('Steam卖出对账'!$C$5:$C$1204,A131,'Steam卖出对账'!$I$5:$I$1204,"&gt;0"))</x:f>
      </x:c>
      <x:c r="D131" s="72" t="str">
        <x:f>IF($A131="","",SUMIFS('补仓对账'!$Q$5:$Q$1204,'补仓对账'!$B$5:$B$1204,$A131,'补仓对账'!$F$5:$F$1204,"C131成功"))</x:f>
      </x:c>
      <x:c r="E131" s="72" t="str">
        <x:f>IF($A131="","",SUMIFS('补仓对账'!$Q$5:$Q$1204,'补仓对账'!$B$5:$B$1204,$A131,'补仓对账'!$F$5:$F$1204,"手动完结"))</x:f>
      </x:c>
      <x:c r="F131" s="72" t="str">
        <x:f>IF($A131="","",SUMIFS('补仓对账'!$Q$5:$Q$1204,'补仓对账'!$B$5:$B$1204,$A131,'补仓对账'!$F$5:$F$1204,"C131发货确认中"))</x:f>
      </x:c>
      <x:c r="G131" s="72" t="str">
        <x:f>IF($A131="","",SUMIFS('补仓对账'!$Q$5:$Q$1204,'补仓对账'!$B$5:$B$1204,$A131,'补仓对账'!$F$5:$F$1204,"卖出待补仓"))</x:f>
      </x:c>
      <x:c r="H131" s="72" t="str">
        <x:f>IF($A131="","",SUMIFS('补仓对账'!$Q$5:$Q$1204,'补仓对账'!$B$5:$B$1204,$A131,'补仓对账'!$F$5:$F$1204,"提交结果待确认"))</x:f>
      </x:c>
      <x:c r="I131" s="72" t="str">
        <x:f>IF($A131="","",SUMIFS('补仓对账'!$Q$5:$Q$1204,'补仓对账'!$B$5:$B$1204,$A131,'补仓对账'!$F$5:$F$1204,"异常待处理"))</x:f>
      </x:c>
      <x:c r="J131" s="72" t="str">
        <x:f>IF(A131="","",SUM(D131:I131))</x:f>
      </x:c>
      <x:c r="K131" s="72" t="str">
        <x:f>IF(A131="","",C131-J131)</x:f>
      </x:c>
      <x:c r="L131" s="72" t="str">
        <x:f>IF(A131="","",D131+E131)</x:f>
      </x:c>
      <x:c r="M131" s="72" t="str">
        <x:f>IF(A131="","",F131+G131+H131+I131)</x:f>
      </x:c>
      <x:c r="N131" s="64" t="str">
        <x:f>IF(A131="","",IF(AND(B131=C131,K131=0),IF(M131=0,"最终库存已闭环","流向对平，仍有待办"),"检查"))</x:f>
      </x:c>
    </x:row>
    <x:row r="132">
      <x:c r="A132" s="73"/>
      <x:c r="B132" s="72" t="str">
        <x:f>IF(A132="","",COUNTIFS('Steam卖出对账'!$C$5:$C$1204,A132,'Steam卖出对账'!$H$5:$H$1204,"&gt;0"))</x:f>
      </x:c>
      <x:c r="C132" s="72" t="str">
        <x:f>IF(A132="","",COUNTIFS('Steam卖出对账'!$C$5:$C$1204,A132,'Steam卖出对账'!$I$5:$I$1204,"&gt;0"))</x:f>
      </x:c>
      <x:c r="D132" s="72" t="str">
        <x:f>IF($A132="","",SUMIFS('补仓对账'!$Q$5:$Q$1204,'补仓对账'!$B$5:$B$1204,$A132,'补仓对账'!$F$5:$F$1204,"C132成功"))</x:f>
      </x:c>
      <x:c r="E132" s="72" t="str">
        <x:f>IF($A132="","",SUMIFS('补仓对账'!$Q$5:$Q$1204,'补仓对账'!$B$5:$B$1204,$A132,'补仓对账'!$F$5:$F$1204,"手动完结"))</x:f>
      </x:c>
      <x:c r="F132" s="72" t="str">
        <x:f>IF($A132="","",SUMIFS('补仓对账'!$Q$5:$Q$1204,'补仓对账'!$B$5:$B$1204,$A132,'补仓对账'!$F$5:$F$1204,"C132发货确认中"))</x:f>
      </x:c>
      <x:c r="G132" s="72" t="str">
        <x:f>IF($A132="","",SUMIFS('补仓对账'!$Q$5:$Q$1204,'补仓对账'!$B$5:$B$1204,$A132,'补仓对账'!$F$5:$F$1204,"卖出待补仓"))</x:f>
      </x:c>
      <x:c r="H132" s="72" t="str">
        <x:f>IF($A132="","",SUMIFS('补仓对账'!$Q$5:$Q$1204,'补仓对账'!$B$5:$B$1204,$A132,'补仓对账'!$F$5:$F$1204,"提交结果待确认"))</x:f>
      </x:c>
      <x:c r="I132" s="72" t="str">
        <x:f>IF($A132="","",SUMIFS('补仓对账'!$Q$5:$Q$1204,'补仓对账'!$B$5:$B$1204,$A132,'补仓对账'!$F$5:$F$1204,"异常待处理"))</x:f>
      </x:c>
      <x:c r="J132" s="72" t="str">
        <x:f>IF(A132="","",SUM(D132:I132))</x:f>
      </x:c>
      <x:c r="K132" s="72" t="str">
        <x:f>IF(A132="","",C132-J132)</x:f>
      </x:c>
      <x:c r="L132" s="72" t="str">
        <x:f>IF(A132="","",D132+E132)</x:f>
      </x:c>
      <x:c r="M132" s="72" t="str">
        <x:f>IF(A132="","",F132+G132+H132+I132)</x:f>
      </x:c>
      <x:c r="N132" s="64" t="str">
        <x:f>IF(A132="","",IF(AND(B132=C132,K132=0),IF(M132=0,"最终库存已闭环","流向对平，仍有待办"),"检查"))</x:f>
      </x:c>
    </x:row>
    <x:row r="133">
      <x:c r="A133" s="73"/>
      <x:c r="B133" s="72" t="str">
        <x:f>IF(A133="","",COUNTIFS('Steam卖出对账'!$C$5:$C$1204,A133,'Steam卖出对账'!$H$5:$H$1204,"&gt;0"))</x:f>
      </x:c>
      <x:c r="C133" s="72" t="str">
        <x:f>IF(A133="","",COUNTIFS('Steam卖出对账'!$C$5:$C$1204,A133,'Steam卖出对账'!$I$5:$I$1204,"&gt;0"))</x:f>
      </x:c>
      <x:c r="D133" s="72" t="str">
        <x:f>IF($A133="","",SUMIFS('补仓对账'!$Q$5:$Q$1204,'补仓对账'!$B$5:$B$1204,$A133,'补仓对账'!$F$5:$F$1204,"C133成功"))</x:f>
      </x:c>
      <x:c r="E133" s="72" t="str">
        <x:f>IF($A133="","",SUMIFS('补仓对账'!$Q$5:$Q$1204,'补仓对账'!$B$5:$B$1204,$A133,'补仓对账'!$F$5:$F$1204,"手动完结"))</x:f>
      </x:c>
      <x:c r="F133" s="72" t="str">
        <x:f>IF($A133="","",SUMIFS('补仓对账'!$Q$5:$Q$1204,'补仓对账'!$B$5:$B$1204,$A133,'补仓对账'!$F$5:$F$1204,"C133发货确认中"))</x:f>
      </x:c>
      <x:c r="G133" s="72" t="str">
        <x:f>IF($A133="","",SUMIFS('补仓对账'!$Q$5:$Q$1204,'补仓对账'!$B$5:$B$1204,$A133,'补仓对账'!$F$5:$F$1204,"卖出待补仓"))</x:f>
      </x:c>
      <x:c r="H133" s="72" t="str">
        <x:f>IF($A133="","",SUMIFS('补仓对账'!$Q$5:$Q$1204,'补仓对账'!$B$5:$B$1204,$A133,'补仓对账'!$F$5:$F$1204,"提交结果待确认"))</x:f>
      </x:c>
      <x:c r="I133" s="72" t="str">
        <x:f>IF($A133="","",SUMIFS('补仓对账'!$Q$5:$Q$1204,'补仓对账'!$B$5:$B$1204,$A133,'补仓对账'!$F$5:$F$1204,"异常待处理"))</x:f>
      </x:c>
      <x:c r="J133" s="72" t="str">
        <x:f>IF(A133="","",SUM(D133:I133))</x:f>
      </x:c>
      <x:c r="K133" s="72" t="str">
        <x:f>IF(A133="","",C133-J133)</x:f>
      </x:c>
      <x:c r="L133" s="72" t="str">
        <x:f>IF(A133="","",D133+E133)</x:f>
      </x:c>
      <x:c r="M133" s="72" t="str">
        <x:f>IF(A133="","",F133+G133+H133+I133)</x:f>
      </x:c>
      <x:c r="N133" s="64" t="str">
        <x:f>IF(A133="","",IF(AND(B133=C133,K133=0),IF(M133=0,"最终库存已闭环","流向对平，仍有待办"),"检查"))</x:f>
      </x:c>
    </x:row>
    <x:row r="134">
      <x:c r="A134" s="73"/>
      <x:c r="B134" s="72" t="str">
        <x:f>IF(A134="","",COUNTIFS('Steam卖出对账'!$C$5:$C$1204,A134,'Steam卖出对账'!$H$5:$H$1204,"&gt;0"))</x:f>
      </x:c>
      <x:c r="C134" s="72" t="str">
        <x:f>IF(A134="","",COUNTIFS('Steam卖出对账'!$C$5:$C$1204,A134,'Steam卖出对账'!$I$5:$I$1204,"&gt;0"))</x:f>
      </x:c>
      <x:c r="D134" s="72" t="str">
        <x:f>IF($A134="","",SUMIFS('补仓对账'!$Q$5:$Q$1204,'补仓对账'!$B$5:$B$1204,$A134,'补仓对账'!$F$5:$F$1204,"C134成功"))</x:f>
      </x:c>
      <x:c r="E134" s="72" t="str">
        <x:f>IF($A134="","",SUMIFS('补仓对账'!$Q$5:$Q$1204,'补仓对账'!$B$5:$B$1204,$A134,'补仓对账'!$F$5:$F$1204,"手动完结"))</x:f>
      </x:c>
      <x:c r="F134" s="72" t="str">
        <x:f>IF($A134="","",SUMIFS('补仓对账'!$Q$5:$Q$1204,'补仓对账'!$B$5:$B$1204,$A134,'补仓对账'!$F$5:$F$1204,"C134发货确认中"))</x:f>
      </x:c>
      <x:c r="G134" s="72" t="str">
        <x:f>IF($A134="","",SUMIFS('补仓对账'!$Q$5:$Q$1204,'补仓对账'!$B$5:$B$1204,$A134,'补仓对账'!$F$5:$F$1204,"卖出待补仓"))</x:f>
      </x:c>
      <x:c r="H134" s="72" t="str">
        <x:f>IF($A134="","",SUMIFS('补仓对账'!$Q$5:$Q$1204,'补仓对账'!$B$5:$B$1204,$A134,'补仓对账'!$F$5:$F$1204,"提交结果待确认"))</x:f>
      </x:c>
      <x:c r="I134" s="72" t="str">
        <x:f>IF($A134="","",SUMIFS('补仓对账'!$Q$5:$Q$1204,'补仓对账'!$B$5:$B$1204,$A134,'补仓对账'!$F$5:$F$1204,"异常待处理"))</x:f>
      </x:c>
      <x:c r="J134" s="72" t="str">
        <x:f>IF(A134="","",SUM(D134:I134))</x:f>
      </x:c>
      <x:c r="K134" s="72" t="str">
        <x:f>IF(A134="","",C134-J134)</x:f>
      </x:c>
      <x:c r="L134" s="72" t="str">
        <x:f>IF(A134="","",D134+E134)</x:f>
      </x:c>
      <x:c r="M134" s="72" t="str">
        <x:f>IF(A134="","",F134+G134+H134+I134)</x:f>
      </x:c>
      <x:c r="N134" s="64" t="str">
        <x:f>IF(A134="","",IF(AND(B134=C134,K134=0),IF(M134=0,"最终库存已闭环","流向对平，仍有待办"),"检查"))</x:f>
      </x:c>
    </x:row>
    <x:row r="135">
      <x:c r="A135" s="73"/>
      <x:c r="B135" s="72" t="str">
        <x:f>IF(A135="","",COUNTIFS('Steam卖出对账'!$C$5:$C$1204,A135,'Steam卖出对账'!$H$5:$H$1204,"&gt;0"))</x:f>
      </x:c>
      <x:c r="C135" s="72" t="str">
        <x:f>IF(A135="","",COUNTIFS('Steam卖出对账'!$C$5:$C$1204,A135,'Steam卖出对账'!$I$5:$I$1204,"&gt;0"))</x:f>
      </x:c>
      <x:c r="D135" s="72" t="str">
        <x:f>IF($A135="","",SUMIFS('补仓对账'!$Q$5:$Q$1204,'补仓对账'!$B$5:$B$1204,$A135,'补仓对账'!$F$5:$F$1204,"C135成功"))</x:f>
      </x:c>
      <x:c r="E135" s="72" t="str">
        <x:f>IF($A135="","",SUMIFS('补仓对账'!$Q$5:$Q$1204,'补仓对账'!$B$5:$B$1204,$A135,'补仓对账'!$F$5:$F$1204,"手动完结"))</x:f>
      </x:c>
      <x:c r="F135" s="72" t="str">
        <x:f>IF($A135="","",SUMIFS('补仓对账'!$Q$5:$Q$1204,'补仓对账'!$B$5:$B$1204,$A135,'补仓对账'!$F$5:$F$1204,"C135发货确认中"))</x:f>
      </x:c>
      <x:c r="G135" s="72" t="str">
        <x:f>IF($A135="","",SUMIFS('补仓对账'!$Q$5:$Q$1204,'补仓对账'!$B$5:$B$1204,$A135,'补仓对账'!$F$5:$F$1204,"卖出待补仓"))</x:f>
      </x:c>
      <x:c r="H135" s="72" t="str">
        <x:f>IF($A135="","",SUMIFS('补仓对账'!$Q$5:$Q$1204,'补仓对账'!$B$5:$B$1204,$A135,'补仓对账'!$F$5:$F$1204,"提交结果待确认"))</x:f>
      </x:c>
      <x:c r="I135" s="72" t="str">
        <x:f>IF($A135="","",SUMIFS('补仓对账'!$Q$5:$Q$1204,'补仓对账'!$B$5:$B$1204,$A135,'补仓对账'!$F$5:$F$1204,"异常待处理"))</x:f>
      </x:c>
      <x:c r="J135" s="72" t="str">
        <x:f>IF(A135="","",SUM(D135:I135))</x:f>
      </x:c>
      <x:c r="K135" s="72" t="str">
        <x:f>IF(A135="","",C135-J135)</x:f>
      </x:c>
      <x:c r="L135" s="72" t="str">
        <x:f>IF(A135="","",D135+E135)</x:f>
      </x:c>
      <x:c r="M135" s="72" t="str">
        <x:f>IF(A135="","",F135+G135+H135+I135)</x:f>
      </x:c>
      <x:c r="N135" s="64" t="str">
        <x:f>IF(A135="","",IF(AND(B135=C135,K135=0),IF(M135=0,"最终库存已闭环","流向对平，仍有待办"),"检查"))</x:f>
      </x:c>
    </x:row>
    <x:row r="136">
      <x:c r="A136" s="73"/>
      <x:c r="B136" s="72" t="str">
        <x:f>IF(A136="","",COUNTIFS('Steam卖出对账'!$C$5:$C$1204,A136,'Steam卖出对账'!$H$5:$H$1204,"&gt;0"))</x:f>
      </x:c>
      <x:c r="C136" s="72" t="str">
        <x:f>IF(A136="","",COUNTIFS('Steam卖出对账'!$C$5:$C$1204,A136,'Steam卖出对账'!$I$5:$I$1204,"&gt;0"))</x:f>
      </x:c>
      <x:c r="D136" s="72" t="str">
        <x:f>IF($A136="","",SUMIFS('补仓对账'!$Q$5:$Q$1204,'补仓对账'!$B$5:$B$1204,$A136,'补仓对账'!$F$5:$F$1204,"C136成功"))</x:f>
      </x:c>
      <x:c r="E136" s="72" t="str">
        <x:f>IF($A136="","",SUMIFS('补仓对账'!$Q$5:$Q$1204,'补仓对账'!$B$5:$B$1204,$A136,'补仓对账'!$F$5:$F$1204,"手动完结"))</x:f>
      </x:c>
      <x:c r="F136" s="72" t="str">
        <x:f>IF($A136="","",SUMIFS('补仓对账'!$Q$5:$Q$1204,'补仓对账'!$B$5:$B$1204,$A136,'补仓对账'!$F$5:$F$1204,"C136发货确认中"))</x:f>
      </x:c>
      <x:c r="G136" s="72" t="str">
        <x:f>IF($A136="","",SUMIFS('补仓对账'!$Q$5:$Q$1204,'补仓对账'!$B$5:$B$1204,$A136,'补仓对账'!$F$5:$F$1204,"卖出待补仓"))</x:f>
      </x:c>
      <x:c r="H136" s="72" t="str">
        <x:f>IF($A136="","",SUMIFS('补仓对账'!$Q$5:$Q$1204,'补仓对账'!$B$5:$B$1204,$A136,'补仓对账'!$F$5:$F$1204,"提交结果待确认"))</x:f>
      </x:c>
      <x:c r="I136" s="72" t="str">
        <x:f>IF($A136="","",SUMIFS('补仓对账'!$Q$5:$Q$1204,'补仓对账'!$B$5:$B$1204,$A136,'补仓对账'!$F$5:$F$1204,"异常待处理"))</x:f>
      </x:c>
      <x:c r="J136" s="72" t="str">
        <x:f>IF(A136="","",SUM(D136:I136))</x:f>
      </x:c>
      <x:c r="K136" s="72" t="str">
        <x:f>IF(A136="","",C136-J136)</x:f>
      </x:c>
      <x:c r="L136" s="72" t="str">
        <x:f>IF(A136="","",D136+E136)</x:f>
      </x:c>
      <x:c r="M136" s="72" t="str">
        <x:f>IF(A136="","",F136+G136+H136+I136)</x:f>
      </x:c>
      <x:c r="N136" s="64" t="str">
        <x:f>IF(A136="","",IF(AND(B136=C136,K136=0),IF(M136=0,"最终库存已闭环","流向对平，仍有待办"),"检查"))</x:f>
      </x:c>
    </x:row>
    <x:row r="137">
      <x:c r="A137" s="73"/>
      <x:c r="B137" s="72" t="str">
        <x:f>IF(A137="","",COUNTIFS('Steam卖出对账'!$C$5:$C$1204,A137,'Steam卖出对账'!$H$5:$H$1204,"&gt;0"))</x:f>
      </x:c>
      <x:c r="C137" s="72" t="str">
        <x:f>IF(A137="","",COUNTIFS('Steam卖出对账'!$C$5:$C$1204,A137,'Steam卖出对账'!$I$5:$I$1204,"&gt;0"))</x:f>
      </x:c>
      <x:c r="D137" s="72" t="str">
        <x:f>IF($A137="","",SUMIFS('补仓对账'!$Q$5:$Q$1204,'补仓对账'!$B$5:$B$1204,$A137,'补仓对账'!$F$5:$F$1204,"C137成功"))</x:f>
      </x:c>
      <x:c r="E137" s="72" t="str">
        <x:f>IF($A137="","",SUMIFS('补仓对账'!$Q$5:$Q$1204,'补仓对账'!$B$5:$B$1204,$A137,'补仓对账'!$F$5:$F$1204,"手动完结"))</x:f>
      </x:c>
      <x:c r="F137" s="72" t="str">
        <x:f>IF($A137="","",SUMIFS('补仓对账'!$Q$5:$Q$1204,'补仓对账'!$B$5:$B$1204,$A137,'补仓对账'!$F$5:$F$1204,"C137发货确认中"))</x:f>
      </x:c>
      <x:c r="G137" s="72" t="str">
        <x:f>IF($A137="","",SUMIFS('补仓对账'!$Q$5:$Q$1204,'补仓对账'!$B$5:$B$1204,$A137,'补仓对账'!$F$5:$F$1204,"卖出待补仓"))</x:f>
      </x:c>
      <x:c r="H137" s="72" t="str">
        <x:f>IF($A137="","",SUMIFS('补仓对账'!$Q$5:$Q$1204,'补仓对账'!$B$5:$B$1204,$A137,'补仓对账'!$F$5:$F$1204,"提交结果待确认"))</x:f>
      </x:c>
      <x:c r="I137" s="72" t="str">
        <x:f>IF($A137="","",SUMIFS('补仓对账'!$Q$5:$Q$1204,'补仓对账'!$B$5:$B$1204,$A137,'补仓对账'!$F$5:$F$1204,"异常待处理"))</x:f>
      </x:c>
      <x:c r="J137" s="72" t="str">
        <x:f>IF(A137="","",SUM(D137:I137))</x:f>
      </x:c>
      <x:c r="K137" s="72" t="str">
        <x:f>IF(A137="","",C137-J137)</x:f>
      </x:c>
      <x:c r="L137" s="72" t="str">
        <x:f>IF(A137="","",D137+E137)</x:f>
      </x:c>
      <x:c r="M137" s="72" t="str">
        <x:f>IF(A137="","",F137+G137+H137+I137)</x:f>
      </x:c>
      <x:c r="N137" s="64" t="str">
        <x:f>IF(A137="","",IF(AND(B137=C137,K137=0),IF(M137=0,"最终库存已闭环","流向对平，仍有待办"),"检查"))</x:f>
      </x:c>
    </x:row>
    <x:row r="138">
      <x:c r="A138" s="73"/>
      <x:c r="B138" s="72" t="str">
        <x:f>IF(A138="","",COUNTIFS('Steam卖出对账'!$C$5:$C$1204,A138,'Steam卖出对账'!$H$5:$H$1204,"&gt;0"))</x:f>
      </x:c>
      <x:c r="C138" s="72" t="str">
        <x:f>IF(A138="","",COUNTIFS('Steam卖出对账'!$C$5:$C$1204,A138,'Steam卖出对账'!$I$5:$I$1204,"&gt;0"))</x:f>
      </x:c>
      <x:c r="D138" s="72" t="str">
        <x:f>IF($A138="","",SUMIFS('补仓对账'!$Q$5:$Q$1204,'补仓对账'!$B$5:$B$1204,$A138,'补仓对账'!$F$5:$F$1204,"C138成功"))</x:f>
      </x:c>
      <x:c r="E138" s="72" t="str">
        <x:f>IF($A138="","",SUMIFS('补仓对账'!$Q$5:$Q$1204,'补仓对账'!$B$5:$B$1204,$A138,'补仓对账'!$F$5:$F$1204,"手动完结"))</x:f>
      </x:c>
      <x:c r="F138" s="72" t="str">
        <x:f>IF($A138="","",SUMIFS('补仓对账'!$Q$5:$Q$1204,'补仓对账'!$B$5:$B$1204,$A138,'补仓对账'!$F$5:$F$1204,"C138发货确认中"))</x:f>
      </x:c>
      <x:c r="G138" s="72" t="str">
        <x:f>IF($A138="","",SUMIFS('补仓对账'!$Q$5:$Q$1204,'补仓对账'!$B$5:$B$1204,$A138,'补仓对账'!$F$5:$F$1204,"卖出待补仓"))</x:f>
      </x:c>
      <x:c r="H138" s="72" t="str">
        <x:f>IF($A138="","",SUMIFS('补仓对账'!$Q$5:$Q$1204,'补仓对账'!$B$5:$B$1204,$A138,'补仓对账'!$F$5:$F$1204,"提交结果待确认"))</x:f>
      </x:c>
      <x:c r="I138" s="72" t="str">
        <x:f>IF($A138="","",SUMIFS('补仓对账'!$Q$5:$Q$1204,'补仓对账'!$B$5:$B$1204,$A138,'补仓对账'!$F$5:$F$1204,"异常待处理"))</x:f>
      </x:c>
      <x:c r="J138" s="72" t="str">
        <x:f>IF(A138="","",SUM(D138:I138))</x:f>
      </x:c>
      <x:c r="K138" s="72" t="str">
        <x:f>IF(A138="","",C138-J138)</x:f>
      </x:c>
      <x:c r="L138" s="72" t="str">
        <x:f>IF(A138="","",D138+E138)</x:f>
      </x:c>
      <x:c r="M138" s="72" t="str">
        <x:f>IF(A138="","",F138+G138+H138+I138)</x:f>
      </x:c>
      <x:c r="N138" s="64" t="str">
        <x:f>IF(A138="","",IF(AND(B138=C138,K138=0),IF(M138=0,"最终库存已闭环","流向对平，仍有待办"),"检查"))</x:f>
      </x:c>
    </x:row>
    <x:row r="139">
      <x:c r="A139" s="73"/>
      <x:c r="B139" s="72" t="str">
        <x:f>IF(A139="","",COUNTIFS('Steam卖出对账'!$C$5:$C$1204,A139,'Steam卖出对账'!$H$5:$H$1204,"&gt;0"))</x:f>
      </x:c>
      <x:c r="C139" s="72" t="str">
        <x:f>IF(A139="","",COUNTIFS('Steam卖出对账'!$C$5:$C$1204,A139,'Steam卖出对账'!$I$5:$I$1204,"&gt;0"))</x:f>
      </x:c>
      <x:c r="D139" s="72" t="str">
        <x:f>IF($A139="","",SUMIFS('补仓对账'!$Q$5:$Q$1204,'补仓对账'!$B$5:$B$1204,$A139,'补仓对账'!$F$5:$F$1204,"C139成功"))</x:f>
      </x:c>
      <x:c r="E139" s="72" t="str">
        <x:f>IF($A139="","",SUMIFS('补仓对账'!$Q$5:$Q$1204,'补仓对账'!$B$5:$B$1204,$A139,'补仓对账'!$F$5:$F$1204,"手动完结"))</x:f>
      </x:c>
      <x:c r="F139" s="72" t="str">
        <x:f>IF($A139="","",SUMIFS('补仓对账'!$Q$5:$Q$1204,'补仓对账'!$B$5:$B$1204,$A139,'补仓对账'!$F$5:$F$1204,"C139发货确认中"))</x:f>
      </x:c>
      <x:c r="G139" s="72" t="str">
        <x:f>IF($A139="","",SUMIFS('补仓对账'!$Q$5:$Q$1204,'补仓对账'!$B$5:$B$1204,$A139,'补仓对账'!$F$5:$F$1204,"卖出待补仓"))</x:f>
      </x:c>
      <x:c r="H139" s="72" t="str">
        <x:f>IF($A139="","",SUMIFS('补仓对账'!$Q$5:$Q$1204,'补仓对账'!$B$5:$B$1204,$A139,'补仓对账'!$F$5:$F$1204,"提交结果待确认"))</x:f>
      </x:c>
      <x:c r="I139" s="72" t="str">
        <x:f>IF($A139="","",SUMIFS('补仓对账'!$Q$5:$Q$1204,'补仓对账'!$B$5:$B$1204,$A139,'补仓对账'!$F$5:$F$1204,"异常待处理"))</x:f>
      </x:c>
      <x:c r="J139" s="72" t="str">
        <x:f>IF(A139="","",SUM(D139:I139))</x:f>
      </x:c>
      <x:c r="K139" s="72" t="str">
        <x:f>IF(A139="","",C139-J139)</x:f>
      </x:c>
      <x:c r="L139" s="72" t="str">
        <x:f>IF(A139="","",D139+E139)</x:f>
      </x:c>
      <x:c r="M139" s="72" t="str">
        <x:f>IF(A139="","",F139+G139+H139+I139)</x:f>
      </x:c>
      <x:c r="N139" s="64" t="str">
        <x:f>IF(A139="","",IF(AND(B139=C139,K139=0),IF(M139=0,"最终库存已闭环","流向对平，仍有待办"),"检查"))</x:f>
      </x:c>
    </x:row>
    <x:row r="140">
      <x:c r="A140" s="73"/>
      <x:c r="B140" s="72" t="str">
        <x:f>IF(A140="","",COUNTIFS('Steam卖出对账'!$C$5:$C$1204,A140,'Steam卖出对账'!$H$5:$H$1204,"&gt;0"))</x:f>
      </x:c>
      <x:c r="C140" s="72" t="str">
        <x:f>IF(A140="","",COUNTIFS('Steam卖出对账'!$C$5:$C$1204,A140,'Steam卖出对账'!$I$5:$I$1204,"&gt;0"))</x:f>
      </x:c>
      <x:c r="D140" s="72" t="str">
        <x:f>IF($A140="","",SUMIFS('补仓对账'!$Q$5:$Q$1204,'补仓对账'!$B$5:$B$1204,$A140,'补仓对账'!$F$5:$F$1204,"C140成功"))</x:f>
      </x:c>
      <x:c r="E140" s="72" t="str">
        <x:f>IF($A140="","",SUMIFS('补仓对账'!$Q$5:$Q$1204,'补仓对账'!$B$5:$B$1204,$A140,'补仓对账'!$F$5:$F$1204,"手动完结"))</x:f>
      </x:c>
      <x:c r="F140" s="72" t="str">
        <x:f>IF($A140="","",SUMIFS('补仓对账'!$Q$5:$Q$1204,'补仓对账'!$B$5:$B$1204,$A140,'补仓对账'!$F$5:$F$1204,"C140发货确认中"))</x:f>
      </x:c>
      <x:c r="G140" s="72" t="str">
        <x:f>IF($A140="","",SUMIFS('补仓对账'!$Q$5:$Q$1204,'补仓对账'!$B$5:$B$1204,$A140,'补仓对账'!$F$5:$F$1204,"卖出待补仓"))</x:f>
      </x:c>
      <x:c r="H140" s="72" t="str">
        <x:f>IF($A140="","",SUMIFS('补仓对账'!$Q$5:$Q$1204,'补仓对账'!$B$5:$B$1204,$A140,'补仓对账'!$F$5:$F$1204,"提交结果待确认"))</x:f>
      </x:c>
      <x:c r="I140" s="72" t="str">
        <x:f>IF($A140="","",SUMIFS('补仓对账'!$Q$5:$Q$1204,'补仓对账'!$B$5:$B$1204,$A140,'补仓对账'!$F$5:$F$1204,"异常待处理"))</x:f>
      </x:c>
      <x:c r="J140" s="72" t="str">
        <x:f>IF(A140="","",SUM(D140:I140))</x:f>
      </x:c>
      <x:c r="K140" s="72" t="str">
        <x:f>IF(A140="","",C140-J140)</x:f>
      </x:c>
      <x:c r="L140" s="72" t="str">
        <x:f>IF(A140="","",D140+E140)</x:f>
      </x:c>
      <x:c r="M140" s="72" t="str">
        <x:f>IF(A140="","",F140+G140+H140+I140)</x:f>
      </x:c>
      <x:c r="N140" s="64" t="str">
        <x:f>IF(A140="","",IF(AND(B140=C140,K140=0),IF(M140=0,"最终库存已闭环","流向对平，仍有待办"),"检查"))</x:f>
      </x:c>
    </x:row>
    <x:row r="141">
      <x:c r="A141" s="73"/>
      <x:c r="B141" s="72" t="str">
        <x:f>IF(A141="","",COUNTIFS('Steam卖出对账'!$C$5:$C$1204,A141,'Steam卖出对账'!$H$5:$H$1204,"&gt;0"))</x:f>
      </x:c>
      <x:c r="C141" s="72" t="str">
        <x:f>IF(A141="","",COUNTIFS('Steam卖出对账'!$C$5:$C$1204,A141,'Steam卖出对账'!$I$5:$I$1204,"&gt;0"))</x:f>
      </x:c>
      <x:c r="D141" s="72" t="str">
        <x:f>IF($A141="","",SUMIFS('补仓对账'!$Q$5:$Q$1204,'补仓对账'!$B$5:$B$1204,$A141,'补仓对账'!$F$5:$F$1204,"C141成功"))</x:f>
      </x:c>
      <x:c r="E141" s="72" t="str">
        <x:f>IF($A141="","",SUMIFS('补仓对账'!$Q$5:$Q$1204,'补仓对账'!$B$5:$B$1204,$A141,'补仓对账'!$F$5:$F$1204,"手动完结"))</x:f>
      </x:c>
      <x:c r="F141" s="72" t="str">
        <x:f>IF($A141="","",SUMIFS('补仓对账'!$Q$5:$Q$1204,'补仓对账'!$B$5:$B$1204,$A141,'补仓对账'!$F$5:$F$1204,"C141发货确认中"))</x:f>
      </x:c>
      <x:c r="G141" s="72" t="str">
        <x:f>IF($A141="","",SUMIFS('补仓对账'!$Q$5:$Q$1204,'补仓对账'!$B$5:$B$1204,$A141,'补仓对账'!$F$5:$F$1204,"卖出待补仓"))</x:f>
      </x:c>
      <x:c r="H141" s="72" t="str">
        <x:f>IF($A141="","",SUMIFS('补仓对账'!$Q$5:$Q$1204,'补仓对账'!$B$5:$B$1204,$A141,'补仓对账'!$F$5:$F$1204,"提交结果待确认"))</x:f>
      </x:c>
      <x:c r="I141" s="72" t="str">
        <x:f>IF($A141="","",SUMIFS('补仓对账'!$Q$5:$Q$1204,'补仓对账'!$B$5:$B$1204,$A141,'补仓对账'!$F$5:$F$1204,"异常待处理"))</x:f>
      </x:c>
      <x:c r="J141" s="72" t="str">
        <x:f>IF(A141="","",SUM(D141:I141))</x:f>
      </x:c>
      <x:c r="K141" s="72" t="str">
        <x:f>IF(A141="","",C141-J141)</x:f>
      </x:c>
      <x:c r="L141" s="72" t="str">
        <x:f>IF(A141="","",D141+E141)</x:f>
      </x:c>
      <x:c r="M141" s="72" t="str">
        <x:f>IF(A141="","",F141+G141+H141+I141)</x:f>
      </x:c>
      <x:c r="N141" s="64" t="str">
        <x:f>IF(A141="","",IF(AND(B141=C141,K141=0),IF(M141=0,"最终库存已闭环","流向对平，仍有待办"),"检查"))</x:f>
      </x:c>
    </x:row>
    <x:row r="142">
      <x:c r="A142" s="73"/>
      <x:c r="B142" s="72" t="str">
        <x:f>IF(A142="","",COUNTIFS('Steam卖出对账'!$C$5:$C$1204,A142,'Steam卖出对账'!$H$5:$H$1204,"&gt;0"))</x:f>
      </x:c>
      <x:c r="C142" s="72" t="str">
        <x:f>IF(A142="","",COUNTIFS('Steam卖出对账'!$C$5:$C$1204,A142,'Steam卖出对账'!$I$5:$I$1204,"&gt;0"))</x:f>
      </x:c>
      <x:c r="D142" s="72" t="str">
        <x:f>IF($A142="","",SUMIFS('补仓对账'!$Q$5:$Q$1204,'补仓对账'!$B$5:$B$1204,$A142,'补仓对账'!$F$5:$F$1204,"C142成功"))</x:f>
      </x:c>
      <x:c r="E142" s="72" t="str">
        <x:f>IF($A142="","",SUMIFS('补仓对账'!$Q$5:$Q$1204,'补仓对账'!$B$5:$B$1204,$A142,'补仓对账'!$F$5:$F$1204,"手动完结"))</x:f>
      </x:c>
      <x:c r="F142" s="72" t="str">
        <x:f>IF($A142="","",SUMIFS('补仓对账'!$Q$5:$Q$1204,'补仓对账'!$B$5:$B$1204,$A142,'补仓对账'!$F$5:$F$1204,"C142发货确认中"))</x:f>
      </x:c>
      <x:c r="G142" s="72" t="str">
        <x:f>IF($A142="","",SUMIFS('补仓对账'!$Q$5:$Q$1204,'补仓对账'!$B$5:$B$1204,$A142,'补仓对账'!$F$5:$F$1204,"卖出待补仓"))</x:f>
      </x:c>
      <x:c r="H142" s="72" t="str">
        <x:f>IF($A142="","",SUMIFS('补仓对账'!$Q$5:$Q$1204,'补仓对账'!$B$5:$B$1204,$A142,'补仓对账'!$F$5:$F$1204,"提交结果待确认"))</x:f>
      </x:c>
      <x:c r="I142" s="72" t="str">
        <x:f>IF($A142="","",SUMIFS('补仓对账'!$Q$5:$Q$1204,'补仓对账'!$B$5:$B$1204,$A142,'补仓对账'!$F$5:$F$1204,"异常待处理"))</x:f>
      </x:c>
      <x:c r="J142" s="72" t="str">
        <x:f>IF(A142="","",SUM(D142:I142))</x:f>
      </x:c>
      <x:c r="K142" s="72" t="str">
        <x:f>IF(A142="","",C142-J142)</x:f>
      </x:c>
      <x:c r="L142" s="72" t="str">
        <x:f>IF(A142="","",D142+E142)</x:f>
      </x:c>
      <x:c r="M142" s="72" t="str">
        <x:f>IF(A142="","",F142+G142+H142+I142)</x:f>
      </x:c>
      <x:c r="N142" s="64" t="str">
        <x:f>IF(A142="","",IF(AND(B142=C142,K142=0),IF(M142=0,"最终库存已闭环","流向对平，仍有待办"),"检查"))</x:f>
      </x:c>
    </x:row>
    <x:row r="143">
      <x:c r="A143" s="73"/>
      <x:c r="B143" s="72" t="str">
        <x:f>IF(A143="","",COUNTIFS('Steam卖出对账'!$C$5:$C$1204,A143,'Steam卖出对账'!$H$5:$H$1204,"&gt;0"))</x:f>
      </x:c>
      <x:c r="C143" s="72" t="str">
        <x:f>IF(A143="","",COUNTIFS('Steam卖出对账'!$C$5:$C$1204,A143,'Steam卖出对账'!$I$5:$I$1204,"&gt;0"))</x:f>
      </x:c>
      <x:c r="D143" s="72" t="str">
        <x:f>IF($A143="","",SUMIFS('补仓对账'!$Q$5:$Q$1204,'补仓对账'!$B$5:$B$1204,$A143,'补仓对账'!$F$5:$F$1204,"C143成功"))</x:f>
      </x:c>
      <x:c r="E143" s="72" t="str">
        <x:f>IF($A143="","",SUMIFS('补仓对账'!$Q$5:$Q$1204,'补仓对账'!$B$5:$B$1204,$A143,'补仓对账'!$F$5:$F$1204,"手动完结"))</x:f>
      </x:c>
      <x:c r="F143" s="72" t="str">
        <x:f>IF($A143="","",SUMIFS('补仓对账'!$Q$5:$Q$1204,'补仓对账'!$B$5:$B$1204,$A143,'补仓对账'!$F$5:$F$1204,"C143发货确认中"))</x:f>
      </x:c>
      <x:c r="G143" s="72" t="str">
        <x:f>IF($A143="","",SUMIFS('补仓对账'!$Q$5:$Q$1204,'补仓对账'!$B$5:$B$1204,$A143,'补仓对账'!$F$5:$F$1204,"卖出待补仓"))</x:f>
      </x:c>
      <x:c r="H143" s="72" t="str">
        <x:f>IF($A143="","",SUMIFS('补仓对账'!$Q$5:$Q$1204,'补仓对账'!$B$5:$B$1204,$A143,'补仓对账'!$F$5:$F$1204,"提交结果待确认"))</x:f>
      </x:c>
      <x:c r="I143" s="72" t="str">
        <x:f>IF($A143="","",SUMIFS('补仓对账'!$Q$5:$Q$1204,'补仓对账'!$B$5:$B$1204,$A143,'补仓对账'!$F$5:$F$1204,"异常待处理"))</x:f>
      </x:c>
      <x:c r="J143" s="72" t="str">
        <x:f>IF(A143="","",SUM(D143:I143))</x:f>
      </x:c>
      <x:c r="K143" s="72" t="str">
        <x:f>IF(A143="","",C143-J143)</x:f>
      </x:c>
      <x:c r="L143" s="72" t="str">
        <x:f>IF(A143="","",D143+E143)</x:f>
      </x:c>
      <x:c r="M143" s="72" t="str">
        <x:f>IF(A143="","",F143+G143+H143+I143)</x:f>
      </x:c>
      <x:c r="N143" s="64" t="str">
        <x:f>IF(A143="","",IF(AND(B143=C143,K143=0),IF(M143=0,"最终库存已闭环","流向对平，仍有待办"),"检查"))</x:f>
      </x:c>
    </x:row>
    <x:row r="144">
      <x:c r="A144" s="73"/>
      <x:c r="B144" s="72" t="str">
        <x:f>IF(A144="","",COUNTIFS('Steam卖出对账'!$C$5:$C$1204,A144,'Steam卖出对账'!$H$5:$H$1204,"&gt;0"))</x:f>
      </x:c>
      <x:c r="C144" s="72" t="str">
        <x:f>IF(A144="","",COUNTIFS('Steam卖出对账'!$C$5:$C$1204,A144,'Steam卖出对账'!$I$5:$I$1204,"&gt;0"))</x:f>
      </x:c>
      <x:c r="D144" s="72" t="str">
        <x:f>IF($A144="","",SUMIFS('补仓对账'!$Q$5:$Q$1204,'补仓对账'!$B$5:$B$1204,$A144,'补仓对账'!$F$5:$F$1204,"C144成功"))</x:f>
      </x:c>
      <x:c r="E144" s="72" t="str">
        <x:f>IF($A144="","",SUMIFS('补仓对账'!$Q$5:$Q$1204,'补仓对账'!$B$5:$B$1204,$A144,'补仓对账'!$F$5:$F$1204,"手动完结"))</x:f>
      </x:c>
      <x:c r="F144" s="72" t="str">
        <x:f>IF($A144="","",SUMIFS('补仓对账'!$Q$5:$Q$1204,'补仓对账'!$B$5:$B$1204,$A144,'补仓对账'!$F$5:$F$1204,"C144发货确认中"))</x:f>
      </x:c>
      <x:c r="G144" s="72" t="str">
        <x:f>IF($A144="","",SUMIFS('补仓对账'!$Q$5:$Q$1204,'补仓对账'!$B$5:$B$1204,$A144,'补仓对账'!$F$5:$F$1204,"卖出待补仓"))</x:f>
      </x:c>
      <x:c r="H144" s="72" t="str">
        <x:f>IF($A144="","",SUMIFS('补仓对账'!$Q$5:$Q$1204,'补仓对账'!$B$5:$B$1204,$A144,'补仓对账'!$F$5:$F$1204,"提交结果待确认"))</x:f>
      </x:c>
      <x:c r="I144" s="72" t="str">
        <x:f>IF($A144="","",SUMIFS('补仓对账'!$Q$5:$Q$1204,'补仓对账'!$B$5:$B$1204,$A144,'补仓对账'!$F$5:$F$1204,"异常待处理"))</x:f>
      </x:c>
      <x:c r="J144" s="72" t="str">
        <x:f>IF(A144="","",SUM(D144:I144))</x:f>
      </x:c>
      <x:c r="K144" s="72" t="str">
        <x:f>IF(A144="","",C144-J144)</x:f>
      </x:c>
      <x:c r="L144" s="72" t="str">
        <x:f>IF(A144="","",D144+E144)</x:f>
      </x:c>
      <x:c r="M144" s="72" t="str">
        <x:f>IF(A144="","",F144+G144+H144+I144)</x:f>
      </x:c>
      <x:c r="N144" s="64" t="str">
        <x:f>IF(A144="","",IF(AND(B144=C144,K144=0),IF(M144=0,"最终库存已闭环","流向对平，仍有待办"),"检查"))</x:f>
      </x:c>
    </x:row>
    <x:row r="145">
      <x:c r="A145" s="73"/>
      <x:c r="B145" s="72" t="str">
        <x:f>IF(A145="","",COUNTIFS('Steam卖出对账'!$C$5:$C$1204,A145,'Steam卖出对账'!$H$5:$H$1204,"&gt;0"))</x:f>
      </x:c>
      <x:c r="C145" s="72" t="str">
        <x:f>IF(A145="","",COUNTIFS('Steam卖出对账'!$C$5:$C$1204,A145,'Steam卖出对账'!$I$5:$I$1204,"&gt;0"))</x:f>
      </x:c>
      <x:c r="D145" s="72" t="str">
        <x:f>IF($A145="","",SUMIFS('补仓对账'!$Q$5:$Q$1204,'补仓对账'!$B$5:$B$1204,$A145,'补仓对账'!$F$5:$F$1204,"C145成功"))</x:f>
      </x:c>
      <x:c r="E145" s="72" t="str">
        <x:f>IF($A145="","",SUMIFS('补仓对账'!$Q$5:$Q$1204,'补仓对账'!$B$5:$B$1204,$A145,'补仓对账'!$F$5:$F$1204,"手动完结"))</x:f>
      </x:c>
      <x:c r="F145" s="72" t="str">
        <x:f>IF($A145="","",SUMIFS('补仓对账'!$Q$5:$Q$1204,'补仓对账'!$B$5:$B$1204,$A145,'补仓对账'!$F$5:$F$1204,"C145发货确认中"))</x:f>
      </x:c>
      <x:c r="G145" s="72" t="str">
        <x:f>IF($A145="","",SUMIFS('补仓对账'!$Q$5:$Q$1204,'补仓对账'!$B$5:$B$1204,$A145,'补仓对账'!$F$5:$F$1204,"卖出待补仓"))</x:f>
      </x:c>
      <x:c r="H145" s="72" t="str">
        <x:f>IF($A145="","",SUMIFS('补仓对账'!$Q$5:$Q$1204,'补仓对账'!$B$5:$B$1204,$A145,'补仓对账'!$F$5:$F$1204,"提交结果待确认"))</x:f>
      </x:c>
      <x:c r="I145" s="72" t="str">
        <x:f>IF($A145="","",SUMIFS('补仓对账'!$Q$5:$Q$1204,'补仓对账'!$B$5:$B$1204,$A145,'补仓对账'!$F$5:$F$1204,"异常待处理"))</x:f>
      </x:c>
      <x:c r="J145" s="72" t="str">
        <x:f>IF(A145="","",SUM(D145:I145))</x:f>
      </x:c>
      <x:c r="K145" s="72" t="str">
        <x:f>IF(A145="","",C145-J145)</x:f>
      </x:c>
      <x:c r="L145" s="72" t="str">
        <x:f>IF(A145="","",D145+E145)</x:f>
      </x:c>
      <x:c r="M145" s="72" t="str">
        <x:f>IF(A145="","",F145+G145+H145+I145)</x:f>
      </x:c>
      <x:c r="N145" s="64" t="str">
        <x:f>IF(A145="","",IF(AND(B145=C145,K145=0),IF(M145=0,"最终库存已闭环","流向对平，仍有待办"),"检查"))</x:f>
      </x:c>
    </x:row>
    <x:row r="146">
      <x:c r="A146" s="73"/>
      <x:c r="B146" s="72" t="str">
        <x:f>IF(A146="","",COUNTIFS('Steam卖出对账'!$C$5:$C$1204,A146,'Steam卖出对账'!$H$5:$H$1204,"&gt;0"))</x:f>
      </x:c>
      <x:c r="C146" s="72" t="str">
        <x:f>IF(A146="","",COUNTIFS('Steam卖出对账'!$C$5:$C$1204,A146,'Steam卖出对账'!$I$5:$I$1204,"&gt;0"))</x:f>
      </x:c>
      <x:c r="D146" s="72" t="str">
        <x:f>IF($A146="","",SUMIFS('补仓对账'!$Q$5:$Q$1204,'补仓对账'!$B$5:$B$1204,$A146,'补仓对账'!$F$5:$F$1204,"C146成功"))</x:f>
      </x:c>
      <x:c r="E146" s="72" t="str">
        <x:f>IF($A146="","",SUMIFS('补仓对账'!$Q$5:$Q$1204,'补仓对账'!$B$5:$B$1204,$A146,'补仓对账'!$F$5:$F$1204,"手动完结"))</x:f>
      </x:c>
      <x:c r="F146" s="72" t="str">
        <x:f>IF($A146="","",SUMIFS('补仓对账'!$Q$5:$Q$1204,'补仓对账'!$B$5:$B$1204,$A146,'补仓对账'!$F$5:$F$1204,"C146发货确认中"))</x:f>
      </x:c>
      <x:c r="G146" s="72" t="str">
        <x:f>IF($A146="","",SUMIFS('补仓对账'!$Q$5:$Q$1204,'补仓对账'!$B$5:$B$1204,$A146,'补仓对账'!$F$5:$F$1204,"卖出待补仓"))</x:f>
      </x:c>
      <x:c r="H146" s="72" t="str">
        <x:f>IF($A146="","",SUMIFS('补仓对账'!$Q$5:$Q$1204,'补仓对账'!$B$5:$B$1204,$A146,'补仓对账'!$F$5:$F$1204,"提交结果待确认"))</x:f>
      </x:c>
      <x:c r="I146" s="72" t="str">
        <x:f>IF($A146="","",SUMIFS('补仓对账'!$Q$5:$Q$1204,'补仓对账'!$B$5:$B$1204,$A146,'补仓对账'!$F$5:$F$1204,"异常待处理"))</x:f>
      </x:c>
      <x:c r="J146" s="72" t="str">
        <x:f>IF(A146="","",SUM(D146:I146))</x:f>
      </x:c>
      <x:c r="K146" s="72" t="str">
        <x:f>IF(A146="","",C146-J146)</x:f>
      </x:c>
      <x:c r="L146" s="72" t="str">
        <x:f>IF(A146="","",D146+E146)</x:f>
      </x:c>
      <x:c r="M146" s="72" t="str">
        <x:f>IF(A146="","",F146+G146+H146+I146)</x:f>
      </x:c>
      <x:c r="N146" s="64" t="str">
        <x:f>IF(A146="","",IF(AND(B146=C146,K146=0),IF(M146=0,"最终库存已闭环","流向对平，仍有待办"),"检查"))</x:f>
      </x:c>
    </x:row>
    <x:row r="147">
      <x:c r="A147" s="73"/>
      <x:c r="B147" s="72" t="str">
        <x:f>IF(A147="","",COUNTIFS('Steam卖出对账'!$C$5:$C$1204,A147,'Steam卖出对账'!$H$5:$H$1204,"&gt;0"))</x:f>
      </x:c>
      <x:c r="C147" s="72" t="str">
        <x:f>IF(A147="","",COUNTIFS('Steam卖出对账'!$C$5:$C$1204,A147,'Steam卖出对账'!$I$5:$I$1204,"&gt;0"))</x:f>
      </x:c>
      <x:c r="D147" s="72" t="str">
        <x:f>IF($A147="","",SUMIFS('补仓对账'!$Q$5:$Q$1204,'补仓对账'!$B$5:$B$1204,$A147,'补仓对账'!$F$5:$F$1204,"C147成功"))</x:f>
      </x:c>
      <x:c r="E147" s="72" t="str">
        <x:f>IF($A147="","",SUMIFS('补仓对账'!$Q$5:$Q$1204,'补仓对账'!$B$5:$B$1204,$A147,'补仓对账'!$F$5:$F$1204,"手动完结"))</x:f>
      </x:c>
      <x:c r="F147" s="72" t="str">
        <x:f>IF($A147="","",SUMIFS('补仓对账'!$Q$5:$Q$1204,'补仓对账'!$B$5:$B$1204,$A147,'补仓对账'!$F$5:$F$1204,"C147发货确认中"))</x:f>
      </x:c>
      <x:c r="G147" s="72" t="str">
        <x:f>IF($A147="","",SUMIFS('补仓对账'!$Q$5:$Q$1204,'补仓对账'!$B$5:$B$1204,$A147,'补仓对账'!$F$5:$F$1204,"卖出待补仓"))</x:f>
      </x:c>
      <x:c r="H147" s="72" t="str">
        <x:f>IF($A147="","",SUMIFS('补仓对账'!$Q$5:$Q$1204,'补仓对账'!$B$5:$B$1204,$A147,'补仓对账'!$F$5:$F$1204,"提交结果待确认"))</x:f>
      </x:c>
      <x:c r="I147" s="72" t="str">
        <x:f>IF($A147="","",SUMIFS('补仓对账'!$Q$5:$Q$1204,'补仓对账'!$B$5:$B$1204,$A147,'补仓对账'!$F$5:$F$1204,"异常待处理"))</x:f>
      </x:c>
      <x:c r="J147" s="72" t="str">
        <x:f>IF(A147="","",SUM(D147:I147))</x:f>
      </x:c>
      <x:c r="K147" s="72" t="str">
        <x:f>IF(A147="","",C147-J147)</x:f>
      </x:c>
      <x:c r="L147" s="72" t="str">
        <x:f>IF(A147="","",D147+E147)</x:f>
      </x:c>
      <x:c r="M147" s="72" t="str">
        <x:f>IF(A147="","",F147+G147+H147+I147)</x:f>
      </x:c>
      <x:c r="N147" s="64" t="str">
        <x:f>IF(A147="","",IF(AND(B147=C147,K147=0),IF(M147=0,"最终库存已闭环","流向对平，仍有待办"),"检查"))</x:f>
      </x:c>
    </x:row>
    <x:row r="148">
      <x:c r="A148" s="73"/>
      <x:c r="B148" s="72" t="str">
        <x:f>IF(A148="","",COUNTIFS('Steam卖出对账'!$C$5:$C$1204,A148,'Steam卖出对账'!$H$5:$H$1204,"&gt;0"))</x:f>
      </x:c>
      <x:c r="C148" s="72" t="str">
        <x:f>IF(A148="","",COUNTIFS('Steam卖出对账'!$C$5:$C$1204,A148,'Steam卖出对账'!$I$5:$I$1204,"&gt;0"))</x:f>
      </x:c>
      <x:c r="D148" s="72" t="str">
        <x:f>IF($A148="","",SUMIFS('补仓对账'!$Q$5:$Q$1204,'补仓对账'!$B$5:$B$1204,$A148,'补仓对账'!$F$5:$F$1204,"C148成功"))</x:f>
      </x:c>
      <x:c r="E148" s="72" t="str">
        <x:f>IF($A148="","",SUMIFS('补仓对账'!$Q$5:$Q$1204,'补仓对账'!$B$5:$B$1204,$A148,'补仓对账'!$F$5:$F$1204,"手动完结"))</x:f>
      </x:c>
      <x:c r="F148" s="72" t="str">
        <x:f>IF($A148="","",SUMIFS('补仓对账'!$Q$5:$Q$1204,'补仓对账'!$B$5:$B$1204,$A148,'补仓对账'!$F$5:$F$1204,"C148发货确认中"))</x:f>
      </x:c>
      <x:c r="G148" s="72" t="str">
        <x:f>IF($A148="","",SUMIFS('补仓对账'!$Q$5:$Q$1204,'补仓对账'!$B$5:$B$1204,$A148,'补仓对账'!$F$5:$F$1204,"卖出待补仓"))</x:f>
      </x:c>
      <x:c r="H148" s="72" t="str">
        <x:f>IF($A148="","",SUMIFS('补仓对账'!$Q$5:$Q$1204,'补仓对账'!$B$5:$B$1204,$A148,'补仓对账'!$F$5:$F$1204,"提交结果待确认"))</x:f>
      </x:c>
      <x:c r="I148" s="72" t="str">
        <x:f>IF($A148="","",SUMIFS('补仓对账'!$Q$5:$Q$1204,'补仓对账'!$B$5:$B$1204,$A148,'补仓对账'!$F$5:$F$1204,"异常待处理"))</x:f>
      </x:c>
      <x:c r="J148" s="72" t="str">
        <x:f>IF(A148="","",SUM(D148:I148))</x:f>
      </x:c>
      <x:c r="K148" s="72" t="str">
        <x:f>IF(A148="","",C148-J148)</x:f>
      </x:c>
      <x:c r="L148" s="72" t="str">
        <x:f>IF(A148="","",D148+E148)</x:f>
      </x:c>
      <x:c r="M148" s="72" t="str">
        <x:f>IF(A148="","",F148+G148+H148+I148)</x:f>
      </x:c>
      <x:c r="N148" s="64" t="str">
        <x:f>IF(A148="","",IF(AND(B148=C148,K148=0),IF(M148=0,"最终库存已闭环","流向对平，仍有待办"),"检查"))</x:f>
      </x:c>
    </x:row>
    <x:row r="149">
      <x:c r="A149" s="73"/>
      <x:c r="B149" s="72" t="str">
        <x:f>IF(A149="","",COUNTIFS('Steam卖出对账'!$C$5:$C$1204,A149,'Steam卖出对账'!$H$5:$H$1204,"&gt;0"))</x:f>
      </x:c>
      <x:c r="C149" s="72" t="str">
        <x:f>IF(A149="","",COUNTIFS('Steam卖出对账'!$C$5:$C$1204,A149,'Steam卖出对账'!$I$5:$I$1204,"&gt;0"))</x:f>
      </x:c>
      <x:c r="D149" s="72" t="str">
        <x:f>IF($A149="","",SUMIFS('补仓对账'!$Q$5:$Q$1204,'补仓对账'!$B$5:$B$1204,$A149,'补仓对账'!$F$5:$F$1204,"C149成功"))</x:f>
      </x:c>
      <x:c r="E149" s="72" t="str">
        <x:f>IF($A149="","",SUMIFS('补仓对账'!$Q$5:$Q$1204,'补仓对账'!$B$5:$B$1204,$A149,'补仓对账'!$F$5:$F$1204,"手动完结"))</x:f>
      </x:c>
      <x:c r="F149" s="72" t="str">
        <x:f>IF($A149="","",SUMIFS('补仓对账'!$Q$5:$Q$1204,'补仓对账'!$B$5:$B$1204,$A149,'补仓对账'!$F$5:$F$1204,"C149发货确认中"))</x:f>
      </x:c>
      <x:c r="G149" s="72" t="str">
        <x:f>IF($A149="","",SUMIFS('补仓对账'!$Q$5:$Q$1204,'补仓对账'!$B$5:$B$1204,$A149,'补仓对账'!$F$5:$F$1204,"卖出待补仓"))</x:f>
      </x:c>
      <x:c r="H149" s="72" t="str">
        <x:f>IF($A149="","",SUMIFS('补仓对账'!$Q$5:$Q$1204,'补仓对账'!$B$5:$B$1204,$A149,'补仓对账'!$F$5:$F$1204,"提交结果待确认"))</x:f>
      </x:c>
      <x:c r="I149" s="72" t="str">
        <x:f>IF($A149="","",SUMIFS('补仓对账'!$Q$5:$Q$1204,'补仓对账'!$B$5:$B$1204,$A149,'补仓对账'!$F$5:$F$1204,"异常待处理"))</x:f>
      </x:c>
      <x:c r="J149" s="72" t="str">
        <x:f>IF(A149="","",SUM(D149:I149))</x:f>
      </x:c>
      <x:c r="K149" s="72" t="str">
        <x:f>IF(A149="","",C149-J149)</x:f>
      </x:c>
      <x:c r="L149" s="72" t="str">
        <x:f>IF(A149="","",D149+E149)</x:f>
      </x:c>
      <x:c r="M149" s="72" t="str">
        <x:f>IF(A149="","",F149+G149+H149+I149)</x:f>
      </x:c>
      <x:c r="N149" s="64" t="str">
        <x:f>IF(A149="","",IF(AND(B149=C149,K149=0),IF(M149=0,"最终库存已闭环","流向对平，仍有待办"),"检查"))</x:f>
      </x:c>
    </x:row>
    <x:row r="150">
      <x:c r="A150" s="73"/>
      <x:c r="B150" s="72" t="str">
        <x:f>IF(A150="","",COUNTIFS('Steam卖出对账'!$C$5:$C$1204,A150,'Steam卖出对账'!$H$5:$H$1204,"&gt;0"))</x:f>
      </x:c>
      <x:c r="C150" s="72" t="str">
        <x:f>IF(A150="","",COUNTIFS('Steam卖出对账'!$C$5:$C$1204,A150,'Steam卖出对账'!$I$5:$I$1204,"&gt;0"))</x:f>
      </x:c>
      <x:c r="D150" s="72" t="str">
        <x:f>IF($A150="","",SUMIFS('补仓对账'!$Q$5:$Q$1204,'补仓对账'!$B$5:$B$1204,$A150,'补仓对账'!$F$5:$F$1204,"C150成功"))</x:f>
      </x:c>
      <x:c r="E150" s="72" t="str">
        <x:f>IF($A150="","",SUMIFS('补仓对账'!$Q$5:$Q$1204,'补仓对账'!$B$5:$B$1204,$A150,'补仓对账'!$F$5:$F$1204,"手动完结"))</x:f>
      </x:c>
      <x:c r="F150" s="72" t="str">
        <x:f>IF($A150="","",SUMIFS('补仓对账'!$Q$5:$Q$1204,'补仓对账'!$B$5:$B$1204,$A150,'补仓对账'!$F$5:$F$1204,"C150发货确认中"))</x:f>
      </x:c>
      <x:c r="G150" s="72" t="str">
        <x:f>IF($A150="","",SUMIFS('补仓对账'!$Q$5:$Q$1204,'补仓对账'!$B$5:$B$1204,$A150,'补仓对账'!$F$5:$F$1204,"卖出待补仓"))</x:f>
      </x:c>
      <x:c r="H150" s="72" t="str">
        <x:f>IF($A150="","",SUMIFS('补仓对账'!$Q$5:$Q$1204,'补仓对账'!$B$5:$B$1204,$A150,'补仓对账'!$F$5:$F$1204,"提交结果待确认"))</x:f>
      </x:c>
      <x:c r="I150" s="72" t="str">
        <x:f>IF($A150="","",SUMIFS('补仓对账'!$Q$5:$Q$1204,'补仓对账'!$B$5:$B$1204,$A150,'补仓对账'!$F$5:$F$1204,"异常待处理"))</x:f>
      </x:c>
      <x:c r="J150" s="72" t="str">
        <x:f>IF(A150="","",SUM(D150:I150))</x:f>
      </x:c>
      <x:c r="K150" s="72" t="str">
        <x:f>IF(A150="","",C150-J150)</x:f>
      </x:c>
      <x:c r="L150" s="72" t="str">
        <x:f>IF(A150="","",D150+E150)</x:f>
      </x:c>
      <x:c r="M150" s="72" t="str">
        <x:f>IF(A150="","",F150+G150+H150+I150)</x:f>
      </x:c>
      <x:c r="N150" s="64" t="str">
        <x:f>IF(A150="","",IF(AND(B150=C150,K150=0),IF(M150=0,"最终库存已闭环","流向对平，仍有待办"),"检查"))</x:f>
      </x:c>
    </x:row>
    <x:row r="151">
      <x:c r="A151" s="73"/>
      <x:c r="B151" s="72" t="str">
        <x:f>IF(A151="","",COUNTIFS('Steam卖出对账'!$C$5:$C$1204,A151,'Steam卖出对账'!$H$5:$H$1204,"&gt;0"))</x:f>
      </x:c>
      <x:c r="C151" s="72" t="str">
        <x:f>IF(A151="","",COUNTIFS('Steam卖出对账'!$C$5:$C$1204,A151,'Steam卖出对账'!$I$5:$I$1204,"&gt;0"))</x:f>
      </x:c>
      <x:c r="D151" s="72" t="str">
        <x:f>IF($A151="","",SUMIFS('补仓对账'!$Q$5:$Q$1204,'补仓对账'!$B$5:$B$1204,$A151,'补仓对账'!$F$5:$F$1204,"C151成功"))</x:f>
      </x:c>
      <x:c r="E151" s="72" t="str">
        <x:f>IF($A151="","",SUMIFS('补仓对账'!$Q$5:$Q$1204,'补仓对账'!$B$5:$B$1204,$A151,'补仓对账'!$F$5:$F$1204,"手动完结"))</x:f>
      </x:c>
      <x:c r="F151" s="72" t="str">
        <x:f>IF($A151="","",SUMIFS('补仓对账'!$Q$5:$Q$1204,'补仓对账'!$B$5:$B$1204,$A151,'补仓对账'!$F$5:$F$1204,"C151发货确认中"))</x:f>
      </x:c>
      <x:c r="G151" s="72" t="str">
        <x:f>IF($A151="","",SUMIFS('补仓对账'!$Q$5:$Q$1204,'补仓对账'!$B$5:$B$1204,$A151,'补仓对账'!$F$5:$F$1204,"卖出待补仓"))</x:f>
      </x:c>
      <x:c r="H151" s="72" t="str">
        <x:f>IF($A151="","",SUMIFS('补仓对账'!$Q$5:$Q$1204,'补仓对账'!$B$5:$B$1204,$A151,'补仓对账'!$F$5:$F$1204,"提交结果待确认"))</x:f>
      </x:c>
      <x:c r="I151" s="72" t="str">
        <x:f>IF($A151="","",SUMIFS('补仓对账'!$Q$5:$Q$1204,'补仓对账'!$B$5:$B$1204,$A151,'补仓对账'!$F$5:$F$1204,"异常待处理"))</x:f>
      </x:c>
      <x:c r="J151" s="72" t="str">
        <x:f>IF(A151="","",SUM(D151:I151))</x:f>
      </x:c>
      <x:c r="K151" s="72" t="str">
        <x:f>IF(A151="","",C151-J151)</x:f>
      </x:c>
      <x:c r="L151" s="72" t="str">
        <x:f>IF(A151="","",D151+E151)</x:f>
      </x:c>
      <x:c r="M151" s="72" t="str">
        <x:f>IF(A151="","",F151+G151+H151+I151)</x:f>
      </x:c>
      <x:c r="N151" s="64" t="str">
        <x:f>IF(A151="","",IF(AND(B151=C151,K151=0),IF(M151=0,"最终库存已闭环","流向对平，仍有待办"),"检查"))</x:f>
      </x:c>
    </x:row>
    <x:row r="152">
      <x:c r="A152" s="73"/>
      <x:c r="B152" s="72" t="str">
        <x:f>IF(A152="","",COUNTIFS('Steam卖出对账'!$C$5:$C$1204,A152,'Steam卖出对账'!$H$5:$H$1204,"&gt;0"))</x:f>
      </x:c>
      <x:c r="C152" s="72" t="str">
        <x:f>IF(A152="","",COUNTIFS('Steam卖出对账'!$C$5:$C$1204,A152,'Steam卖出对账'!$I$5:$I$1204,"&gt;0"))</x:f>
      </x:c>
      <x:c r="D152" s="72" t="str">
        <x:f>IF($A152="","",SUMIFS('补仓对账'!$Q$5:$Q$1204,'补仓对账'!$B$5:$B$1204,$A152,'补仓对账'!$F$5:$F$1204,"C152成功"))</x:f>
      </x:c>
      <x:c r="E152" s="72" t="str">
        <x:f>IF($A152="","",SUMIFS('补仓对账'!$Q$5:$Q$1204,'补仓对账'!$B$5:$B$1204,$A152,'补仓对账'!$F$5:$F$1204,"手动完结"))</x:f>
      </x:c>
      <x:c r="F152" s="72" t="str">
        <x:f>IF($A152="","",SUMIFS('补仓对账'!$Q$5:$Q$1204,'补仓对账'!$B$5:$B$1204,$A152,'补仓对账'!$F$5:$F$1204,"C152发货确认中"))</x:f>
      </x:c>
      <x:c r="G152" s="72" t="str">
        <x:f>IF($A152="","",SUMIFS('补仓对账'!$Q$5:$Q$1204,'补仓对账'!$B$5:$B$1204,$A152,'补仓对账'!$F$5:$F$1204,"卖出待补仓"))</x:f>
      </x:c>
      <x:c r="H152" s="72" t="str">
        <x:f>IF($A152="","",SUMIFS('补仓对账'!$Q$5:$Q$1204,'补仓对账'!$B$5:$B$1204,$A152,'补仓对账'!$F$5:$F$1204,"提交结果待确认"))</x:f>
      </x:c>
      <x:c r="I152" s="72" t="str">
        <x:f>IF($A152="","",SUMIFS('补仓对账'!$Q$5:$Q$1204,'补仓对账'!$B$5:$B$1204,$A152,'补仓对账'!$F$5:$F$1204,"异常待处理"))</x:f>
      </x:c>
      <x:c r="J152" s="72" t="str">
        <x:f>IF(A152="","",SUM(D152:I152))</x:f>
      </x:c>
      <x:c r="K152" s="72" t="str">
        <x:f>IF(A152="","",C152-J152)</x:f>
      </x:c>
      <x:c r="L152" s="72" t="str">
        <x:f>IF(A152="","",D152+E152)</x:f>
      </x:c>
      <x:c r="M152" s="72" t="str">
        <x:f>IF(A152="","",F152+G152+H152+I152)</x:f>
      </x:c>
      <x:c r="N152" s="64" t="str">
        <x:f>IF(A152="","",IF(AND(B152=C152,K152=0),IF(M152=0,"最终库存已闭环","流向对平，仍有待办"),"检查"))</x:f>
      </x:c>
    </x:row>
    <x:row r="153">
      <x:c r="A153" s="73"/>
      <x:c r="B153" s="72" t="str">
        <x:f>IF(A153="","",COUNTIFS('Steam卖出对账'!$C$5:$C$1204,A153,'Steam卖出对账'!$H$5:$H$1204,"&gt;0"))</x:f>
      </x:c>
      <x:c r="C153" s="72" t="str">
        <x:f>IF(A153="","",COUNTIFS('Steam卖出对账'!$C$5:$C$1204,A153,'Steam卖出对账'!$I$5:$I$1204,"&gt;0"))</x:f>
      </x:c>
      <x:c r="D153" s="72" t="str">
        <x:f>IF($A153="","",SUMIFS('补仓对账'!$Q$5:$Q$1204,'补仓对账'!$B$5:$B$1204,$A153,'补仓对账'!$F$5:$F$1204,"C153成功"))</x:f>
      </x:c>
      <x:c r="E153" s="72" t="str">
        <x:f>IF($A153="","",SUMIFS('补仓对账'!$Q$5:$Q$1204,'补仓对账'!$B$5:$B$1204,$A153,'补仓对账'!$F$5:$F$1204,"手动完结"))</x:f>
      </x:c>
      <x:c r="F153" s="72" t="str">
        <x:f>IF($A153="","",SUMIFS('补仓对账'!$Q$5:$Q$1204,'补仓对账'!$B$5:$B$1204,$A153,'补仓对账'!$F$5:$F$1204,"C153发货确认中"))</x:f>
      </x:c>
      <x:c r="G153" s="72" t="str">
        <x:f>IF($A153="","",SUMIFS('补仓对账'!$Q$5:$Q$1204,'补仓对账'!$B$5:$B$1204,$A153,'补仓对账'!$F$5:$F$1204,"卖出待补仓"))</x:f>
      </x:c>
      <x:c r="H153" s="72" t="str">
        <x:f>IF($A153="","",SUMIFS('补仓对账'!$Q$5:$Q$1204,'补仓对账'!$B$5:$B$1204,$A153,'补仓对账'!$F$5:$F$1204,"提交结果待确认"))</x:f>
      </x:c>
      <x:c r="I153" s="72" t="str">
        <x:f>IF($A153="","",SUMIFS('补仓对账'!$Q$5:$Q$1204,'补仓对账'!$B$5:$B$1204,$A153,'补仓对账'!$F$5:$F$1204,"异常待处理"))</x:f>
      </x:c>
      <x:c r="J153" s="72" t="str">
        <x:f>IF(A153="","",SUM(D153:I153))</x:f>
      </x:c>
      <x:c r="K153" s="72" t="str">
        <x:f>IF(A153="","",C153-J153)</x:f>
      </x:c>
      <x:c r="L153" s="72" t="str">
        <x:f>IF(A153="","",D153+E153)</x:f>
      </x:c>
      <x:c r="M153" s="72" t="str">
        <x:f>IF(A153="","",F153+G153+H153+I153)</x:f>
      </x:c>
      <x:c r="N153" s="64" t="str">
        <x:f>IF(A153="","",IF(AND(B153=C153,K153=0),IF(M153=0,"最终库存已闭环","流向对平，仍有待办"),"检查"))</x:f>
      </x:c>
    </x:row>
    <x:row r="154">
      <x:c r="A154" s="73"/>
      <x:c r="B154" s="72" t="str">
        <x:f>IF(A154="","",COUNTIFS('Steam卖出对账'!$C$5:$C$1204,A154,'Steam卖出对账'!$H$5:$H$1204,"&gt;0"))</x:f>
      </x:c>
      <x:c r="C154" s="72" t="str">
        <x:f>IF(A154="","",COUNTIFS('Steam卖出对账'!$C$5:$C$1204,A154,'Steam卖出对账'!$I$5:$I$1204,"&gt;0"))</x:f>
      </x:c>
      <x:c r="D154" s="72" t="str">
        <x:f>IF($A154="","",SUMIFS('补仓对账'!$Q$5:$Q$1204,'补仓对账'!$B$5:$B$1204,$A154,'补仓对账'!$F$5:$F$1204,"C154成功"))</x:f>
      </x:c>
      <x:c r="E154" s="72" t="str">
        <x:f>IF($A154="","",SUMIFS('补仓对账'!$Q$5:$Q$1204,'补仓对账'!$B$5:$B$1204,$A154,'补仓对账'!$F$5:$F$1204,"手动完结"))</x:f>
      </x:c>
      <x:c r="F154" s="72" t="str">
        <x:f>IF($A154="","",SUMIFS('补仓对账'!$Q$5:$Q$1204,'补仓对账'!$B$5:$B$1204,$A154,'补仓对账'!$F$5:$F$1204,"C154发货确认中"))</x:f>
      </x:c>
      <x:c r="G154" s="72" t="str">
        <x:f>IF($A154="","",SUMIFS('补仓对账'!$Q$5:$Q$1204,'补仓对账'!$B$5:$B$1204,$A154,'补仓对账'!$F$5:$F$1204,"卖出待补仓"))</x:f>
      </x:c>
      <x:c r="H154" s="72" t="str">
        <x:f>IF($A154="","",SUMIFS('补仓对账'!$Q$5:$Q$1204,'补仓对账'!$B$5:$B$1204,$A154,'补仓对账'!$F$5:$F$1204,"提交结果待确认"))</x:f>
      </x:c>
      <x:c r="I154" s="72" t="str">
        <x:f>IF($A154="","",SUMIFS('补仓对账'!$Q$5:$Q$1204,'补仓对账'!$B$5:$B$1204,$A154,'补仓对账'!$F$5:$F$1204,"异常待处理"))</x:f>
      </x:c>
      <x:c r="J154" s="72" t="str">
        <x:f>IF(A154="","",SUM(D154:I154))</x:f>
      </x:c>
      <x:c r="K154" s="72" t="str">
        <x:f>IF(A154="","",C154-J154)</x:f>
      </x:c>
      <x:c r="L154" s="72" t="str">
        <x:f>IF(A154="","",D154+E154)</x:f>
      </x:c>
      <x:c r="M154" s="72" t="str">
        <x:f>IF(A154="","",F154+G154+H154+I154)</x:f>
      </x:c>
      <x:c r="N154" s="64" t="str">
        <x:f>IF(A154="","",IF(AND(B154=C154,K154=0),IF(M154=0,"最终库存已闭环","流向对平，仍有待办"),"检查"))</x:f>
      </x:c>
    </x:row>
    <x:row r="155">
      <x:c r="A155" s="73"/>
      <x:c r="B155" s="72" t="str">
        <x:f>IF(A155="","",COUNTIFS('Steam卖出对账'!$C$5:$C$1204,A155,'Steam卖出对账'!$H$5:$H$1204,"&gt;0"))</x:f>
      </x:c>
      <x:c r="C155" s="72" t="str">
        <x:f>IF(A155="","",COUNTIFS('Steam卖出对账'!$C$5:$C$1204,A155,'Steam卖出对账'!$I$5:$I$1204,"&gt;0"))</x:f>
      </x:c>
      <x:c r="D155" s="72" t="str">
        <x:f>IF($A155="","",SUMIFS('补仓对账'!$Q$5:$Q$1204,'补仓对账'!$B$5:$B$1204,$A155,'补仓对账'!$F$5:$F$1204,"C155成功"))</x:f>
      </x:c>
      <x:c r="E155" s="72" t="str">
        <x:f>IF($A155="","",SUMIFS('补仓对账'!$Q$5:$Q$1204,'补仓对账'!$B$5:$B$1204,$A155,'补仓对账'!$F$5:$F$1204,"手动完结"))</x:f>
      </x:c>
      <x:c r="F155" s="72" t="str">
        <x:f>IF($A155="","",SUMIFS('补仓对账'!$Q$5:$Q$1204,'补仓对账'!$B$5:$B$1204,$A155,'补仓对账'!$F$5:$F$1204,"C155发货确认中"))</x:f>
      </x:c>
      <x:c r="G155" s="72" t="str">
        <x:f>IF($A155="","",SUMIFS('补仓对账'!$Q$5:$Q$1204,'补仓对账'!$B$5:$B$1204,$A155,'补仓对账'!$F$5:$F$1204,"卖出待补仓"))</x:f>
      </x:c>
      <x:c r="H155" s="72" t="str">
        <x:f>IF($A155="","",SUMIFS('补仓对账'!$Q$5:$Q$1204,'补仓对账'!$B$5:$B$1204,$A155,'补仓对账'!$F$5:$F$1204,"提交结果待确认"))</x:f>
      </x:c>
      <x:c r="I155" s="72" t="str">
        <x:f>IF($A155="","",SUMIFS('补仓对账'!$Q$5:$Q$1204,'补仓对账'!$B$5:$B$1204,$A155,'补仓对账'!$F$5:$F$1204,"异常待处理"))</x:f>
      </x:c>
      <x:c r="J155" s="72" t="str">
        <x:f>IF(A155="","",SUM(D155:I155))</x:f>
      </x:c>
      <x:c r="K155" s="72" t="str">
        <x:f>IF(A155="","",C155-J155)</x:f>
      </x:c>
      <x:c r="L155" s="72" t="str">
        <x:f>IF(A155="","",D155+E155)</x:f>
      </x:c>
      <x:c r="M155" s="72" t="str">
        <x:f>IF(A155="","",F155+G155+H155+I155)</x:f>
      </x:c>
      <x:c r="N155" s="64" t="str">
        <x:f>IF(A155="","",IF(AND(B155=C155,K155=0),IF(M155=0,"最终库存已闭环","流向对平，仍有待办"),"检查"))</x:f>
      </x:c>
    </x:row>
    <x:row r="156">
      <x:c r="A156" s="73"/>
      <x:c r="B156" s="72" t="str">
        <x:f>IF(A156="","",COUNTIFS('Steam卖出对账'!$C$5:$C$1204,A156,'Steam卖出对账'!$H$5:$H$1204,"&gt;0"))</x:f>
      </x:c>
      <x:c r="C156" s="72" t="str">
        <x:f>IF(A156="","",COUNTIFS('Steam卖出对账'!$C$5:$C$1204,A156,'Steam卖出对账'!$I$5:$I$1204,"&gt;0"))</x:f>
      </x:c>
      <x:c r="D156" s="72" t="str">
        <x:f>IF($A156="","",SUMIFS('补仓对账'!$Q$5:$Q$1204,'补仓对账'!$B$5:$B$1204,$A156,'补仓对账'!$F$5:$F$1204,"C156成功"))</x:f>
      </x:c>
      <x:c r="E156" s="72" t="str">
        <x:f>IF($A156="","",SUMIFS('补仓对账'!$Q$5:$Q$1204,'补仓对账'!$B$5:$B$1204,$A156,'补仓对账'!$F$5:$F$1204,"手动完结"))</x:f>
      </x:c>
      <x:c r="F156" s="72" t="str">
        <x:f>IF($A156="","",SUMIFS('补仓对账'!$Q$5:$Q$1204,'补仓对账'!$B$5:$B$1204,$A156,'补仓对账'!$F$5:$F$1204,"C156发货确认中"))</x:f>
      </x:c>
      <x:c r="G156" s="72" t="str">
        <x:f>IF($A156="","",SUMIFS('补仓对账'!$Q$5:$Q$1204,'补仓对账'!$B$5:$B$1204,$A156,'补仓对账'!$F$5:$F$1204,"卖出待补仓"))</x:f>
      </x:c>
      <x:c r="H156" s="72" t="str">
        <x:f>IF($A156="","",SUMIFS('补仓对账'!$Q$5:$Q$1204,'补仓对账'!$B$5:$B$1204,$A156,'补仓对账'!$F$5:$F$1204,"提交结果待确认"))</x:f>
      </x:c>
      <x:c r="I156" s="72" t="str">
        <x:f>IF($A156="","",SUMIFS('补仓对账'!$Q$5:$Q$1204,'补仓对账'!$B$5:$B$1204,$A156,'补仓对账'!$F$5:$F$1204,"异常待处理"))</x:f>
      </x:c>
      <x:c r="J156" s="72" t="str">
        <x:f>IF(A156="","",SUM(D156:I156))</x:f>
      </x:c>
      <x:c r="K156" s="72" t="str">
        <x:f>IF(A156="","",C156-J156)</x:f>
      </x:c>
      <x:c r="L156" s="72" t="str">
        <x:f>IF(A156="","",D156+E156)</x:f>
      </x:c>
      <x:c r="M156" s="72" t="str">
        <x:f>IF(A156="","",F156+G156+H156+I156)</x:f>
      </x:c>
      <x:c r="N156" s="64" t="str">
        <x:f>IF(A156="","",IF(AND(B156=C156,K156=0),IF(M156=0,"最终库存已闭环","流向对平，仍有待办"),"检查"))</x:f>
      </x:c>
    </x:row>
    <x:row r="157">
      <x:c r="A157" s="73"/>
      <x:c r="B157" s="72" t="str">
        <x:f>IF(A157="","",COUNTIFS('Steam卖出对账'!$C$5:$C$1204,A157,'Steam卖出对账'!$H$5:$H$1204,"&gt;0"))</x:f>
      </x:c>
      <x:c r="C157" s="72" t="str">
        <x:f>IF(A157="","",COUNTIFS('Steam卖出对账'!$C$5:$C$1204,A157,'Steam卖出对账'!$I$5:$I$1204,"&gt;0"))</x:f>
      </x:c>
      <x:c r="D157" s="72" t="str">
        <x:f>IF($A157="","",SUMIFS('补仓对账'!$Q$5:$Q$1204,'补仓对账'!$B$5:$B$1204,$A157,'补仓对账'!$F$5:$F$1204,"C157成功"))</x:f>
      </x:c>
      <x:c r="E157" s="72" t="str">
        <x:f>IF($A157="","",SUMIFS('补仓对账'!$Q$5:$Q$1204,'补仓对账'!$B$5:$B$1204,$A157,'补仓对账'!$F$5:$F$1204,"手动完结"))</x:f>
      </x:c>
      <x:c r="F157" s="72" t="str">
        <x:f>IF($A157="","",SUMIFS('补仓对账'!$Q$5:$Q$1204,'补仓对账'!$B$5:$B$1204,$A157,'补仓对账'!$F$5:$F$1204,"C157发货确认中"))</x:f>
      </x:c>
      <x:c r="G157" s="72" t="str">
        <x:f>IF($A157="","",SUMIFS('补仓对账'!$Q$5:$Q$1204,'补仓对账'!$B$5:$B$1204,$A157,'补仓对账'!$F$5:$F$1204,"卖出待补仓"))</x:f>
      </x:c>
      <x:c r="H157" s="72" t="str">
        <x:f>IF($A157="","",SUMIFS('补仓对账'!$Q$5:$Q$1204,'补仓对账'!$B$5:$B$1204,$A157,'补仓对账'!$F$5:$F$1204,"提交结果待确认"))</x:f>
      </x:c>
      <x:c r="I157" s="72" t="str">
        <x:f>IF($A157="","",SUMIFS('补仓对账'!$Q$5:$Q$1204,'补仓对账'!$B$5:$B$1204,$A157,'补仓对账'!$F$5:$F$1204,"异常待处理"))</x:f>
      </x:c>
      <x:c r="J157" s="72" t="str">
        <x:f>IF(A157="","",SUM(D157:I157))</x:f>
      </x:c>
      <x:c r="K157" s="72" t="str">
        <x:f>IF(A157="","",C157-J157)</x:f>
      </x:c>
      <x:c r="L157" s="72" t="str">
        <x:f>IF(A157="","",D157+E157)</x:f>
      </x:c>
      <x:c r="M157" s="72" t="str">
        <x:f>IF(A157="","",F157+G157+H157+I157)</x:f>
      </x:c>
      <x:c r="N157" s="64" t="str">
        <x:f>IF(A157="","",IF(AND(B157=C157,K157=0),IF(M157=0,"最终库存已闭环","流向对平，仍有待办"),"检查"))</x:f>
      </x:c>
    </x:row>
    <x:row r="158">
      <x:c r="A158" s="73"/>
      <x:c r="B158" s="72" t="str">
        <x:f>IF(A158="","",COUNTIFS('Steam卖出对账'!$C$5:$C$1204,A158,'Steam卖出对账'!$H$5:$H$1204,"&gt;0"))</x:f>
      </x:c>
      <x:c r="C158" s="72" t="str">
        <x:f>IF(A158="","",COUNTIFS('Steam卖出对账'!$C$5:$C$1204,A158,'Steam卖出对账'!$I$5:$I$1204,"&gt;0"))</x:f>
      </x:c>
      <x:c r="D158" s="72" t="str">
        <x:f>IF($A158="","",SUMIFS('补仓对账'!$Q$5:$Q$1204,'补仓对账'!$B$5:$B$1204,$A158,'补仓对账'!$F$5:$F$1204,"C158成功"))</x:f>
      </x:c>
      <x:c r="E158" s="72" t="str">
        <x:f>IF($A158="","",SUMIFS('补仓对账'!$Q$5:$Q$1204,'补仓对账'!$B$5:$B$1204,$A158,'补仓对账'!$F$5:$F$1204,"手动完结"))</x:f>
      </x:c>
      <x:c r="F158" s="72" t="str">
        <x:f>IF($A158="","",SUMIFS('补仓对账'!$Q$5:$Q$1204,'补仓对账'!$B$5:$B$1204,$A158,'补仓对账'!$F$5:$F$1204,"C158发货确认中"))</x:f>
      </x:c>
      <x:c r="G158" s="72" t="str">
        <x:f>IF($A158="","",SUMIFS('补仓对账'!$Q$5:$Q$1204,'补仓对账'!$B$5:$B$1204,$A158,'补仓对账'!$F$5:$F$1204,"卖出待补仓"))</x:f>
      </x:c>
      <x:c r="H158" s="72" t="str">
        <x:f>IF($A158="","",SUMIFS('补仓对账'!$Q$5:$Q$1204,'补仓对账'!$B$5:$B$1204,$A158,'补仓对账'!$F$5:$F$1204,"提交结果待确认"))</x:f>
      </x:c>
      <x:c r="I158" s="72" t="str">
        <x:f>IF($A158="","",SUMIFS('补仓对账'!$Q$5:$Q$1204,'补仓对账'!$B$5:$B$1204,$A158,'补仓对账'!$F$5:$F$1204,"异常待处理"))</x:f>
      </x:c>
      <x:c r="J158" s="72" t="str">
        <x:f>IF(A158="","",SUM(D158:I158))</x:f>
      </x:c>
      <x:c r="K158" s="72" t="str">
        <x:f>IF(A158="","",C158-J158)</x:f>
      </x:c>
      <x:c r="L158" s="72" t="str">
        <x:f>IF(A158="","",D158+E158)</x:f>
      </x:c>
      <x:c r="M158" s="72" t="str">
        <x:f>IF(A158="","",F158+G158+H158+I158)</x:f>
      </x:c>
      <x:c r="N158" s="64" t="str">
        <x:f>IF(A158="","",IF(AND(B158=C158,K158=0),IF(M158=0,"最终库存已闭环","流向对平，仍有待办"),"检查"))</x:f>
      </x:c>
    </x:row>
    <x:row r="159">
      <x:c r="A159" s="73"/>
      <x:c r="B159" s="72" t="str">
        <x:f>IF(A159="","",COUNTIFS('Steam卖出对账'!$C$5:$C$1204,A159,'Steam卖出对账'!$H$5:$H$1204,"&gt;0"))</x:f>
      </x:c>
      <x:c r="C159" s="72" t="str">
        <x:f>IF(A159="","",COUNTIFS('Steam卖出对账'!$C$5:$C$1204,A159,'Steam卖出对账'!$I$5:$I$1204,"&gt;0"))</x:f>
      </x:c>
      <x:c r="D159" s="72" t="str">
        <x:f>IF($A159="","",SUMIFS('补仓对账'!$Q$5:$Q$1204,'补仓对账'!$B$5:$B$1204,$A159,'补仓对账'!$F$5:$F$1204,"C159成功"))</x:f>
      </x:c>
      <x:c r="E159" s="72" t="str">
        <x:f>IF($A159="","",SUMIFS('补仓对账'!$Q$5:$Q$1204,'补仓对账'!$B$5:$B$1204,$A159,'补仓对账'!$F$5:$F$1204,"手动完结"))</x:f>
      </x:c>
      <x:c r="F159" s="72" t="str">
        <x:f>IF($A159="","",SUMIFS('补仓对账'!$Q$5:$Q$1204,'补仓对账'!$B$5:$B$1204,$A159,'补仓对账'!$F$5:$F$1204,"C159发货确认中"))</x:f>
      </x:c>
      <x:c r="G159" s="72" t="str">
        <x:f>IF($A159="","",SUMIFS('补仓对账'!$Q$5:$Q$1204,'补仓对账'!$B$5:$B$1204,$A159,'补仓对账'!$F$5:$F$1204,"卖出待补仓"))</x:f>
      </x:c>
      <x:c r="H159" s="72" t="str">
        <x:f>IF($A159="","",SUMIFS('补仓对账'!$Q$5:$Q$1204,'补仓对账'!$B$5:$B$1204,$A159,'补仓对账'!$F$5:$F$1204,"提交结果待确认"))</x:f>
      </x:c>
      <x:c r="I159" s="72" t="str">
        <x:f>IF($A159="","",SUMIFS('补仓对账'!$Q$5:$Q$1204,'补仓对账'!$B$5:$B$1204,$A159,'补仓对账'!$F$5:$F$1204,"异常待处理"))</x:f>
      </x:c>
      <x:c r="J159" s="72" t="str">
        <x:f>IF(A159="","",SUM(D159:I159))</x:f>
      </x:c>
      <x:c r="K159" s="72" t="str">
        <x:f>IF(A159="","",C159-J159)</x:f>
      </x:c>
      <x:c r="L159" s="72" t="str">
        <x:f>IF(A159="","",D159+E159)</x:f>
      </x:c>
      <x:c r="M159" s="72" t="str">
        <x:f>IF(A159="","",F159+G159+H159+I159)</x:f>
      </x:c>
      <x:c r="N159" s="64" t="str">
        <x:f>IF(A159="","",IF(AND(B159=C159,K159=0),IF(M159=0,"最终库存已闭环","流向对平，仍有待办"),"检查"))</x:f>
      </x:c>
    </x:row>
    <x:row r="160">
      <x:c r="A160" s="73"/>
      <x:c r="B160" s="72" t="str">
        <x:f>IF(A160="","",COUNTIFS('Steam卖出对账'!$C$5:$C$1204,A160,'Steam卖出对账'!$H$5:$H$1204,"&gt;0"))</x:f>
      </x:c>
      <x:c r="C160" s="72" t="str">
        <x:f>IF(A160="","",COUNTIFS('Steam卖出对账'!$C$5:$C$1204,A160,'Steam卖出对账'!$I$5:$I$1204,"&gt;0"))</x:f>
      </x:c>
      <x:c r="D160" s="72" t="str">
        <x:f>IF($A160="","",SUMIFS('补仓对账'!$Q$5:$Q$1204,'补仓对账'!$B$5:$B$1204,$A160,'补仓对账'!$F$5:$F$1204,"C160成功"))</x:f>
      </x:c>
      <x:c r="E160" s="72" t="str">
        <x:f>IF($A160="","",SUMIFS('补仓对账'!$Q$5:$Q$1204,'补仓对账'!$B$5:$B$1204,$A160,'补仓对账'!$F$5:$F$1204,"手动完结"))</x:f>
      </x:c>
      <x:c r="F160" s="72" t="str">
        <x:f>IF($A160="","",SUMIFS('补仓对账'!$Q$5:$Q$1204,'补仓对账'!$B$5:$B$1204,$A160,'补仓对账'!$F$5:$F$1204,"C160发货确认中"))</x:f>
      </x:c>
      <x:c r="G160" s="72" t="str">
        <x:f>IF($A160="","",SUMIFS('补仓对账'!$Q$5:$Q$1204,'补仓对账'!$B$5:$B$1204,$A160,'补仓对账'!$F$5:$F$1204,"卖出待补仓"))</x:f>
      </x:c>
      <x:c r="H160" s="72" t="str">
        <x:f>IF($A160="","",SUMIFS('补仓对账'!$Q$5:$Q$1204,'补仓对账'!$B$5:$B$1204,$A160,'补仓对账'!$F$5:$F$1204,"提交结果待确认"))</x:f>
      </x:c>
      <x:c r="I160" s="72" t="str">
        <x:f>IF($A160="","",SUMIFS('补仓对账'!$Q$5:$Q$1204,'补仓对账'!$B$5:$B$1204,$A160,'补仓对账'!$F$5:$F$1204,"异常待处理"))</x:f>
      </x:c>
      <x:c r="J160" s="72" t="str">
        <x:f>IF(A160="","",SUM(D160:I160))</x:f>
      </x:c>
      <x:c r="K160" s="72" t="str">
        <x:f>IF(A160="","",C160-J160)</x:f>
      </x:c>
      <x:c r="L160" s="72" t="str">
        <x:f>IF(A160="","",D160+E160)</x:f>
      </x:c>
      <x:c r="M160" s="72" t="str">
        <x:f>IF(A160="","",F160+G160+H160+I160)</x:f>
      </x:c>
      <x:c r="N160" s="64" t="str">
        <x:f>IF(A160="","",IF(AND(B160=C160,K160=0),IF(M160=0,"最终库存已闭环","流向对平，仍有待办"),"检查"))</x:f>
      </x:c>
    </x:row>
    <x:row r="161">
      <x:c r="A161" s="73"/>
      <x:c r="B161" s="72" t="str">
        <x:f>IF(A161="","",COUNTIFS('Steam卖出对账'!$C$5:$C$1204,A161,'Steam卖出对账'!$H$5:$H$1204,"&gt;0"))</x:f>
      </x:c>
      <x:c r="C161" s="72" t="str">
        <x:f>IF(A161="","",COUNTIFS('Steam卖出对账'!$C$5:$C$1204,A161,'Steam卖出对账'!$I$5:$I$1204,"&gt;0"))</x:f>
      </x:c>
      <x:c r="D161" s="72" t="str">
        <x:f>IF($A161="","",SUMIFS('补仓对账'!$Q$5:$Q$1204,'补仓对账'!$B$5:$B$1204,$A161,'补仓对账'!$F$5:$F$1204,"C161成功"))</x:f>
      </x:c>
      <x:c r="E161" s="72" t="str">
        <x:f>IF($A161="","",SUMIFS('补仓对账'!$Q$5:$Q$1204,'补仓对账'!$B$5:$B$1204,$A161,'补仓对账'!$F$5:$F$1204,"手动完结"))</x:f>
      </x:c>
      <x:c r="F161" s="72" t="str">
        <x:f>IF($A161="","",SUMIFS('补仓对账'!$Q$5:$Q$1204,'补仓对账'!$B$5:$B$1204,$A161,'补仓对账'!$F$5:$F$1204,"C161发货确认中"))</x:f>
      </x:c>
      <x:c r="G161" s="72" t="str">
        <x:f>IF($A161="","",SUMIFS('补仓对账'!$Q$5:$Q$1204,'补仓对账'!$B$5:$B$1204,$A161,'补仓对账'!$F$5:$F$1204,"卖出待补仓"))</x:f>
      </x:c>
      <x:c r="H161" s="72" t="str">
        <x:f>IF($A161="","",SUMIFS('补仓对账'!$Q$5:$Q$1204,'补仓对账'!$B$5:$B$1204,$A161,'补仓对账'!$F$5:$F$1204,"提交结果待确认"))</x:f>
      </x:c>
      <x:c r="I161" s="72" t="str">
        <x:f>IF($A161="","",SUMIFS('补仓对账'!$Q$5:$Q$1204,'补仓对账'!$B$5:$B$1204,$A161,'补仓对账'!$F$5:$F$1204,"异常待处理"))</x:f>
      </x:c>
      <x:c r="J161" s="72" t="str">
        <x:f>IF(A161="","",SUM(D161:I161))</x:f>
      </x:c>
      <x:c r="K161" s="72" t="str">
        <x:f>IF(A161="","",C161-J161)</x:f>
      </x:c>
      <x:c r="L161" s="72" t="str">
        <x:f>IF(A161="","",D161+E161)</x:f>
      </x:c>
      <x:c r="M161" s="72" t="str">
        <x:f>IF(A161="","",F161+G161+H161+I161)</x:f>
      </x:c>
      <x:c r="N161" s="64" t="str">
        <x:f>IF(A161="","",IF(AND(B161=C161,K161=0),IF(M161=0,"最终库存已闭环","流向对平，仍有待办"),"检查"))</x:f>
      </x:c>
    </x:row>
    <x:row r="162">
      <x:c r="A162" s="73"/>
      <x:c r="B162" s="72" t="str">
        <x:f>IF(A162="","",COUNTIFS('Steam卖出对账'!$C$5:$C$1204,A162,'Steam卖出对账'!$H$5:$H$1204,"&gt;0"))</x:f>
      </x:c>
      <x:c r="C162" s="72" t="str">
        <x:f>IF(A162="","",COUNTIFS('Steam卖出对账'!$C$5:$C$1204,A162,'Steam卖出对账'!$I$5:$I$1204,"&gt;0"))</x:f>
      </x:c>
      <x:c r="D162" s="72" t="str">
        <x:f>IF($A162="","",SUMIFS('补仓对账'!$Q$5:$Q$1204,'补仓对账'!$B$5:$B$1204,$A162,'补仓对账'!$F$5:$F$1204,"C162成功"))</x:f>
      </x:c>
      <x:c r="E162" s="72" t="str">
        <x:f>IF($A162="","",SUMIFS('补仓对账'!$Q$5:$Q$1204,'补仓对账'!$B$5:$B$1204,$A162,'补仓对账'!$F$5:$F$1204,"手动完结"))</x:f>
      </x:c>
      <x:c r="F162" s="72" t="str">
        <x:f>IF($A162="","",SUMIFS('补仓对账'!$Q$5:$Q$1204,'补仓对账'!$B$5:$B$1204,$A162,'补仓对账'!$F$5:$F$1204,"C162发货确认中"))</x:f>
      </x:c>
      <x:c r="G162" s="72" t="str">
        <x:f>IF($A162="","",SUMIFS('补仓对账'!$Q$5:$Q$1204,'补仓对账'!$B$5:$B$1204,$A162,'补仓对账'!$F$5:$F$1204,"卖出待补仓"))</x:f>
      </x:c>
      <x:c r="H162" s="72" t="str">
        <x:f>IF($A162="","",SUMIFS('补仓对账'!$Q$5:$Q$1204,'补仓对账'!$B$5:$B$1204,$A162,'补仓对账'!$F$5:$F$1204,"提交结果待确认"))</x:f>
      </x:c>
      <x:c r="I162" s="72" t="str">
        <x:f>IF($A162="","",SUMIFS('补仓对账'!$Q$5:$Q$1204,'补仓对账'!$B$5:$B$1204,$A162,'补仓对账'!$F$5:$F$1204,"异常待处理"))</x:f>
      </x:c>
      <x:c r="J162" s="72" t="str">
        <x:f>IF(A162="","",SUM(D162:I162))</x:f>
      </x:c>
      <x:c r="K162" s="72" t="str">
        <x:f>IF(A162="","",C162-J162)</x:f>
      </x:c>
      <x:c r="L162" s="72" t="str">
        <x:f>IF(A162="","",D162+E162)</x:f>
      </x:c>
      <x:c r="M162" s="72" t="str">
        <x:f>IF(A162="","",F162+G162+H162+I162)</x:f>
      </x:c>
      <x:c r="N162" s="64" t="str">
        <x:f>IF(A162="","",IF(AND(B162=C162,K162=0),IF(M162=0,"最终库存已闭环","流向对平，仍有待办"),"检查"))</x:f>
      </x:c>
    </x:row>
    <x:row r="163">
      <x:c r="A163" s="73"/>
      <x:c r="B163" s="72" t="str">
        <x:f>IF(A163="","",COUNTIFS('Steam卖出对账'!$C$5:$C$1204,A163,'Steam卖出对账'!$H$5:$H$1204,"&gt;0"))</x:f>
      </x:c>
      <x:c r="C163" s="72" t="str">
        <x:f>IF(A163="","",COUNTIFS('Steam卖出对账'!$C$5:$C$1204,A163,'Steam卖出对账'!$I$5:$I$1204,"&gt;0"))</x:f>
      </x:c>
      <x:c r="D163" s="72" t="str">
        <x:f>IF($A163="","",SUMIFS('补仓对账'!$Q$5:$Q$1204,'补仓对账'!$B$5:$B$1204,$A163,'补仓对账'!$F$5:$F$1204,"C163成功"))</x:f>
      </x:c>
      <x:c r="E163" s="72" t="str">
        <x:f>IF($A163="","",SUMIFS('补仓对账'!$Q$5:$Q$1204,'补仓对账'!$B$5:$B$1204,$A163,'补仓对账'!$F$5:$F$1204,"手动完结"))</x:f>
      </x:c>
      <x:c r="F163" s="72" t="str">
        <x:f>IF($A163="","",SUMIFS('补仓对账'!$Q$5:$Q$1204,'补仓对账'!$B$5:$B$1204,$A163,'补仓对账'!$F$5:$F$1204,"C163发货确认中"))</x:f>
      </x:c>
      <x:c r="G163" s="72" t="str">
        <x:f>IF($A163="","",SUMIFS('补仓对账'!$Q$5:$Q$1204,'补仓对账'!$B$5:$B$1204,$A163,'补仓对账'!$F$5:$F$1204,"卖出待补仓"))</x:f>
      </x:c>
      <x:c r="H163" s="72" t="str">
        <x:f>IF($A163="","",SUMIFS('补仓对账'!$Q$5:$Q$1204,'补仓对账'!$B$5:$B$1204,$A163,'补仓对账'!$F$5:$F$1204,"提交结果待确认"))</x:f>
      </x:c>
      <x:c r="I163" s="72" t="str">
        <x:f>IF($A163="","",SUMIFS('补仓对账'!$Q$5:$Q$1204,'补仓对账'!$B$5:$B$1204,$A163,'补仓对账'!$F$5:$F$1204,"异常待处理"))</x:f>
      </x:c>
      <x:c r="J163" s="72" t="str">
        <x:f>IF(A163="","",SUM(D163:I163))</x:f>
      </x:c>
      <x:c r="K163" s="72" t="str">
        <x:f>IF(A163="","",C163-J163)</x:f>
      </x:c>
      <x:c r="L163" s="72" t="str">
        <x:f>IF(A163="","",D163+E163)</x:f>
      </x:c>
      <x:c r="M163" s="72" t="str">
        <x:f>IF(A163="","",F163+G163+H163+I163)</x:f>
      </x:c>
      <x:c r="N163" s="64" t="str">
        <x:f>IF(A163="","",IF(AND(B163=C163,K163=0),IF(M163=0,"最终库存已闭环","流向对平，仍有待办"),"检查"))</x:f>
      </x:c>
    </x:row>
    <x:row r="164">
      <x:c r="A164" s="73"/>
      <x:c r="B164" s="72" t="str">
        <x:f>IF(A164="","",COUNTIFS('Steam卖出对账'!$C$5:$C$1204,A164,'Steam卖出对账'!$H$5:$H$1204,"&gt;0"))</x:f>
      </x:c>
      <x:c r="C164" s="72" t="str">
        <x:f>IF(A164="","",COUNTIFS('Steam卖出对账'!$C$5:$C$1204,A164,'Steam卖出对账'!$I$5:$I$1204,"&gt;0"))</x:f>
      </x:c>
      <x:c r="D164" s="72" t="str">
        <x:f>IF($A164="","",SUMIFS('补仓对账'!$Q$5:$Q$1204,'补仓对账'!$B$5:$B$1204,$A164,'补仓对账'!$F$5:$F$1204,"C164成功"))</x:f>
      </x:c>
      <x:c r="E164" s="72" t="str">
        <x:f>IF($A164="","",SUMIFS('补仓对账'!$Q$5:$Q$1204,'补仓对账'!$B$5:$B$1204,$A164,'补仓对账'!$F$5:$F$1204,"手动完结"))</x:f>
      </x:c>
      <x:c r="F164" s="72" t="str">
        <x:f>IF($A164="","",SUMIFS('补仓对账'!$Q$5:$Q$1204,'补仓对账'!$B$5:$B$1204,$A164,'补仓对账'!$F$5:$F$1204,"C164发货确认中"))</x:f>
      </x:c>
      <x:c r="G164" s="72" t="str">
        <x:f>IF($A164="","",SUMIFS('补仓对账'!$Q$5:$Q$1204,'补仓对账'!$B$5:$B$1204,$A164,'补仓对账'!$F$5:$F$1204,"卖出待补仓"))</x:f>
      </x:c>
      <x:c r="H164" s="72" t="str">
        <x:f>IF($A164="","",SUMIFS('补仓对账'!$Q$5:$Q$1204,'补仓对账'!$B$5:$B$1204,$A164,'补仓对账'!$F$5:$F$1204,"提交结果待确认"))</x:f>
      </x:c>
      <x:c r="I164" s="72" t="str">
        <x:f>IF($A164="","",SUMIFS('补仓对账'!$Q$5:$Q$1204,'补仓对账'!$B$5:$B$1204,$A164,'补仓对账'!$F$5:$F$1204,"异常待处理"))</x:f>
      </x:c>
      <x:c r="J164" s="72" t="str">
        <x:f>IF(A164="","",SUM(D164:I164))</x:f>
      </x:c>
      <x:c r="K164" s="72" t="str">
        <x:f>IF(A164="","",C164-J164)</x:f>
      </x:c>
      <x:c r="L164" s="72" t="str">
        <x:f>IF(A164="","",D164+E164)</x:f>
      </x:c>
      <x:c r="M164" s="72" t="str">
        <x:f>IF(A164="","",F164+G164+H164+I164)</x:f>
      </x:c>
      <x:c r="N164" s="64" t="str">
        <x:f>IF(A164="","",IF(AND(B164=C164,K164=0),IF(M164=0,"最终库存已闭环","流向对平，仍有待办"),"检查"))</x:f>
      </x:c>
    </x:row>
    <x:row r="165">
      <x:c r="A165" s="73"/>
      <x:c r="B165" s="72" t="str">
        <x:f>IF(A165="","",COUNTIFS('Steam卖出对账'!$C$5:$C$1204,A165,'Steam卖出对账'!$H$5:$H$1204,"&gt;0"))</x:f>
      </x:c>
      <x:c r="C165" s="72" t="str">
        <x:f>IF(A165="","",COUNTIFS('Steam卖出对账'!$C$5:$C$1204,A165,'Steam卖出对账'!$I$5:$I$1204,"&gt;0"))</x:f>
      </x:c>
      <x:c r="D165" s="72" t="str">
        <x:f>IF($A165="","",SUMIFS('补仓对账'!$Q$5:$Q$1204,'补仓对账'!$B$5:$B$1204,$A165,'补仓对账'!$F$5:$F$1204,"C165成功"))</x:f>
      </x:c>
      <x:c r="E165" s="72" t="str">
        <x:f>IF($A165="","",SUMIFS('补仓对账'!$Q$5:$Q$1204,'补仓对账'!$B$5:$B$1204,$A165,'补仓对账'!$F$5:$F$1204,"手动完结"))</x:f>
      </x:c>
      <x:c r="F165" s="72" t="str">
        <x:f>IF($A165="","",SUMIFS('补仓对账'!$Q$5:$Q$1204,'补仓对账'!$B$5:$B$1204,$A165,'补仓对账'!$F$5:$F$1204,"C165发货确认中"))</x:f>
      </x:c>
      <x:c r="G165" s="72" t="str">
        <x:f>IF($A165="","",SUMIFS('补仓对账'!$Q$5:$Q$1204,'补仓对账'!$B$5:$B$1204,$A165,'补仓对账'!$F$5:$F$1204,"卖出待补仓"))</x:f>
      </x:c>
      <x:c r="H165" s="72" t="str">
        <x:f>IF($A165="","",SUMIFS('补仓对账'!$Q$5:$Q$1204,'补仓对账'!$B$5:$B$1204,$A165,'补仓对账'!$F$5:$F$1204,"提交结果待确认"))</x:f>
      </x:c>
      <x:c r="I165" s="72" t="str">
        <x:f>IF($A165="","",SUMIFS('补仓对账'!$Q$5:$Q$1204,'补仓对账'!$B$5:$B$1204,$A165,'补仓对账'!$F$5:$F$1204,"异常待处理"))</x:f>
      </x:c>
      <x:c r="J165" s="72" t="str">
        <x:f>IF(A165="","",SUM(D165:I165))</x:f>
      </x:c>
      <x:c r="K165" s="72" t="str">
        <x:f>IF(A165="","",C165-J165)</x:f>
      </x:c>
      <x:c r="L165" s="72" t="str">
        <x:f>IF(A165="","",D165+E165)</x:f>
      </x:c>
      <x:c r="M165" s="72" t="str">
        <x:f>IF(A165="","",F165+G165+H165+I165)</x:f>
      </x:c>
      <x:c r="N165" s="64" t="str">
        <x:f>IF(A165="","",IF(AND(B165=C165,K165=0),IF(M165=0,"最终库存已闭环","流向对平，仍有待办"),"检查"))</x:f>
      </x:c>
    </x:row>
    <x:row r="166">
      <x:c r="A166" s="73"/>
      <x:c r="B166" s="72" t="str">
        <x:f>IF(A166="","",COUNTIFS('Steam卖出对账'!$C$5:$C$1204,A166,'Steam卖出对账'!$H$5:$H$1204,"&gt;0"))</x:f>
      </x:c>
      <x:c r="C166" s="72" t="str">
        <x:f>IF(A166="","",COUNTIFS('Steam卖出对账'!$C$5:$C$1204,A166,'Steam卖出对账'!$I$5:$I$1204,"&gt;0"))</x:f>
      </x:c>
      <x:c r="D166" s="72" t="str">
        <x:f>IF($A166="","",SUMIFS('补仓对账'!$Q$5:$Q$1204,'补仓对账'!$B$5:$B$1204,$A166,'补仓对账'!$F$5:$F$1204,"C166成功"))</x:f>
      </x:c>
      <x:c r="E166" s="72" t="str">
        <x:f>IF($A166="","",SUMIFS('补仓对账'!$Q$5:$Q$1204,'补仓对账'!$B$5:$B$1204,$A166,'补仓对账'!$F$5:$F$1204,"手动完结"))</x:f>
      </x:c>
      <x:c r="F166" s="72" t="str">
        <x:f>IF($A166="","",SUMIFS('补仓对账'!$Q$5:$Q$1204,'补仓对账'!$B$5:$B$1204,$A166,'补仓对账'!$F$5:$F$1204,"C166发货确认中"))</x:f>
      </x:c>
      <x:c r="G166" s="72" t="str">
        <x:f>IF($A166="","",SUMIFS('补仓对账'!$Q$5:$Q$1204,'补仓对账'!$B$5:$B$1204,$A166,'补仓对账'!$F$5:$F$1204,"卖出待补仓"))</x:f>
      </x:c>
      <x:c r="H166" s="72" t="str">
        <x:f>IF($A166="","",SUMIFS('补仓对账'!$Q$5:$Q$1204,'补仓对账'!$B$5:$B$1204,$A166,'补仓对账'!$F$5:$F$1204,"提交结果待确认"))</x:f>
      </x:c>
      <x:c r="I166" s="72" t="str">
        <x:f>IF($A166="","",SUMIFS('补仓对账'!$Q$5:$Q$1204,'补仓对账'!$B$5:$B$1204,$A166,'补仓对账'!$F$5:$F$1204,"异常待处理"))</x:f>
      </x:c>
      <x:c r="J166" s="72" t="str">
        <x:f>IF(A166="","",SUM(D166:I166))</x:f>
      </x:c>
      <x:c r="K166" s="72" t="str">
        <x:f>IF(A166="","",C166-J166)</x:f>
      </x:c>
      <x:c r="L166" s="72" t="str">
        <x:f>IF(A166="","",D166+E166)</x:f>
      </x:c>
      <x:c r="M166" s="72" t="str">
        <x:f>IF(A166="","",F166+G166+H166+I166)</x:f>
      </x:c>
      <x:c r="N166" s="64" t="str">
        <x:f>IF(A166="","",IF(AND(B166=C166,K166=0),IF(M166=0,"最终库存已闭环","流向对平，仍有待办"),"检查"))</x:f>
      </x:c>
    </x:row>
    <x:row r="167">
      <x:c r="A167" s="73"/>
      <x:c r="B167" s="72" t="str">
        <x:f>IF(A167="","",COUNTIFS('Steam卖出对账'!$C$5:$C$1204,A167,'Steam卖出对账'!$H$5:$H$1204,"&gt;0"))</x:f>
      </x:c>
      <x:c r="C167" s="72" t="str">
        <x:f>IF(A167="","",COUNTIFS('Steam卖出对账'!$C$5:$C$1204,A167,'Steam卖出对账'!$I$5:$I$1204,"&gt;0"))</x:f>
      </x:c>
      <x:c r="D167" s="72" t="str">
        <x:f>IF($A167="","",SUMIFS('补仓对账'!$Q$5:$Q$1204,'补仓对账'!$B$5:$B$1204,$A167,'补仓对账'!$F$5:$F$1204,"C167成功"))</x:f>
      </x:c>
      <x:c r="E167" s="72" t="str">
        <x:f>IF($A167="","",SUMIFS('补仓对账'!$Q$5:$Q$1204,'补仓对账'!$B$5:$B$1204,$A167,'补仓对账'!$F$5:$F$1204,"手动完结"))</x:f>
      </x:c>
      <x:c r="F167" s="72" t="str">
        <x:f>IF($A167="","",SUMIFS('补仓对账'!$Q$5:$Q$1204,'补仓对账'!$B$5:$B$1204,$A167,'补仓对账'!$F$5:$F$1204,"C167发货确认中"))</x:f>
      </x:c>
      <x:c r="G167" s="72" t="str">
        <x:f>IF($A167="","",SUMIFS('补仓对账'!$Q$5:$Q$1204,'补仓对账'!$B$5:$B$1204,$A167,'补仓对账'!$F$5:$F$1204,"卖出待补仓"))</x:f>
      </x:c>
      <x:c r="H167" s="72" t="str">
        <x:f>IF($A167="","",SUMIFS('补仓对账'!$Q$5:$Q$1204,'补仓对账'!$B$5:$B$1204,$A167,'补仓对账'!$F$5:$F$1204,"提交结果待确认"))</x:f>
      </x:c>
      <x:c r="I167" s="72" t="str">
        <x:f>IF($A167="","",SUMIFS('补仓对账'!$Q$5:$Q$1204,'补仓对账'!$B$5:$B$1204,$A167,'补仓对账'!$F$5:$F$1204,"异常待处理"))</x:f>
      </x:c>
      <x:c r="J167" s="72" t="str">
        <x:f>IF(A167="","",SUM(D167:I167))</x:f>
      </x:c>
      <x:c r="K167" s="72" t="str">
        <x:f>IF(A167="","",C167-J167)</x:f>
      </x:c>
      <x:c r="L167" s="72" t="str">
        <x:f>IF(A167="","",D167+E167)</x:f>
      </x:c>
      <x:c r="M167" s="72" t="str">
        <x:f>IF(A167="","",F167+G167+H167+I167)</x:f>
      </x:c>
      <x:c r="N167" s="64" t="str">
        <x:f>IF(A167="","",IF(AND(B167=C167,K167=0),IF(M167=0,"最终库存已闭环","流向对平，仍有待办"),"检查"))</x:f>
      </x:c>
    </x:row>
    <x:row r="168">
      <x:c r="A168" s="73"/>
      <x:c r="B168" s="72" t="str">
        <x:f>IF(A168="","",COUNTIFS('Steam卖出对账'!$C$5:$C$1204,A168,'Steam卖出对账'!$H$5:$H$1204,"&gt;0"))</x:f>
      </x:c>
      <x:c r="C168" s="72" t="str">
        <x:f>IF(A168="","",COUNTIFS('Steam卖出对账'!$C$5:$C$1204,A168,'Steam卖出对账'!$I$5:$I$1204,"&gt;0"))</x:f>
      </x:c>
      <x:c r="D168" s="72" t="str">
        <x:f>IF($A168="","",SUMIFS('补仓对账'!$Q$5:$Q$1204,'补仓对账'!$B$5:$B$1204,$A168,'补仓对账'!$F$5:$F$1204,"C168成功"))</x:f>
      </x:c>
      <x:c r="E168" s="72" t="str">
        <x:f>IF($A168="","",SUMIFS('补仓对账'!$Q$5:$Q$1204,'补仓对账'!$B$5:$B$1204,$A168,'补仓对账'!$F$5:$F$1204,"手动完结"))</x:f>
      </x:c>
      <x:c r="F168" s="72" t="str">
        <x:f>IF($A168="","",SUMIFS('补仓对账'!$Q$5:$Q$1204,'补仓对账'!$B$5:$B$1204,$A168,'补仓对账'!$F$5:$F$1204,"C168发货确认中"))</x:f>
      </x:c>
      <x:c r="G168" s="72" t="str">
        <x:f>IF($A168="","",SUMIFS('补仓对账'!$Q$5:$Q$1204,'补仓对账'!$B$5:$B$1204,$A168,'补仓对账'!$F$5:$F$1204,"卖出待补仓"))</x:f>
      </x:c>
      <x:c r="H168" s="72" t="str">
        <x:f>IF($A168="","",SUMIFS('补仓对账'!$Q$5:$Q$1204,'补仓对账'!$B$5:$B$1204,$A168,'补仓对账'!$F$5:$F$1204,"提交结果待确认"))</x:f>
      </x:c>
      <x:c r="I168" s="72" t="str">
        <x:f>IF($A168="","",SUMIFS('补仓对账'!$Q$5:$Q$1204,'补仓对账'!$B$5:$B$1204,$A168,'补仓对账'!$F$5:$F$1204,"异常待处理"))</x:f>
      </x:c>
      <x:c r="J168" s="72" t="str">
        <x:f>IF(A168="","",SUM(D168:I168))</x:f>
      </x:c>
      <x:c r="K168" s="72" t="str">
        <x:f>IF(A168="","",C168-J168)</x:f>
      </x:c>
      <x:c r="L168" s="72" t="str">
        <x:f>IF(A168="","",D168+E168)</x:f>
      </x:c>
      <x:c r="M168" s="72" t="str">
        <x:f>IF(A168="","",F168+G168+H168+I168)</x:f>
      </x:c>
      <x:c r="N168" s="64" t="str">
        <x:f>IF(A168="","",IF(AND(B168=C168,K168=0),IF(M168=0,"最终库存已闭环","流向对平，仍有待办"),"检查"))</x:f>
      </x:c>
    </x:row>
    <x:row r="169">
      <x:c r="A169" s="73"/>
      <x:c r="B169" s="72" t="str">
        <x:f>IF(A169="","",COUNTIFS('Steam卖出对账'!$C$5:$C$1204,A169,'Steam卖出对账'!$H$5:$H$1204,"&gt;0"))</x:f>
      </x:c>
      <x:c r="C169" s="72" t="str">
        <x:f>IF(A169="","",COUNTIFS('Steam卖出对账'!$C$5:$C$1204,A169,'Steam卖出对账'!$I$5:$I$1204,"&gt;0"))</x:f>
      </x:c>
      <x:c r="D169" s="72" t="str">
        <x:f>IF($A169="","",SUMIFS('补仓对账'!$Q$5:$Q$1204,'补仓对账'!$B$5:$B$1204,$A169,'补仓对账'!$F$5:$F$1204,"C169成功"))</x:f>
      </x:c>
      <x:c r="E169" s="72" t="str">
        <x:f>IF($A169="","",SUMIFS('补仓对账'!$Q$5:$Q$1204,'补仓对账'!$B$5:$B$1204,$A169,'补仓对账'!$F$5:$F$1204,"手动完结"))</x:f>
      </x:c>
      <x:c r="F169" s="72" t="str">
        <x:f>IF($A169="","",SUMIFS('补仓对账'!$Q$5:$Q$1204,'补仓对账'!$B$5:$B$1204,$A169,'补仓对账'!$F$5:$F$1204,"C169发货确认中"))</x:f>
      </x:c>
      <x:c r="G169" s="72" t="str">
        <x:f>IF($A169="","",SUMIFS('补仓对账'!$Q$5:$Q$1204,'补仓对账'!$B$5:$B$1204,$A169,'补仓对账'!$F$5:$F$1204,"卖出待补仓"))</x:f>
      </x:c>
      <x:c r="H169" s="72" t="str">
        <x:f>IF($A169="","",SUMIFS('补仓对账'!$Q$5:$Q$1204,'补仓对账'!$B$5:$B$1204,$A169,'补仓对账'!$F$5:$F$1204,"提交结果待确认"))</x:f>
      </x:c>
      <x:c r="I169" s="72" t="str">
        <x:f>IF($A169="","",SUMIFS('补仓对账'!$Q$5:$Q$1204,'补仓对账'!$B$5:$B$1204,$A169,'补仓对账'!$F$5:$F$1204,"异常待处理"))</x:f>
      </x:c>
      <x:c r="J169" s="72" t="str">
        <x:f>IF(A169="","",SUM(D169:I169))</x:f>
      </x:c>
      <x:c r="K169" s="72" t="str">
        <x:f>IF(A169="","",C169-J169)</x:f>
      </x:c>
      <x:c r="L169" s="72" t="str">
        <x:f>IF(A169="","",D169+E169)</x:f>
      </x:c>
      <x:c r="M169" s="72" t="str">
        <x:f>IF(A169="","",F169+G169+H169+I169)</x:f>
      </x:c>
      <x:c r="N169" s="64" t="str">
        <x:f>IF(A169="","",IF(AND(B169=C169,K169=0),IF(M169=0,"最终库存已闭环","流向对平，仍有待办"),"检查"))</x:f>
      </x:c>
    </x:row>
    <x:row r="170">
      <x:c r="A170" s="73"/>
      <x:c r="B170" s="72" t="str">
        <x:f>IF(A170="","",COUNTIFS('Steam卖出对账'!$C$5:$C$1204,A170,'Steam卖出对账'!$H$5:$H$1204,"&gt;0"))</x:f>
      </x:c>
      <x:c r="C170" s="72" t="str">
        <x:f>IF(A170="","",COUNTIFS('Steam卖出对账'!$C$5:$C$1204,A170,'Steam卖出对账'!$I$5:$I$1204,"&gt;0"))</x:f>
      </x:c>
      <x:c r="D170" s="72" t="str">
        <x:f>IF($A170="","",SUMIFS('补仓对账'!$Q$5:$Q$1204,'补仓对账'!$B$5:$B$1204,$A170,'补仓对账'!$F$5:$F$1204,"C170成功"))</x:f>
      </x:c>
      <x:c r="E170" s="72" t="str">
        <x:f>IF($A170="","",SUMIFS('补仓对账'!$Q$5:$Q$1204,'补仓对账'!$B$5:$B$1204,$A170,'补仓对账'!$F$5:$F$1204,"手动完结"))</x:f>
      </x:c>
      <x:c r="F170" s="72" t="str">
        <x:f>IF($A170="","",SUMIFS('补仓对账'!$Q$5:$Q$1204,'补仓对账'!$B$5:$B$1204,$A170,'补仓对账'!$F$5:$F$1204,"C170发货确认中"))</x:f>
      </x:c>
      <x:c r="G170" s="72" t="str">
        <x:f>IF($A170="","",SUMIFS('补仓对账'!$Q$5:$Q$1204,'补仓对账'!$B$5:$B$1204,$A170,'补仓对账'!$F$5:$F$1204,"卖出待补仓"))</x:f>
      </x:c>
      <x:c r="H170" s="72" t="str">
        <x:f>IF($A170="","",SUMIFS('补仓对账'!$Q$5:$Q$1204,'补仓对账'!$B$5:$B$1204,$A170,'补仓对账'!$F$5:$F$1204,"提交结果待确认"))</x:f>
      </x:c>
      <x:c r="I170" s="72" t="str">
        <x:f>IF($A170="","",SUMIFS('补仓对账'!$Q$5:$Q$1204,'补仓对账'!$B$5:$B$1204,$A170,'补仓对账'!$F$5:$F$1204,"异常待处理"))</x:f>
      </x:c>
      <x:c r="J170" s="72" t="str">
        <x:f>IF(A170="","",SUM(D170:I170))</x:f>
      </x:c>
      <x:c r="K170" s="72" t="str">
        <x:f>IF(A170="","",C170-J170)</x:f>
      </x:c>
      <x:c r="L170" s="72" t="str">
        <x:f>IF(A170="","",D170+E170)</x:f>
      </x:c>
      <x:c r="M170" s="72" t="str">
        <x:f>IF(A170="","",F170+G170+H170+I170)</x:f>
      </x:c>
      <x:c r="N170" s="64" t="str">
        <x:f>IF(A170="","",IF(AND(B170=C170,K170=0),IF(M170=0,"最终库存已闭环","流向对平，仍有待办"),"检查"))</x:f>
      </x:c>
    </x:row>
    <x:row r="171">
      <x:c r="A171" s="73"/>
      <x:c r="B171" s="72" t="str">
        <x:f>IF(A171="","",COUNTIFS('Steam卖出对账'!$C$5:$C$1204,A171,'Steam卖出对账'!$H$5:$H$1204,"&gt;0"))</x:f>
      </x:c>
      <x:c r="C171" s="72" t="str">
        <x:f>IF(A171="","",COUNTIFS('Steam卖出对账'!$C$5:$C$1204,A171,'Steam卖出对账'!$I$5:$I$1204,"&gt;0"))</x:f>
      </x:c>
      <x:c r="D171" s="72" t="str">
        <x:f>IF($A171="","",SUMIFS('补仓对账'!$Q$5:$Q$1204,'补仓对账'!$B$5:$B$1204,$A171,'补仓对账'!$F$5:$F$1204,"C171成功"))</x:f>
      </x:c>
      <x:c r="E171" s="72" t="str">
        <x:f>IF($A171="","",SUMIFS('补仓对账'!$Q$5:$Q$1204,'补仓对账'!$B$5:$B$1204,$A171,'补仓对账'!$F$5:$F$1204,"手动完结"))</x:f>
      </x:c>
      <x:c r="F171" s="72" t="str">
        <x:f>IF($A171="","",SUMIFS('补仓对账'!$Q$5:$Q$1204,'补仓对账'!$B$5:$B$1204,$A171,'补仓对账'!$F$5:$F$1204,"C171发货确认中"))</x:f>
      </x:c>
      <x:c r="G171" s="72" t="str">
        <x:f>IF($A171="","",SUMIFS('补仓对账'!$Q$5:$Q$1204,'补仓对账'!$B$5:$B$1204,$A171,'补仓对账'!$F$5:$F$1204,"卖出待补仓"))</x:f>
      </x:c>
      <x:c r="H171" s="72" t="str">
        <x:f>IF($A171="","",SUMIFS('补仓对账'!$Q$5:$Q$1204,'补仓对账'!$B$5:$B$1204,$A171,'补仓对账'!$F$5:$F$1204,"提交结果待确认"))</x:f>
      </x:c>
      <x:c r="I171" s="72" t="str">
        <x:f>IF($A171="","",SUMIFS('补仓对账'!$Q$5:$Q$1204,'补仓对账'!$B$5:$B$1204,$A171,'补仓对账'!$F$5:$F$1204,"异常待处理"))</x:f>
      </x:c>
      <x:c r="J171" s="72" t="str">
        <x:f>IF(A171="","",SUM(D171:I171))</x:f>
      </x:c>
      <x:c r="K171" s="72" t="str">
        <x:f>IF(A171="","",C171-J171)</x:f>
      </x:c>
      <x:c r="L171" s="72" t="str">
        <x:f>IF(A171="","",D171+E171)</x:f>
      </x:c>
      <x:c r="M171" s="72" t="str">
        <x:f>IF(A171="","",F171+G171+H171+I171)</x:f>
      </x:c>
      <x:c r="N171" s="64" t="str">
        <x:f>IF(A171="","",IF(AND(B171=C171,K171=0),IF(M171=0,"最终库存已闭环","流向对平，仍有待办"),"检查"))</x:f>
      </x:c>
    </x:row>
    <x:row r="172">
      <x:c r="A172" s="73"/>
      <x:c r="B172" s="72" t="str">
        <x:f>IF(A172="","",COUNTIFS('Steam卖出对账'!$C$5:$C$1204,A172,'Steam卖出对账'!$H$5:$H$1204,"&gt;0"))</x:f>
      </x:c>
      <x:c r="C172" s="72" t="str">
        <x:f>IF(A172="","",COUNTIFS('Steam卖出对账'!$C$5:$C$1204,A172,'Steam卖出对账'!$I$5:$I$1204,"&gt;0"))</x:f>
      </x:c>
      <x:c r="D172" s="72" t="str">
        <x:f>IF($A172="","",SUMIFS('补仓对账'!$Q$5:$Q$1204,'补仓对账'!$B$5:$B$1204,$A172,'补仓对账'!$F$5:$F$1204,"C172成功"))</x:f>
      </x:c>
      <x:c r="E172" s="72" t="str">
        <x:f>IF($A172="","",SUMIFS('补仓对账'!$Q$5:$Q$1204,'补仓对账'!$B$5:$B$1204,$A172,'补仓对账'!$F$5:$F$1204,"手动完结"))</x:f>
      </x:c>
      <x:c r="F172" s="72" t="str">
        <x:f>IF($A172="","",SUMIFS('补仓对账'!$Q$5:$Q$1204,'补仓对账'!$B$5:$B$1204,$A172,'补仓对账'!$F$5:$F$1204,"C172发货确认中"))</x:f>
      </x:c>
      <x:c r="G172" s="72" t="str">
        <x:f>IF($A172="","",SUMIFS('补仓对账'!$Q$5:$Q$1204,'补仓对账'!$B$5:$B$1204,$A172,'补仓对账'!$F$5:$F$1204,"卖出待补仓"))</x:f>
      </x:c>
      <x:c r="H172" s="72" t="str">
        <x:f>IF($A172="","",SUMIFS('补仓对账'!$Q$5:$Q$1204,'补仓对账'!$B$5:$B$1204,$A172,'补仓对账'!$F$5:$F$1204,"提交结果待确认"))</x:f>
      </x:c>
      <x:c r="I172" s="72" t="str">
        <x:f>IF($A172="","",SUMIFS('补仓对账'!$Q$5:$Q$1204,'补仓对账'!$B$5:$B$1204,$A172,'补仓对账'!$F$5:$F$1204,"异常待处理"))</x:f>
      </x:c>
      <x:c r="J172" s="72" t="str">
        <x:f>IF(A172="","",SUM(D172:I172))</x:f>
      </x:c>
      <x:c r="K172" s="72" t="str">
        <x:f>IF(A172="","",C172-J172)</x:f>
      </x:c>
      <x:c r="L172" s="72" t="str">
        <x:f>IF(A172="","",D172+E172)</x:f>
      </x:c>
      <x:c r="M172" s="72" t="str">
        <x:f>IF(A172="","",F172+G172+H172+I172)</x:f>
      </x:c>
      <x:c r="N172" s="64" t="str">
        <x:f>IF(A172="","",IF(AND(B172=C172,K172=0),IF(M172=0,"最终库存已闭环","流向对平，仍有待办"),"检查"))</x:f>
      </x:c>
    </x:row>
    <x:row r="173">
      <x:c r="A173" s="73"/>
      <x:c r="B173" s="72" t="str">
        <x:f>IF(A173="","",COUNTIFS('Steam卖出对账'!$C$5:$C$1204,A173,'Steam卖出对账'!$H$5:$H$1204,"&gt;0"))</x:f>
      </x:c>
      <x:c r="C173" s="72" t="str">
        <x:f>IF(A173="","",COUNTIFS('Steam卖出对账'!$C$5:$C$1204,A173,'Steam卖出对账'!$I$5:$I$1204,"&gt;0"))</x:f>
      </x:c>
      <x:c r="D173" s="72" t="str">
        <x:f>IF($A173="","",SUMIFS('补仓对账'!$Q$5:$Q$1204,'补仓对账'!$B$5:$B$1204,$A173,'补仓对账'!$F$5:$F$1204,"C173成功"))</x:f>
      </x:c>
      <x:c r="E173" s="72" t="str">
        <x:f>IF($A173="","",SUMIFS('补仓对账'!$Q$5:$Q$1204,'补仓对账'!$B$5:$B$1204,$A173,'补仓对账'!$F$5:$F$1204,"手动完结"))</x:f>
      </x:c>
      <x:c r="F173" s="72" t="str">
        <x:f>IF($A173="","",SUMIFS('补仓对账'!$Q$5:$Q$1204,'补仓对账'!$B$5:$B$1204,$A173,'补仓对账'!$F$5:$F$1204,"C173发货确认中"))</x:f>
      </x:c>
      <x:c r="G173" s="72" t="str">
        <x:f>IF($A173="","",SUMIFS('补仓对账'!$Q$5:$Q$1204,'补仓对账'!$B$5:$B$1204,$A173,'补仓对账'!$F$5:$F$1204,"卖出待补仓"))</x:f>
      </x:c>
      <x:c r="H173" s="72" t="str">
        <x:f>IF($A173="","",SUMIFS('补仓对账'!$Q$5:$Q$1204,'补仓对账'!$B$5:$B$1204,$A173,'补仓对账'!$F$5:$F$1204,"提交结果待确认"))</x:f>
      </x:c>
      <x:c r="I173" s="72" t="str">
        <x:f>IF($A173="","",SUMIFS('补仓对账'!$Q$5:$Q$1204,'补仓对账'!$B$5:$B$1204,$A173,'补仓对账'!$F$5:$F$1204,"异常待处理"))</x:f>
      </x:c>
      <x:c r="J173" s="72" t="str">
        <x:f>IF(A173="","",SUM(D173:I173))</x:f>
      </x:c>
      <x:c r="K173" s="72" t="str">
        <x:f>IF(A173="","",C173-J173)</x:f>
      </x:c>
      <x:c r="L173" s="72" t="str">
        <x:f>IF(A173="","",D173+E173)</x:f>
      </x:c>
      <x:c r="M173" s="72" t="str">
        <x:f>IF(A173="","",F173+G173+H173+I173)</x:f>
      </x:c>
      <x:c r="N173" s="64" t="str">
        <x:f>IF(A173="","",IF(AND(B173=C173,K173=0),IF(M173=0,"最终库存已闭环","流向对平，仍有待办"),"检查"))</x:f>
      </x:c>
    </x:row>
    <x:row r="174">
      <x:c r="A174" s="73"/>
      <x:c r="B174" s="72" t="str">
        <x:f>IF(A174="","",COUNTIFS('Steam卖出对账'!$C$5:$C$1204,A174,'Steam卖出对账'!$H$5:$H$1204,"&gt;0"))</x:f>
      </x:c>
      <x:c r="C174" s="72" t="str">
        <x:f>IF(A174="","",COUNTIFS('Steam卖出对账'!$C$5:$C$1204,A174,'Steam卖出对账'!$I$5:$I$1204,"&gt;0"))</x:f>
      </x:c>
      <x:c r="D174" s="72" t="str">
        <x:f>IF($A174="","",SUMIFS('补仓对账'!$Q$5:$Q$1204,'补仓对账'!$B$5:$B$1204,$A174,'补仓对账'!$F$5:$F$1204,"C174成功"))</x:f>
      </x:c>
      <x:c r="E174" s="72" t="str">
        <x:f>IF($A174="","",SUMIFS('补仓对账'!$Q$5:$Q$1204,'补仓对账'!$B$5:$B$1204,$A174,'补仓对账'!$F$5:$F$1204,"手动完结"))</x:f>
      </x:c>
      <x:c r="F174" s="72" t="str">
        <x:f>IF($A174="","",SUMIFS('补仓对账'!$Q$5:$Q$1204,'补仓对账'!$B$5:$B$1204,$A174,'补仓对账'!$F$5:$F$1204,"C174发货确认中"))</x:f>
      </x:c>
      <x:c r="G174" s="72" t="str">
        <x:f>IF($A174="","",SUMIFS('补仓对账'!$Q$5:$Q$1204,'补仓对账'!$B$5:$B$1204,$A174,'补仓对账'!$F$5:$F$1204,"卖出待补仓"))</x:f>
      </x:c>
      <x:c r="H174" s="72" t="str">
        <x:f>IF($A174="","",SUMIFS('补仓对账'!$Q$5:$Q$1204,'补仓对账'!$B$5:$B$1204,$A174,'补仓对账'!$F$5:$F$1204,"提交结果待确认"))</x:f>
      </x:c>
      <x:c r="I174" s="72" t="str">
        <x:f>IF($A174="","",SUMIFS('补仓对账'!$Q$5:$Q$1204,'补仓对账'!$B$5:$B$1204,$A174,'补仓对账'!$F$5:$F$1204,"异常待处理"))</x:f>
      </x:c>
      <x:c r="J174" s="72" t="str">
        <x:f>IF(A174="","",SUM(D174:I174))</x:f>
      </x:c>
      <x:c r="K174" s="72" t="str">
        <x:f>IF(A174="","",C174-J174)</x:f>
      </x:c>
      <x:c r="L174" s="72" t="str">
        <x:f>IF(A174="","",D174+E174)</x:f>
      </x:c>
      <x:c r="M174" s="72" t="str">
        <x:f>IF(A174="","",F174+G174+H174+I174)</x:f>
      </x:c>
      <x:c r="N174" s="64" t="str">
        <x:f>IF(A174="","",IF(AND(B174=C174,K174=0),IF(M174=0,"最终库存已闭环","流向对平，仍有待办"),"检查"))</x:f>
      </x:c>
    </x:row>
    <x:row r="175">
      <x:c r="A175" s="73"/>
      <x:c r="B175" s="72" t="str">
        <x:f>IF(A175="","",COUNTIFS('Steam卖出对账'!$C$5:$C$1204,A175,'Steam卖出对账'!$H$5:$H$1204,"&gt;0"))</x:f>
      </x:c>
      <x:c r="C175" s="72" t="str">
        <x:f>IF(A175="","",COUNTIFS('Steam卖出对账'!$C$5:$C$1204,A175,'Steam卖出对账'!$I$5:$I$1204,"&gt;0"))</x:f>
      </x:c>
      <x:c r="D175" s="72" t="str">
        <x:f>IF($A175="","",SUMIFS('补仓对账'!$Q$5:$Q$1204,'补仓对账'!$B$5:$B$1204,$A175,'补仓对账'!$F$5:$F$1204,"C175成功"))</x:f>
      </x:c>
      <x:c r="E175" s="72" t="str">
        <x:f>IF($A175="","",SUMIFS('补仓对账'!$Q$5:$Q$1204,'补仓对账'!$B$5:$B$1204,$A175,'补仓对账'!$F$5:$F$1204,"手动完结"))</x:f>
      </x:c>
      <x:c r="F175" s="72" t="str">
        <x:f>IF($A175="","",SUMIFS('补仓对账'!$Q$5:$Q$1204,'补仓对账'!$B$5:$B$1204,$A175,'补仓对账'!$F$5:$F$1204,"C175发货确认中"))</x:f>
      </x:c>
      <x:c r="G175" s="72" t="str">
        <x:f>IF($A175="","",SUMIFS('补仓对账'!$Q$5:$Q$1204,'补仓对账'!$B$5:$B$1204,$A175,'补仓对账'!$F$5:$F$1204,"卖出待补仓"))</x:f>
      </x:c>
      <x:c r="H175" s="72" t="str">
        <x:f>IF($A175="","",SUMIFS('补仓对账'!$Q$5:$Q$1204,'补仓对账'!$B$5:$B$1204,$A175,'补仓对账'!$F$5:$F$1204,"提交结果待确认"))</x:f>
      </x:c>
      <x:c r="I175" s="72" t="str">
        <x:f>IF($A175="","",SUMIFS('补仓对账'!$Q$5:$Q$1204,'补仓对账'!$B$5:$B$1204,$A175,'补仓对账'!$F$5:$F$1204,"异常待处理"))</x:f>
      </x:c>
      <x:c r="J175" s="72" t="str">
        <x:f>IF(A175="","",SUM(D175:I175))</x:f>
      </x:c>
      <x:c r="K175" s="72" t="str">
        <x:f>IF(A175="","",C175-J175)</x:f>
      </x:c>
      <x:c r="L175" s="72" t="str">
        <x:f>IF(A175="","",D175+E175)</x:f>
      </x:c>
      <x:c r="M175" s="72" t="str">
        <x:f>IF(A175="","",F175+G175+H175+I175)</x:f>
      </x:c>
      <x:c r="N175" s="64" t="str">
        <x:f>IF(A175="","",IF(AND(B175=C175,K175=0),IF(M175=0,"最终库存已闭环","流向对平，仍有待办"),"检查"))</x:f>
      </x:c>
    </x:row>
    <x:row r="176">
      <x:c r="A176" s="73"/>
      <x:c r="B176" s="72" t="str">
        <x:f>IF(A176="","",COUNTIFS('Steam卖出对账'!$C$5:$C$1204,A176,'Steam卖出对账'!$H$5:$H$1204,"&gt;0"))</x:f>
      </x:c>
      <x:c r="C176" s="72" t="str">
        <x:f>IF(A176="","",COUNTIFS('Steam卖出对账'!$C$5:$C$1204,A176,'Steam卖出对账'!$I$5:$I$1204,"&gt;0"))</x:f>
      </x:c>
      <x:c r="D176" s="72" t="str">
        <x:f>IF($A176="","",SUMIFS('补仓对账'!$Q$5:$Q$1204,'补仓对账'!$B$5:$B$1204,$A176,'补仓对账'!$F$5:$F$1204,"C176成功"))</x:f>
      </x:c>
      <x:c r="E176" s="72" t="str">
        <x:f>IF($A176="","",SUMIFS('补仓对账'!$Q$5:$Q$1204,'补仓对账'!$B$5:$B$1204,$A176,'补仓对账'!$F$5:$F$1204,"手动完结"))</x:f>
      </x:c>
      <x:c r="F176" s="72" t="str">
        <x:f>IF($A176="","",SUMIFS('补仓对账'!$Q$5:$Q$1204,'补仓对账'!$B$5:$B$1204,$A176,'补仓对账'!$F$5:$F$1204,"C176发货确认中"))</x:f>
      </x:c>
      <x:c r="G176" s="72" t="str">
        <x:f>IF($A176="","",SUMIFS('补仓对账'!$Q$5:$Q$1204,'补仓对账'!$B$5:$B$1204,$A176,'补仓对账'!$F$5:$F$1204,"卖出待补仓"))</x:f>
      </x:c>
      <x:c r="H176" s="72" t="str">
        <x:f>IF($A176="","",SUMIFS('补仓对账'!$Q$5:$Q$1204,'补仓对账'!$B$5:$B$1204,$A176,'补仓对账'!$F$5:$F$1204,"提交结果待确认"))</x:f>
      </x:c>
      <x:c r="I176" s="72" t="str">
        <x:f>IF($A176="","",SUMIFS('补仓对账'!$Q$5:$Q$1204,'补仓对账'!$B$5:$B$1204,$A176,'补仓对账'!$F$5:$F$1204,"异常待处理"))</x:f>
      </x:c>
      <x:c r="J176" s="72" t="str">
        <x:f>IF(A176="","",SUM(D176:I176))</x:f>
      </x:c>
      <x:c r="K176" s="72" t="str">
        <x:f>IF(A176="","",C176-J176)</x:f>
      </x:c>
      <x:c r="L176" s="72" t="str">
        <x:f>IF(A176="","",D176+E176)</x:f>
      </x:c>
      <x:c r="M176" s="72" t="str">
        <x:f>IF(A176="","",F176+G176+H176+I176)</x:f>
      </x:c>
      <x:c r="N176" s="64" t="str">
        <x:f>IF(A176="","",IF(AND(B176=C176,K176=0),IF(M176=0,"最终库存已闭环","流向对平，仍有待办"),"检查"))</x:f>
      </x:c>
    </x:row>
    <x:row r="177">
      <x:c r="A177" s="73"/>
      <x:c r="B177" s="72" t="str">
        <x:f>IF(A177="","",COUNTIFS('Steam卖出对账'!$C$5:$C$1204,A177,'Steam卖出对账'!$H$5:$H$1204,"&gt;0"))</x:f>
      </x:c>
      <x:c r="C177" s="72" t="str">
        <x:f>IF(A177="","",COUNTIFS('Steam卖出对账'!$C$5:$C$1204,A177,'Steam卖出对账'!$I$5:$I$1204,"&gt;0"))</x:f>
      </x:c>
      <x:c r="D177" s="72" t="str">
        <x:f>IF($A177="","",SUMIFS('补仓对账'!$Q$5:$Q$1204,'补仓对账'!$B$5:$B$1204,$A177,'补仓对账'!$F$5:$F$1204,"C177成功"))</x:f>
      </x:c>
      <x:c r="E177" s="72" t="str">
        <x:f>IF($A177="","",SUMIFS('补仓对账'!$Q$5:$Q$1204,'补仓对账'!$B$5:$B$1204,$A177,'补仓对账'!$F$5:$F$1204,"手动完结"))</x:f>
      </x:c>
      <x:c r="F177" s="72" t="str">
        <x:f>IF($A177="","",SUMIFS('补仓对账'!$Q$5:$Q$1204,'补仓对账'!$B$5:$B$1204,$A177,'补仓对账'!$F$5:$F$1204,"C177发货确认中"))</x:f>
      </x:c>
      <x:c r="G177" s="72" t="str">
        <x:f>IF($A177="","",SUMIFS('补仓对账'!$Q$5:$Q$1204,'补仓对账'!$B$5:$B$1204,$A177,'补仓对账'!$F$5:$F$1204,"卖出待补仓"))</x:f>
      </x:c>
      <x:c r="H177" s="72" t="str">
        <x:f>IF($A177="","",SUMIFS('补仓对账'!$Q$5:$Q$1204,'补仓对账'!$B$5:$B$1204,$A177,'补仓对账'!$F$5:$F$1204,"提交结果待确认"))</x:f>
      </x:c>
      <x:c r="I177" s="72" t="str">
        <x:f>IF($A177="","",SUMIFS('补仓对账'!$Q$5:$Q$1204,'补仓对账'!$B$5:$B$1204,$A177,'补仓对账'!$F$5:$F$1204,"异常待处理"))</x:f>
      </x:c>
      <x:c r="J177" s="72" t="str">
        <x:f>IF(A177="","",SUM(D177:I177))</x:f>
      </x:c>
      <x:c r="K177" s="72" t="str">
        <x:f>IF(A177="","",C177-J177)</x:f>
      </x:c>
      <x:c r="L177" s="72" t="str">
        <x:f>IF(A177="","",D177+E177)</x:f>
      </x:c>
      <x:c r="M177" s="72" t="str">
        <x:f>IF(A177="","",F177+G177+H177+I177)</x:f>
      </x:c>
      <x:c r="N177" s="64" t="str">
        <x:f>IF(A177="","",IF(AND(B177=C177,K177=0),IF(M177=0,"最终库存已闭环","流向对平，仍有待办"),"检查"))</x:f>
      </x:c>
    </x:row>
    <x:row r="178">
      <x:c r="A178" s="73"/>
      <x:c r="B178" s="72" t="str">
        <x:f>IF(A178="","",COUNTIFS('Steam卖出对账'!$C$5:$C$1204,A178,'Steam卖出对账'!$H$5:$H$1204,"&gt;0"))</x:f>
      </x:c>
      <x:c r="C178" s="72" t="str">
        <x:f>IF(A178="","",COUNTIFS('Steam卖出对账'!$C$5:$C$1204,A178,'Steam卖出对账'!$I$5:$I$1204,"&gt;0"))</x:f>
      </x:c>
      <x:c r="D178" s="72" t="str">
        <x:f>IF($A178="","",SUMIFS('补仓对账'!$Q$5:$Q$1204,'补仓对账'!$B$5:$B$1204,$A178,'补仓对账'!$F$5:$F$1204,"C178成功"))</x:f>
      </x:c>
      <x:c r="E178" s="72" t="str">
        <x:f>IF($A178="","",SUMIFS('补仓对账'!$Q$5:$Q$1204,'补仓对账'!$B$5:$B$1204,$A178,'补仓对账'!$F$5:$F$1204,"手动完结"))</x:f>
      </x:c>
      <x:c r="F178" s="72" t="str">
        <x:f>IF($A178="","",SUMIFS('补仓对账'!$Q$5:$Q$1204,'补仓对账'!$B$5:$B$1204,$A178,'补仓对账'!$F$5:$F$1204,"C178发货确认中"))</x:f>
      </x:c>
      <x:c r="G178" s="72" t="str">
        <x:f>IF($A178="","",SUMIFS('补仓对账'!$Q$5:$Q$1204,'补仓对账'!$B$5:$B$1204,$A178,'补仓对账'!$F$5:$F$1204,"卖出待补仓"))</x:f>
      </x:c>
      <x:c r="H178" s="72" t="str">
        <x:f>IF($A178="","",SUMIFS('补仓对账'!$Q$5:$Q$1204,'补仓对账'!$B$5:$B$1204,$A178,'补仓对账'!$F$5:$F$1204,"提交结果待确认"))</x:f>
      </x:c>
      <x:c r="I178" s="72" t="str">
        <x:f>IF($A178="","",SUMIFS('补仓对账'!$Q$5:$Q$1204,'补仓对账'!$B$5:$B$1204,$A178,'补仓对账'!$F$5:$F$1204,"异常待处理"))</x:f>
      </x:c>
      <x:c r="J178" s="72" t="str">
        <x:f>IF(A178="","",SUM(D178:I178))</x:f>
      </x:c>
      <x:c r="K178" s="72" t="str">
        <x:f>IF(A178="","",C178-J178)</x:f>
      </x:c>
      <x:c r="L178" s="72" t="str">
        <x:f>IF(A178="","",D178+E178)</x:f>
      </x:c>
      <x:c r="M178" s="72" t="str">
        <x:f>IF(A178="","",F178+G178+H178+I178)</x:f>
      </x:c>
      <x:c r="N178" s="64" t="str">
        <x:f>IF(A178="","",IF(AND(B178=C178,K178=0),IF(M178=0,"最终库存已闭环","流向对平，仍有待办"),"检查"))</x:f>
      </x:c>
    </x:row>
    <x:row r="179">
      <x:c r="A179" s="73"/>
      <x:c r="B179" s="72" t="str">
        <x:f>IF(A179="","",COUNTIFS('Steam卖出对账'!$C$5:$C$1204,A179,'Steam卖出对账'!$H$5:$H$1204,"&gt;0"))</x:f>
      </x:c>
      <x:c r="C179" s="72" t="str">
        <x:f>IF(A179="","",COUNTIFS('Steam卖出对账'!$C$5:$C$1204,A179,'Steam卖出对账'!$I$5:$I$1204,"&gt;0"))</x:f>
      </x:c>
      <x:c r="D179" s="72" t="str">
        <x:f>IF($A179="","",SUMIFS('补仓对账'!$Q$5:$Q$1204,'补仓对账'!$B$5:$B$1204,$A179,'补仓对账'!$F$5:$F$1204,"C179成功"))</x:f>
      </x:c>
      <x:c r="E179" s="72" t="str">
        <x:f>IF($A179="","",SUMIFS('补仓对账'!$Q$5:$Q$1204,'补仓对账'!$B$5:$B$1204,$A179,'补仓对账'!$F$5:$F$1204,"手动完结"))</x:f>
      </x:c>
      <x:c r="F179" s="72" t="str">
        <x:f>IF($A179="","",SUMIFS('补仓对账'!$Q$5:$Q$1204,'补仓对账'!$B$5:$B$1204,$A179,'补仓对账'!$F$5:$F$1204,"C179发货确认中"))</x:f>
      </x:c>
      <x:c r="G179" s="72" t="str">
        <x:f>IF($A179="","",SUMIFS('补仓对账'!$Q$5:$Q$1204,'补仓对账'!$B$5:$B$1204,$A179,'补仓对账'!$F$5:$F$1204,"卖出待补仓"))</x:f>
      </x:c>
      <x:c r="H179" s="72" t="str">
        <x:f>IF($A179="","",SUMIFS('补仓对账'!$Q$5:$Q$1204,'补仓对账'!$B$5:$B$1204,$A179,'补仓对账'!$F$5:$F$1204,"提交结果待确认"))</x:f>
      </x:c>
      <x:c r="I179" s="72" t="str">
        <x:f>IF($A179="","",SUMIFS('补仓对账'!$Q$5:$Q$1204,'补仓对账'!$B$5:$B$1204,$A179,'补仓对账'!$F$5:$F$1204,"异常待处理"))</x:f>
      </x:c>
      <x:c r="J179" s="72" t="str">
        <x:f>IF(A179="","",SUM(D179:I179))</x:f>
      </x:c>
      <x:c r="K179" s="72" t="str">
        <x:f>IF(A179="","",C179-J179)</x:f>
      </x:c>
      <x:c r="L179" s="72" t="str">
        <x:f>IF(A179="","",D179+E179)</x:f>
      </x:c>
      <x:c r="M179" s="72" t="str">
        <x:f>IF(A179="","",F179+G179+H179+I179)</x:f>
      </x:c>
      <x:c r="N179" s="64" t="str">
        <x:f>IF(A179="","",IF(AND(B179=C179,K179=0),IF(M179=0,"最终库存已闭环","流向对平，仍有待办"),"检查"))</x:f>
      </x:c>
    </x:row>
    <x:row r="180">
      <x:c r="A180" s="73"/>
      <x:c r="B180" s="72" t="str">
        <x:f>IF(A180="","",COUNTIFS('Steam卖出对账'!$C$5:$C$1204,A180,'Steam卖出对账'!$H$5:$H$1204,"&gt;0"))</x:f>
      </x:c>
      <x:c r="C180" s="72" t="str">
        <x:f>IF(A180="","",COUNTIFS('Steam卖出对账'!$C$5:$C$1204,A180,'Steam卖出对账'!$I$5:$I$1204,"&gt;0"))</x:f>
      </x:c>
      <x:c r="D180" s="72" t="str">
        <x:f>IF($A180="","",SUMIFS('补仓对账'!$Q$5:$Q$1204,'补仓对账'!$B$5:$B$1204,$A180,'补仓对账'!$F$5:$F$1204,"C180成功"))</x:f>
      </x:c>
      <x:c r="E180" s="72" t="str">
        <x:f>IF($A180="","",SUMIFS('补仓对账'!$Q$5:$Q$1204,'补仓对账'!$B$5:$B$1204,$A180,'补仓对账'!$F$5:$F$1204,"手动完结"))</x:f>
      </x:c>
      <x:c r="F180" s="72" t="str">
        <x:f>IF($A180="","",SUMIFS('补仓对账'!$Q$5:$Q$1204,'补仓对账'!$B$5:$B$1204,$A180,'补仓对账'!$F$5:$F$1204,"C180发货确认中"))</x:f>
      </x:c>
      <x:c r="G180" s="72" t="str">
        <x:f>IF($A180="","",SUMIFS('补仓对账'!$Q$5:$Q$1204,'补仓对账'!$B$5:$B$1204,$A180,'补仓对账'!$F$5:$F$1204,"卖出待补仓"))</x:f>
      </x:c>
      <x:c r="H180" s="72" t="str">
        <x:f>IF($A180="","",SUMIFS('补仓对账'!$Q$5:$Q$1204,'补仓对账'!$B$5:$B$1204,$A180,'补仓对账'!$F$5:$F$1204,"提交结果待确认"))</x:f>
      </x:c>
      <x:c r="I180" s="72" t="str">
        <x:f>IF($A180="","",SUMIFS('补仓对账'!$Q$5:$Q$1204,'补仓对账'!$B$5:$B$1204,$A180,'补仓对账'!$F$5:$F$1204,"异常待处理"))</x:f>
      </x:c>
      <x:c r="J180" s="72" t="str">
        <x:f>IF(A180="","",SUM(D180:I180))</x:f>
      </x:c>
      <x:c r="K180" s="72" t="str">
        <x:f>IF(A180="","",C180-J180)</x:f>
      </x:c>
      <x:c r="L180" s="72" t="str">
        <x:f>IF(A180="","",D180+E180)</x:f>
      </x:c>
      <x:c r="M180" s="72" t="str">
        <x:f>IF(A180="","",F180+G180+H180+I180)</x:f>
      </x:c>
      <x:c r="N180" s="64" t="str">
        <x:f>IF(A180="","",IF(AND(B180=C180,K180=0),IF(M180=0,"最终库存已闭环","流向对平，仍有待办"),"检查"))</x:f>
      </x:c>
    </x:row>
    <x:row r="181">
      <x:c r="A181" s="73"/>
      <x:c r="B181" s="72" t="str">
        <x:f>IF(A181="","",COUNTIFS('Steam卖出对账'!$C$5:$C$1204,A181,'Steam卖出对账'!$H$5:$H$1204,"&gt;0"))</x:f>
      </x:c>
      <x:c r="C181" s="72" t="str">
        <x:f>IF(A181="","",COUNTIFS('Steam卖出对账'!$C$5:$C$1204,A181,'Steam卖出对账'!$I$5:$I$1204,"&gt;0"))</x:f>
      </x:c>
      <x:c r="D181" s="72" t="str">
        <x:f>IF($A181="","",SUMIFS('补仓对账'!$Q$5:$Q$1204,'补仓对账'!$B$5:$B$1204,$A181,'补仓对账'!$F$5:$F$1204,"C181成功"))</x:f>
      </x:c>
      <x:c r="E181" s="72" t="str">
        <x:f>IF($A181="","",SUMIFS('补仓对账'!$Q$5:$Q$1204,'补仓对账'!$B$5:$B$1204,$A181,'补仓对账'!$F$5:$F$1204,"手动完结"))</x:f>
      </x:c>
      <x:c r="F181" s="72" t="str">
        <x:f>IF($A181="","",SUMIFS('补仓对账'!$Q$5:$Q$1204,'补仓对账'!$B$5:$B$1204,$A181,'补仓对账'!$F$5:$F$1204,"C181发货确认中"))</x:f>
      </x:c>
      <x:c r="G181" s="72" t="str">
        <x:f>IF($A181="","",SUMIFS('补仓对账'!$Q$5:$Q$1204,'补仓对账'!$B$5:$B$1204,$A181,'补仓对账'!$F$5:$F$1204,"卖出待补仓"))</x:f>
      </x:c>
      <x:c r="H181" s="72" t="str">
        <x:f>IF($A181="","",SUMIFS('补仓对账'!$Q$5:$Q$1204,'补仓对账'!$B$5:$B$1204,$A181,'补仓对账'!$F$5:$F$1204,"提交结果待确认"))</x:f>
      </x:c>
      <x:c r="I181" s="72" t="str">
        <x:f>IF($A181="","",SUMIFS('补仓对账'!$Q$5:$Q$1204,'补仓对账'!$B$5:$B$1204,$A181,'补仓对账'!$F$5:$F$1204,"异常待处理"))</x:f>
      </x:c>
      <x:c r="J181" s="72" t="str">
        <x:f>IF(A181="","",SUM(D181:I181))</x:f>
      </x:c>
      <x:c r="K181" s="72" t="str">
        <x:f>IF(A181="","",C181-J181)</x:f>
      </x:c>
      <x:c r="L181" s="72" t="str">
        <x:f>IF(A181="","",D181+E181)</x:f>
      </x:c>
      <x:c r="M181" s="72" t="str">
        <x:f>IF(A181="","",F181+G181+H181+I181)</x:f>
      </x:c>
      <x:c r="N181" s="64" t="str">
        <x:f>IF(A181="","",IF(AND(B181=C181,K181=0),IF(M181=0,"最终库存已闭环","流向对平，仍有待办"),"检查"))</x:f>
      </x:c>
    </x:row>
    <x:row r="182">
      <x:c r="A182" s="73"/>
      <x:c r="B182" s="72" t="str">
        <x:f>IF(A182="","",COUNTIFS('Steam卖出对账'!$C$5:$C$1204,A182,'Steam卖出对账'!$H$5:$H$1204,"&gt;0"))</x:f>
      </x:c>
      <x:c r="C182" s="72" t="str">
        <x:f>IF(A182="","",COUNTIFS('Steam卖出对账'!$C$5:$C$1204,A182,'Steam卖出对账'!$I$5:$I$1204,"&gt;0"))</x:f>
      </x:c>
      <x:c r="D182" s="72" t="str">
        <x:f>IF($A182="","",SUMIFS('补仓对账'!$Q$5:$Q$1204,'补仓对账'!$B$5:$B$1204,$A182,'补仓对账'!$F$5:$F$1204,"C182成功"))</x:f>
      </x:c>
      <x:c r="E182" s="72" t="str">
        <x:f>IF($A182="","",SUMIFS('补仓对账'!$Q$5:$Q$1204,'补仓对账'!$B$5:$B$1204,$A182,'补仓对账'!$F$5:$F$1204,"手动完结"))</x:f>
      </x:c>
      <x:c r="F182" s="72" t="str">
        <x:f>IF($A182="","",SUMIFS('补仓对账'!$Q$5:$Q$1204,'补仓对账'!$B$5:$B$1204,$A182,'补仓对账'!$F$5:$F$1204,"C182发货确认中"))</x:f>
      </x:c>
      <x:c r="G182" s="72" t="str">
        <x:f>IF($A182="","",SUMIFS('补仓对账'!$Q$5:$Q$1204,'补仓对账'!$B$5:$B$1204,$A182,'补仓对账'!$F$5:$F$1204,"卖出待补仓"))</x:f>
      </x:c>
      <x:c r="H182" s="72" t="str">
        <x:f>IF($A182="","",SUMIFS('补仓对账'!$Q$5:$Q$1204,'补仓对账'!$B$5:$B$1204,$A182,'补仓对账'!$F$5:$F$1204,"提交结果待确认"))</x:f>
      </x:c>
      <x:c r="I182" s="72" t="str">
        <x:f>IF($A182="","",SUMIFS('补仓对账'!$Q$5:$Q$1204,'补仓对账'!$B$5:$B$1204,$A182,'补仓对账'!$F$5:$F$1204,"异常待处理"))</x:f>
      </x:c>
      <x:c r="J182" s="72" t="str">
        <x:f>IF(A182="","",SUM(D182:I182))</x:f>
      </x:c>
      <x:c r="K182" s="72" t="str">
        <x:f>IF(A182="","",C182-J182)</x:f>
      </x:c>
      <x:c r="L182" s="72" t="str">
        <x:f>IF(A182="","",D182+E182)</x:f>
      </x:c>
      <x:c r="M182" s="72" t="str">
        <x:f>IF(A182="","",F182+G182+H182+I182)</x:f>
      </x:c>
      <x:c r="N182" s="64" t="str">
        <x:f>IF(A182="","",IF(AND(B182=C182,K182=0),IF(M182=0,"最终库存已闭环","流向对平，仍有待办"),"检查"))</x:f>
      </x:c>
    </x:row>
    <x:row r="183">
      <x:c r="A183" s="73"/>
      <x:c r="B183" s="72" t="str">
        <x:f>IF(A183="","",COUNTIFS('Steam卖出对账'!$C$5:$C$1204,A183,'Steam卖出对账'!$H$5:$H$1204,"&gt;0"))</x:f>
      </x:c>
      <x:c r="C183" s="72" t="str">
        <x:f>IF(A183="","",COUNTIFS('Steam卖出对账'!$C$5:$C$1204,A183,'Steam卖出对账'!$I$5:$I$1204,"&gt;0"))</x:f>
      </x:c>
      <x:c r="D183" s="72" t="str">
        <x:f>IF($A183="","",SUMIFS('补仓对账'!$Q$5:$Q$1204,'补仓对账'!$B$5:$B$1204,$A183,'补仓对账'!$F$5:$F$1204,"C183成功"))</x:f>
      </x:c>
      <x:c r="E183" s="72" t="str">
        <x:f>IF($A183="","",SUMIFS('补仓对账'!$Q$5:$Q$1204,'补仓对账'!$B$5:$B$1204,$A183,'补仓对账'!$F$5:$F$1204,"手动完结"))</x:f>
      </x:c>
      <x:c r="F183" s="72" t="str">
        <x:f>IF($A183="","",SUMIFS('补仓对账'!$Q$5:$Q$1204,'补仓对账'!$B$5:$B$1204,$A183,'补仓对账'!$F$5:$F$1204,"C183发货确认中"))</x:f>
      </x:c>
      <x:c r="G183" s="72" t="str">
        <x:f>IF($A183="","",SUMIFS('补仓对账'!$Q$5:$Q$1204,'补仓对账'!$B$5:$B$1204,$A183,'补仓对账'!$F$5:$F$1204,"卖出待补仓"))</x:f>
      </x:c>
      <x:c r="H183" s="72" t="str">
        <x:f>IF($A183="","",SUMIFS('补仓对账'!$Q$5:$Q$1204,'补仓对账'!$B$5:$B$1204,$A183,'补仓对账'!$F$5:$F$1204,"提交结果待确认"))</x:f>
      </x:c>
      <x:c r="I183" s="72" t="str">
        <x:f>IF($A183="","",SUMIFS('补仓对账'!$Q$5:$Q$1204,'补仓对账'!$B$5:$B$1204,$A183,'补仓对账'!$F$5:$F$1204,"异常待处理"))</x:f>
      </x:c>
      <x:c r="J183" s="72" t="str">
        <x:f>IF(A183="","",SUM(D183:I183))</x:f>
      </x:c>
      <x:c r="K183" s="72" t="str">
        <x:f>IF(A183="","",C183-J183)</x:f>
      </x:c>
      <x:c r="L183" s="72" t="str">
        <x:f>IF(A183="","",D183+E183)</x:f>
      </x:c>
      <x:c r="M183" s="72" t="str">
        <x:f>IF(A183="","",F183+G183+H183+I183)</x:f>
      </x:c>
      <x:c r="N183" s="64" t="str">
        <x:f>IF(A183="","",IF(AND(B183=C183,K183=0),IF(M183=0,"最终库存已闭环","流向对平，仍有待办"),"检查"))</x:f>
      </x:c>
    </x:row>
    <x:row r="184">
      <x:c r="A184" s="73"/>
      <x:c r="B184" s="72" t="str">
        <x:f>IF(A184="","",COUNTIFS('Steam卖出对账'!$C$5:$C$1204,A184,'Steam卖出对账'!$H$5:$H$1204,"&gt;0"))</x:f>
      </x:c>
      <x:c r="C184" s="72" t="str">
        <x:f>IF(A184="","",COUNTIFS('Steam卖出对账'!$C$5:$C$1204,A184,'Steam卖出对账'!$I$5:$I$1204,"&gt;0"))</x:f>
      </x:c>
      <x:c r="D184" s="72" t="str">
        <x:f>IF($A184="","",SUMIFS('补仓对账'!$Q$5:$Q$1204,'补仓对账'!$B$5:$B$1204,$A184,'补仓对账'!$F$5:$F$1204,"C184成功"))</x:f>
      </x:c>
      <x:c r="E184" s="72" t="str">
        <x:f>IF($A184="","",SUMIFS('补仓对账'!$Q$5:$Q$1204,'补仓对账'!$B$5:$B$1204,$A184,'补仓对账'!$F$5:$F$1204,"手动完结"))</x:f>
      </x:c>
      <x:c r="F184" s="72" t="str">
        <x:f>IF($A184="","",SUMIFS('补仓对账'!$Q$5:$Q$1204,'补仓对账'!$B$5:$B$1204,$A184,'补仓对账'!$F$5:$F$1204,"C184发货确认中"))</x:f>
      </x:c>
      <x:c r="G184" s="72" t="str">
        <x:f>IF($A184="","",SUMIFS('补仓对账'!$Q$5:$Q$1204,'补仓对账'!$B$5:$B$1204,$A184,'补仓对账'!$F$5:$F$1204,"卖出待补仓"))</x:f>
      </x:c>
      <x:c r="H184" s="72" t="str">
        <x:f>IF($A184="","",SUMIFS('补仓对账'!$Q$5:$Q$1204,'补仓对账'!$B$5:$B$1204,$A184,'补仓对账'!$F$5:$F$1204,"提交结果待确认"))</x:f>
      </x:c>
      <x:c r="I184" s="72" t="str">
        <x:f>IF($A184="","",SUMIFS('补仓对账'!$Q$5:$Q$1204,'补仓对账'!$B$5:$B$1204,$A184,'补仓对账'!$F$5:$F$1204,"异常待处理"))</x:f>
      </x:c>
      <x:c r="J184" s="72" t="str">
        <x:f>IF(A184="","",SUM(D184:I184))</x:f>
      </x:c>
      <x:c r="K184" s="72" t="str">
        <x:f>IF(A184="","",C184-J184)</x:f>
      </x:c>
      <x:c r="L184" s="72" t="str">
        <x:f>IF(A184="","",D184+E184)</x:f>
      </x:c>
      <x:c r="M184" s="72" t="str">
        <x:f>IF(A184="","",F184+G184+H184+I184)</x:f>
      </x:c>
      <x:c r="N184" s="64" t="str">
        <x:f>IF(A184="","",IF(AND(B184=C184,K184=0),IF(M184=0,"最终库存已闭环","流向对平，仍有待办"),"检查"))</x:f>
      </x:c>
    </x:row>
    <x:row r="185">
      <x:c r="A185" s="73"/>
      <x:c r="B185" s="72" t="str">
        <x:f>IF(A185="","",COUNTIFS('Steam卖出对账'!$C$5:$C$1204,A185,'Steam卖出对账'!$H$5:$H$1204,"&gt;0"))</x:f>
      </x:c>
      <x:c r="C185" s="72" t="str">
        <x:f>IF(A185="","",COUNTIFS('Steam卖出对账'!$C$5:$C$1204,A185,'Steam卖出对账'!$I$5:$I$1204,"&gt;0"))</x:f>
      </x:c>
      <x:c r="D185" s="72" t="str">
        <x:f>IF($A185="","",SUMIFS('补仓对账'!$Q$5:$Q$1204,'补仓对账'!$B$5:$B$1204,$A185,'补仓对账'!$F$5:$F$1204,"C185成功"))</x:f>
      </x:c>
      <x:c r="E185" s="72" t="str">
        <x:f>IF($A185="","",SUMIFS('补仓对账'!$Q$5:$Q$1204,'补仓对账'!$B$5:$B$1204,$A185,'补仓对账'!$F$5:$F$1204,"手动完结"))</x:f>
      </x:c>
      <x:c r="F185" s="72" t="str">
        <x:f>IF($A185="","",SUMIFS('补仓对账'!$Q$5:$Q$1204,'补仓对账'!$B$5:$B$1204,$A185,'补仓对账'!$F$5:$F$1204,"C185发货确认中"))</x:f>
      </x:c>
      <x:c r="G185" s="72" t="str">
        <x:f>IF($A185="","",SUMIFS('补仓对账'!$Q$5:$Q$1204,'补仓对账'!$B$5:$B$1204,$A185,'补仓对账'!$F$5:$F$1204,"卖出待补仓"))</x:f>
      </x:c>
      <x:c r="H185" s="72" t="str">
        <x:f>IF($A185="","",SUMIFS('补仓对账'!$Q$5:$Q$1204,'补仓对账'!$B$5:$B$1204,$A185,'补仓对账'!$F$5:$F$1204,"提交结果待确认"))</x:f>
      </x:c>
      <x:c r="I185" s="72" t="str">
        <x:f>IF($A185="","",SUMIFS('补仓对账'!$Q$5:$Q$1204,'补仓对账'!$B$5:$B$1204,$A185,'补仓对账'!$F$5:$F$1204,"异常待处理"))</x:f>
      </x:c>
      <x:c r="J185" s="72" t="str">
        <x:f>IF(A185="","",SUM(D185:I185))</x:f>
      </x:c>
      <x:c r="K185" s="72" t="str">
        <x:f>IF(A185="","",C185-J185)</x:f>
      </x:c>
      <x:c r="L185" s="72" t="str">
        <x:f>IF(A185="","",D185+E185)</x:f>
      </x:c>
      <x:c r="M185" s="72" t="str">
        <x:f>IF(A185="","",F185+G185+H185+I185)</x:f>
      </x:c>
      <x:c r="N185" s="64" t="str">
        <x:f>IF(A185="","",IF(AND(B185=C185,K185=0),IF(M185=0,"最终库存已闭环","流向对平，仍有待办"),"检查"))</x:f>
      </x:c>
    </x:row>
    <x:row r="186">
      <x:c r="A186" s="73"/>
      <x:c r="B186" s="72" t="str">
        <x:f>IF(A186="","",COUNTIFS('Steam卖出对账'!$C$5:$C$1204,A186,'Steam卖出对账'!$H$5:$H$1204,"&gt;0"))</x:f>
      </x:c>
      <x:c r="C186" s="72" t="str">
        <x:f>IF(A186="","",COUNTIFS('Steam卖出对账'!$C$5:$C$1204,A186,'Steam卖出对账'!$I$5:$I$1204,"&gt;0"))</x:f>
      </x:c>
      <x:c r="D186" s="72" t="str">
        <x:f>IF($A186="","",SUMIFS('补仓对账'!$Q$5:$Q$1204,'补仓对账'!$B$5:$B$1204,$A186,'补仓对账'!$F$5:$F$1204,"C186成功"))</x:f>
      </x:c>
      <x:c r="E186" s="72" t="str">
        <x:f>IF($A186="","",SUMIFS('补仓对账'!$Q$5:$Q$1204,'补仓对账'!$B$5:$B$1204,$A186,'补仓对账'!$F$5:$F$1204,"手动完结"))</x:f>
      </x:c>
      <x:c r="F186" s="72" t="str">
        <x:f>IF($A186="","",SUMIFS('补仓对账'!$Q$5:$Q$1204,'补仓对账'!$B$5:$B$1204,$A186,'补仓对账'!$F$5:$F$1204,"C186发货确认中"))</x:f>
      </x:c>
      <x:c r="G186" s="72" t="str">
        <x:f>IF($A186="","",SUMIFS('补仓对账'!$Q$5:$Q$1204,'补仓对账'!$B$5:$B$1204,$A186,'补仓对账'!$F$5:$F$1204,"卖出待补仓"))</x:f>
      </x:c>
      <x:c r="H186" s="72" t="str">
        <x:f>IF($A186="","",SUMIFS('补仓对账'!$Q$5:$Q$1204,'补仓对账'!$B$5:$B$1204,$A186,'补仓对账'!$F$5:$F$1204,"提交结果待确认"))</x:f>
      </x:c>
      <x:c r="I186" s="72" t="str">
        <x:f>IF($A186="","",SUMIFS('补仓对账'!$Q$5:$Q$1204,'补仓对账'!$B$5:$B$1204,$A186,'补仓对账'!$F$5:$F$1204,"异常待处理"))</x:f>
      </x:c>
      <x:c r="J186" s="72" t="str">
        <x:f>IF(A186="","",SUM(D186:I186))</x:f>
      </x:c>
      <x:c r="K186" s="72" t="str">
        <x:f>IF(A186="","",C186-J186)</x:f>
      </x:c>
      <x:c r="L186" s="72" t="str">
        <x:f>IF(A186="","",D186+E186)</x:f>
      </x:c>
      <x:c r="M186" s="72" t="str">
        <x:f>IF(A186="","",F186+G186+H186+I186)</x:f>
      </x:c>
      <x:c r="N186" s="64" t="str">
        <x:f>IF(A186="","",IF(AND(B186=C186,K186=0),IF(M186=0,"最终库存已闭环","流向对平，仍有待办"),"检查"))</x:f>
      </x:c>
    </x:row>
    <x:row r="187">
      <x:c r="A187" s="73"/>
      <x:c r="B187" s="72" t="str">
        <x:f>IF(A187="","",COUNTIFS('Steam卖出对账'!$C$5:$C$1204,A187,'Steam卖出对账'!$H$5:$H$1204,"&gt;0"))</x:f>
      </x:c>
      <x:c r="C187" s="72" t="str">
        <x:f>IF(A187="","",COUNTIFS('Steam卖出对账'!$C$5:$C$1204,A187,'Steam卖出对账'!$I$5:$I$1204,"&gt;0"))</x:f>
      </x:c>
      <x:c r="D187" s="72" t="str">
        <x:f>IF($A187="","",SUMIFS('补仓对账'!$Q$5:$Q$1204,'补仓对账'!$B$5:$B$1204,$A187,'补仓对账'!$F$5:$F$1204,"C187成功"))</x:f>
      </x:c>
      <x:c r="E187" s="72" t="str">
        <x:f>IF($A187="","",SUMIFS('补仓对账'!$Q$5:$Q$1204,'补仓对账'!$B$5:$B$1204,$A187,'补仓对账'!$F$5:$F$1204,"手动完结"))</x:f>
      </x:c>
      <x:c r="F187" s="72" t="str">
        <x:f>IF($A187="","",SUMIFS('补仓对账'!$Q$5:$Q$1204,'补仓对账'!$B$5:$B$1204,$A187,'补仓对账'!$F$5:$F$1204,"C187发货确认中"))</x:f>
      </x:c>
      <x:c r="G187" s="72" t="str">
        <x:f>IF($A187="","",SUMIFS('补仓对账'!$Q$5:$Q$1204,'补仓对账'!$B$5:$B$1204,$A187,'补仓对账'!$F$5:$F$1204,"卖出待补仓"))</x:f>
      </x:c>
      <x:c r="H187" s="72" t="str">
        <x:f>IF($A187="","",SUMIFS('补仓对账'!$Q$5:$Q$1204,'补仓对账'!$B$5:$B$1204,$A187,'补仓对账'!$F$5:$F$1204,"提交结果待确认"))</x:f>
      </x:c>
      <x:c r="I187" s="72" t="str">
        <x:f>IF($A187="","",SUMIFS('补仓对账'!$Q$5:$Q$1204,'补仓对账'!$B$5:$B$1204,$A187,'补仓对账'!$F$5:$F$1204,"异常待处理"))</x:f>
      </x:c>
      <x:c r="J187" s="72" t="str">
        <x:f>IF(A187="","",SUM(D187:I187))</x:f>
      </x:c>
      <x:c r="K187" s="72" t="str">
        <x:f>IF(A187="","",C187-J187)</x:f>
      </x:c>
      <x:c r="L187" s="72" t="str">
        <x:f>IF(A187="","",D187+E187)</x:f>
      </x:c>
      <x:c r="M187" s="72" t="str">
        <x:f>IF(A187="","",F187+G187+H187+I187)</x:f>
      </x:c>
      <x:c r="N187" s="64" t="str">
        <x:f>IF(A187="","",IF(AND(B187=C187,K187=0),IF(M187=0,"最终库存已闭环","流向对平，仍有待办"),"检查"))</x:f>
      </x:c>
    </x:row>
    <x:row r="188">
      <x:c r="A188" s="73"/>
      <x:c r="B188" s="72" t="str">
        <x:f>IF(A188="","",COUNTIFS('Steam卖出对账'!$C$5:$C$1204,A188,'Steam卖出对账'!$H$5:$H$1204,"&gt;0"))</x:f>
      </x:c>
      <x:c r="C188" s="72" t="str">
        <x:f>IF(A188="","",COUNTIFS('Steam卖出对账'!$C$5:$C$1204,A188,'Steam卖出对账'!$I$5:$I$1204,"&gt;0"))</x:f>
      </x:c>
      <x:c r="D188" s="72" t="str">
        <x:f>IF($A188="","",SUMIFS('补仓对账'!$Q$5:$Q$1204,'补仓对账'!$B$5:$B$1204,$A188,'补仓对账'!$F$5:$F$1204,"C188成功"))</x:f>
      </x:c>
      <x:c r="E188" s="72" t="str">
        <x:f>IF($A188="","",SUMIFS('补仓对账'!$Q$5:$Q$1204,'补仓对账'!$B$5:$B$1204,$A188,'补仓对账'!$F$5:$F$1204,"手动完结"))</x:f>
      </x:c>
      <x:c r="F188" s="72" t="str">
        <x:f>IF($A188="","",SUMIFS('补仓对账'!$Q$5:$Q$1204,'补仓对账'!$B$5:$B$1204,$A188,'补仓对账'!$F$5:$F$1204,"C188发货确认中"))</x:f>
      </x:c>
      <x:c r="G188" s="72" t="str">
        <x:f>IF($A188="","",SUMIFS('补仓对账'!$Q$5:$Q$1204,'补仓对账'!$B$5:$B$1204,$A188,'补仓对账'!$F$5:$F$1204,"卖出待补仓"))</x:f>
      </x:c>
      <x:c r="H188" s="72" t="str">
        <x:f>IF($A188="","",SUMIFS('补仓对账'!$Q$5:$Q$1204,'补仓对账'!$B$5:$B$1204,$A188,'补仓对账'!$F$5:$F$1204,"提交结果待确认"))</x:f>
      </x:c>
      <x:c r="I188" s="72" t="str">
        <x:f>IF($A188="","",SUMIFS('补仓对账'!$Q$5:$Q$1204,'补仓对账'!$B$5:$B$1204,$A188,'补仓对账'!$F$5:$F$1204,"异常待处理"))</x:f>
      </x:c>
      <x:c r="J188" s="72" t="str">
        <x:f>IF(A188="","",SUM(D188:I188))</x:f>
      </x:c>
      <x:c r="K188" s="72" t="str">
        <x:f>IF(A188="","",C188-J188)</x:f>
      </x:c>
      <x:c r="L188" s="72" t="str">
        <x:f>IF(A188="","",D188+E188)</x:f>
      </x:c>
      <x:c r="M188" s="72" t="str">
        <x:f>IF(A188="","",F188+G188+H188+I188)</x:f>
      </x:c>
      <x:c r="N188" s="64" t="str">
        <x:f>IF(A188="","",IF(AND(B188=C188,K188=0),IF(M188=0,"最终库存已闭环","流向对平，仍有待办"),"检查"))</x:f>
      </x:c>
    </x:row>
    <x:row r="189">
      <x:c r="A189" s="73"/>
      <x:c r="B189" s="72" t="str">
        <x:f>IF(A189="","",COUNTIFS('Steam卖出对账'!$C$5:$C$1204,A189,'Steam卖出对账'!$H$5:$H$1204,"&gt;0"))</x:f>
      </x:c>
      <x:c r="C189" s="72" t="str">
        <x:f>IF(A189="","",COUNTIFS('Steam卖出对账'!$C$5:$C$1204,A189,'Steam卖出对账'!$I$5:$I$1204,"&gt;0"))</x:f>
      </x:c>
      <x:c r="D189" s="72" t="str">
        <x:f>IF($A189="","",SUMIFS('补仓对账'!$Q$5:$Q$1204,'补仓对账'!$B$5:$B$1204,$A189,'补仓对账'!$F$5:$F$1204,"C189成功"))</x:f>
      </x:c>
      <x:c r="E189" s="72" t="str">
        <x:f>IF($A189="","",SUMIFS('补仓对账'!$Q$5:$Q$1204,'补仓对账'!$B$5:$B$1204,$A189,'补仓对账'!$F$5:$F$1204,"手动完结"))</x:f>
      </x:c>
      <x:c r="F189" s="72" t="str">
        <x:f>IF($A189="","",SUMIFS('补仓对账'!$Q$5:$Q$1204,'补仓对账'!$B$5:$B$1204,$A189,'补仓对账'!$F$5:$F$1204,"C189发货确认中"))</x:f>
      </x:c>
      <x:c r="G189" s="72" t="str">
        <x:f>IF($A189="","",SUMIFS('补仓对账'!$Q$5:$Q$1204,'补仓对账'!$B$5:$B$1204,$A189,'补仓对账'!$F$5:$F$1204,"卖出待补仓"))</x:f>
      </x:c>
      <x:c r="H189" s="72" t="str">
        <x:f>IF($A189="","",SUMIFS('补仓对账'!$Q$5:$Q$1204,'补仓对账'!$B$5:$B$1204,$A189,'补仓对账'!$F$5:$F$1204,"提交结果待确认"))</x:f>
      </x:c>
      <x:c r="I189" s="72" t="str">
        <x:f>IF($A189="","",SUMIFS('补仓对账'!$Q$5:$Q$1204,'补仓对账'!$B$5:$B$1204,$A189,'补仓对账'!$F$5:$F$1204,"异常待处理"))</x:f>
      </x:c>
      <x:c r="J189" s="72" t="str">
        <x:f>IF(A189="","",SUM(D189:I189))</x:f>
      </x:c>
      <x:c r="K189" s="72" t="str">
        <x:f>IF(A189="","",C189-J189)</x:f>
      </x:c>
      <x:c r="L189" s="72" t="str">
        <x:f>IF(A189="","",D189+E189)</x:f>
      </x:c>
      <x:c r="M189" s="72" t="str">
        <x:f>IF(A189="","",F189+G189+H189+I189)</x:f>
      </x:c>
      <x:c r="N189" s="64" t="str">
        <x:f>IF(A189="","",IF(AND(B189=C189,K189=0),IF(M189=0,"最终库存已闭环","流向对平，仍有待办"),"检查"))</x:f>
      </x:c>
    </x:row>
    <x:row r="190">
      <x:c r="A190" s="73"/>
      <x:c r="B190" s="72" t="str">
        <x:f>IF(A190="","",COUNTIFS('Steam卖出对账'!$C$5:$C$1204,A190,'Steam卖出对账'!$H$5:$H$1204,"&gt;0"))</x:f>
      </x:c>
      <x:c r="C190" s="72" t="str">
        <x:f>IF(A190="","",COUNTIFS('Steam卖出对账'!$C$5:$C$1204,A190,'Steam卖出对账'!$I$5:$I$1204,"&gt;0"))</x:f>
      </x:c>
      <x:c r="D190" s="72" t="str">
        <x:f>IF($A190="","",SUMIFS('补仓对账'!$Q$5:$Q$1204,'补仓对账'!$B$5:$B$1204,$A190,'补仓对账'!$F$5:$F$1204,"C190成功"))</x:f>
      </x:c>
      <x:c r="E190" s="72" t="str">
        <x:f>IF($A190="","",SUMIFS('补仓对账'!$Q$5:$Q$1204,'补仓对账'!$B$5:$B$1204,$A190,'补仓对账'!$F$5:$F$1204,"手动完结"))</x:f>
      </x:c>
      <x:c r="F190" s="72" t="str">
        <x:f>IF($A190="","",SUMIFS('补仓对账'!$Q$5:$Q$1204,'补仓对账'!$B$5:$B$1204,$A190,'补仓对账'!$F$5:$F$1204,"C190发货确认中"))</x:f>
      </x:c>
      <x:c r="G190" s="72" t="str">
        <x:f>IF($A190="","",SUMIFS('补仓对账'!$Q$5:$Q$1204,'补仓对账'!$B$5:$B$1204,$A190,'补仓对账'!$F$5:$F$1204,"卖出待补仓"))</x:f>
      </x:c>
      <x:c r="H190" s="72" t="str">
        <x:f>IF($A190="","",SUMIFS('补仓对账'!$Q$5:$Q$1204,'补仓对账'!$B$5:$B$1204,$A190,'补仓对账'!$F$5:$F$1204,"提交结果待确认"))</x:f>
      </x:c>
      <x:c r="I190" s="72" t="str">
        <x:f>IF($A190="","",SUMIFS('补仓对账'!$Q$5:$Q$1204,'补仓对账'!$B$5:$B$1204,$A190,'补仓对账'!$F$5:$F$1204,"异常待处理"))</x:f>
      </x:c>
      <x:c r="J190" s="72" t="str">
        <x:f>IF(A190="","",SUM(D190:I190))</x:f>
      </x:c>
      <x:c r="K190" s="72" t="str">
        <x:f>IF(A190="","",C190-J190)</x:f>
      </x:c>
      <x:c r="L190" s="72" t="str">
        <x:f>IF(A190="","",D190+E190)</x:f>
      </x:c>
      <x:c r="M190" s="72" t="str">
        <x:f>IF(A190="","",F190+G190+H190+I190)</x:f>
      </x:c>
      <x:c r="N190" s="64" t="str">
        <x:f>IF(A190="","",IF(AND(B190=C190,K190=0),IF(M190=0,"最终库存已闭环","流向对平，仍有待办"),"检查"))</x:f>
      </x:c>
    </x:row>
    <x:row r="191">
      <x:c r="A191" s="73"/>
      <x:c r="B191" s="72" t="str">
        <x:f>IF(A191="","",COUNTIFS('Steam卖出对账'!$C$5:$C$1204,A191,'Steam卖出对账'!$H$5:$H$1204,"&gt;0"))</x:f>
      </x:c>
      <x:c r="C191" s="72" t="str">
        <x:f>IF(A191="","",COUNTIFS('Steam卖出对账'!$C$5:$C$1204,A191,'Steam卖出对账'!$I$5:$I$1204,"&gt;0"))</x:f>
      </x:c>
      <x:c r="D191" s="72" t="str">
        <x:f>IF($A191="","",SUMIFS('补仓对账'!$Q$5:$Q$1204,'补仓对账'!$B$5:$B$1204,$A191,'补仓对账'!$F$5:$F$1204,"C191成功"))</x:f>
      </x:c>
      <x:c r="E191" s="72" t="str">
        <x:f>IF($A191="","",SUMIFS('补仓对账'!$Q$5:$Q$1204,'补仓对账'!$B$5:$B$1204,$A191,'补仓对账'!$F$5:$F$1204,"手动完结"))</x:f>
      </x:c>
      <x:c r="F191" s="72" t="str">
        <x:f>IF($A191="","",SUMIFS('补仓对账'!$Q$5:$Q$1204,'补仓对账'!$B$5:$B$1204,$A191,'补仓对账'!$F$5:$F$1204,"C191发货确认中"))</x:f>
      </x:c>
      <x:c r="G191" s="72" t="str">
        <x:f>IF($A191="","",SUMIFS('补仓对账'!$Q$5:$Q$1204,'补仓对账'!$B$5:$B$1204,$A191,'补仓对账'!$F$5:$F$1204,"卖出待补仓"))</x:f>
      </x:c>
      <x:c r="H191" s="72" t="str">
        <x:f>IF($A191="","",SUMIFS('补仓对账'!$Q$5:$Q$1204,'补仓对账'!$B$5:$B$1204,$A191,'补仓对账'!$F$5:$F$1204,"提交结果待确认"))</x:f>
      </x:c>
      <x:c r="I191" s="72" t="str">
        <x:f>IF($A191="","",SUMIFS('补仓对账'!$Q$5:$Q$1204,'补仓对账'!$B$5:$B$1204,$A191,'补仓对账'!$F$5:$F$1204,"异常待处理"))</x:f>
      </x:c>
      <x:c r="J191" s="72" t="str">
        <x:f>IF(A191="","",SUM(D191:I191))</x:f>
      </x:c>
      <x:c r="K191" s="72" t="str">
        <x:f>IF(A191="","",C191-J191)</x:f>
      </x:c>
      <x:c r="L191" s="72" t="str">
        <x:f>IF(A191="","",D191+E191)</x:f>
      </x:c>
      <x:c r="M191" s="72" t="str">
        <x:f>IF(A191="","",F191+G191+H191+I191)</x:f>
      </x:c>
      <x:c r="N191" s="64" t="str">
        <x:f>IF(A191="","",IF(AND(B191=C191,K191=0),IF(M191=0,"最终库存已闭环","流向对平，仍有待办"),"检查"))</x:f>
      </x:c>
    </x:row>
    <x:row r="192">
      <x:c r="A192" s="73"/>
      <x:c r="B192" s="72" t="str">
        <x:f>IF(A192="","",COUNTIFS('Steam卖出对账'!$C$5:$C$1204,A192,'Steam卖出对账'!$H$5:$H$1204,"&gt;0"))</x:f>
      </x:c>
      <x:c r="C192" s="72" t="str">
        <x:f>IF(A192="","",COUNTIFS('Steam卖出对账'!$C$5:$C$1204,A192,'Steam卖出对账'!$I$5:$I$1204,"&gt;0"))</x:f>
      </x:c>
      <x:c r="D192" s="72" t="str">
        <x:f>IF($A192="","",SUMIFS('补仓对账'!$Q$5:$Q$1204,'补仓对账'!$B$5:$B$1204,$A192,'补仓对账'!$F$5:$F$1204,"C192成功"))</x:f>
      </x:c>
      <x:c r="E192" s="72" t="str">
        <x:f>IF($A192="","",SUMIFS('补仓对账'!$Q$5:$Q$1204,'补仓对账'!$B$5:$B$1204,$A192,'补仓对账'!$F$5:$F$1204,"手动完结"))</x:f>
      </x:c>
      <x:c r="F192" s="72" t="str">
        <x:f>IF($A192="","",SUMIFS('补仓对账'!$Q$5:$Q$1204,'补仓对账'!$B$5:$B$1204,$A192,'补仓对账'!$F$5:$F$1204,"C192发货确认中"))</x:f>
      </x:c>
      <x:c r="G192" s="72" t="str">
        <x:f>IF($A192="","",SUMIFS('补仓对账'!$Q$5:$Q$1204,'补仓对账'!$B$5:$B$1204,$A192,'补仓对账'!$F$5:$F$1204,"卖出待补仓"))</x:f>
      </x:c>
      <x:c r="H192" s="72" t="str">
        <x:f>IF($A192="","",SUMIFS('补仓对账'!$Q$5:$Q$1204,'补仓对账'!$B$5:$B$1204,$A192,'补仓对账'!$F$5:$F$1204,"提交结果待确认"))</x:f>
      </x:c>
      <x:c r="I192" s="72" t="str">
        <x:f>IF($A192="","",SUMIFS('补仓对账'!$Q$5:$Q$1204,'补仓对账'!$B$5:$B$1204,$A192,'补仓对账'!$F$5:$F$1204,"异常待处理"))</x:f>
      </x:c>
      <x:c r="J192" s="72" t="str">
        <x:f>IF(A192="","",SUM(D192:I192))</x:f>
      </x:c>
      <x:c r="K192" s="72" t="str">
        <x:f>IF(A192="","",C192-J192)</x:f>
      </x:c>
      <x:c r="L192" s="72" t="str">
        <x:f>IF(A192="","",D192+E192)</x:f>
      </x:c>
      <x:c r="M192" s="72" t="str">
        <x:f>IF(A192="","",F192+G192+H192+I192)</x:f>
      </x:c>
      <x:c r="N192" s="64" t="str">
        <x:f>IF(A192="","",IF(AND(B192=C192,K192=0),IF(M192=0,"最终库存已闭环","流向对平，仍有待办"),"检查"))</x:f>
      </x:c>
    </x:row>
    <x:row r="193">
      <x:c r="A193" s="73"/>
      <x:c r="B193" s="72" t="str">
        <x:f>IF(A193="","",COUNTIFS('Steam卖出对账'!$C$5:$C$1204,A193,'Steam卖出对账'!$H$5:$H$1204,"&gt;0"))</x:f>
      </x:c>
      <x:c r="C193" s="72" t="str">
        <x:f>IF(A193="","",COUNTIFS('Steam卖出对账'!$C$5:$C$1204,A193,'Steam卖出对账'!$I$5:$I$1204,"&gt;0"))</x:f>
      </x:c>
      <x:c r="D193" s="72" t="str">
        <x:f>IF($A193="","",SUMIFS('补仓对账'!$Q$5:$Q$1204,'补仓对账'!$B$5:$B$1204,$A193,'补仓对账'!$F$5:$F$1204,"C193成功"))</x:f>
      </x:c>
      <x:c r="E193" s="72" t="str">
        <x:f>IF($A193="","",SUMIFS('补仓对账'!$Q$5:$Q$1204,'补仓对账'!$B$5:$B$1204,$A193,'补仓对账'!$F$5:$F$1204,"手动完结"))</x:f>
      </x:c>
      <x:c r="F193" s="72" t="str">
        <x:f>IF($A193="","",SUMIFS('补仓对账'!$Q$5:$Q$1204,'补仓对账'!$B$5:$B$1204,$A193,'补仓对账'!$F$5:$F$1204,"C193发货确认中"))</x:f>
      </x:c>
      <x:c r="G193" s="72" t="str">
        <x:f>IF($A193="","",SUMIFS('补仓对账'!$Q$5:$Q$1204,'补仓对账'!$B$5:$B$1204,$A193,'补仓对账'!$F$5:$F$1204,"卖出待补仓"))</x:f>
      </x:c>
      <x:c r="H193" s="72" t="str">
        <x:f>IF($A193="","",SUMIFS('补仓对账'!$Q$5:$Q$1204,'补仓对账'!$B$5:$B$1204,$A193,'补仓对账'!$F$5:$F$1204,"提交结果待确认"))</x:f>
      </x:c>
      <x:c r="I193" s="72" t="str">
        <x:f>IF($A193="","",SUMIFS('补仓对账'!$Q$5:$Q$1204,'补仓对账'!$B$5:$B$1204,$A193,'补仓对账'!$F$5:$F$1204,"异常待处理"))</x:f>
      </x:c>
      <x:c r="J193" s="72" t="str">
        <x:f>IF(A193="","",SUM(D193:I193))</x:f>
      </x:c>
      <x:c r="K193" s="72" t="str">
        <x:f>IF(A193="","",C193-J193)</x:f>
      </x:c>
      <x:c r="L193" s="72" t="str">
        <x:f>IF(A193="","",D193+E193)</x:f>
      </x:c>
      <x:c r="M193" s="72" t="str">
        <x:f>IF(A193="","",F193+G193+H193+I193)</x:f>
      </x:c>
      <x:c r="N193" s="64" t="str">
        <x:f>IF(A193="","",IF(AND(B193=C193,K193=0),IF(M193=0,"最终库存已闭环","流向对平，仍有待办"),"检查"))</x:f>
      </x:c>
    </x:row>
    <x:row r="194">
      <x:c r="A194" s="73"/>
      <x:c r="B194" s="72" t="str">
        <x:f>IF(A194="","",COUNTIFS('Steam卖出对账'!$C$5:$C$1204,A194,'Steam卖出对账'!$H$5:$H$1204,"&gt;0"))</x:f>
      </x:c>
      <x:c r="C194" s="72" t="str">
        <x:f>IF(A194="","",COUNTIFS('Steam卖出对账'!$C$5:$C$1204,A194,'Steam卖出对账'!$I$5:$I$1204,"&gt;0"))</x:f>
      </x:c>
      <x:c r="D194" s="72" t="str">
        <x:f>IF($A194="","",SUMIFS('补仓对账'!$Q$5:$Q$1204,'补仓对账'!$B$5:$B$1204,$A194,'补仓对账'!$F$5:$F$1204,"C194成功"))</x:f>
      </x:c>
      <x:c r="E194" s="72" t="str">
        <x:f>IF($A194="","",SUMIFS('补仓对账'!$Q$5:$Q$1204,'补仓对账'!$B$5:$B$1204,$A194,'补仓对账'!$F$5:$F$1204,"手动完结"))</x:f>
      </x:c>
      <x:c r="F194" s="72" t="str">
        <x:f>IF($A194="","",SUMIFS('补仓对账'!$Q$5:$Q$1204,'补仓对账'!$B$5:$B$1204,$A194,'补仓对账'!$F$5:$F$1204,"C194发货确认中"))</x:f>
      </x:c>
      <x:c r="G194" s="72" t="str">
        <x:f>IF($A194="","",SUMIFS('补仓对账'!$Q$5:$Q$1204,'补仓对账'!$B$5:$B$1204,$A194,'补仓对账'!$F$5:$F$1204,"卖出待补仓"))</x:f>
      </x:c>
      <x:c r="H194" s="72" t="str">
        <x:f>IF($A194="","",SUMIFS('补仓对账'!$Q$5:$Q$1204,'补仓对账'!$B$5:$B$1204,$A194,'补仓对账'!$F$5:$F$1204,"提交结果待确认"))</x:f>
      </x:c>
      <x:c r="I194" s="72" t="str">
        <x:f>IF($A194="","",SUMIFS('补仓对账'!$Q$5:$Q$1204,'补仓对账'!$B$5:$B$1204,$A194,'补仓对账'!$F$5:$F$1204,"异常待处理"))</x:f>
      </x:c>
      <x:c r="J194" s="72" t="str">
        <x:f>IF(A194="","",SUM(D194:I194))</x:f>
      </x:c>
      <x:c r="K194" s="72" t="str">
        <x:f>IF(A194="","",C194-J194)</x:f>
      </x:c>
      <x:c r="L194" s="72" t="str">
        <x:f>IF(A194="","",D194+E194)</x:f>
      </x:c>
      <x:c r="M194" s="72" t="str">
        <x:f>IF(A194="","",F194+G194+H194+I194)</x:f>
      </x:c>
      <x:c r="N194" s="64" t="str">
        <x:f>IF(A194="","",IF(AND(B194=C194,K194=0),IF(M194=0,"最终库存已闭环","流向对平，仍有待办"),"检查"))</x:f>
      </x:c>
    </x:row>
    <x:row r="195">
      <x:c r="A195" s="73"/>
      <x:c r="B195" s="72" t="str">
        <x:f>IF(A195="","",COUNTIFS('Steam卖出对账'!$C$5:$C$1204,A195,'Steam卖出对账'!$H$5:$H$1204,"&gt;0"))</x:f>
      </x:c>
      <x:c r="C195" s="72" t="str">
        <x:f>IF(A195="","",COUNTIFS('Steam卖出对账'!$C$5:$C$1204,A195,'Steam卖出对账'!$I$5:$I$1204,"&gt;0"))</x:f>
      </x:c>
      <x:c r="D195" s="72" t="str">
        <x:f>IF($A195="","",SUMIFS('补仓对账'!$Q$5:$Q$1204,'补仓对账'!$B$5:$B$1204,$A195,'补仓对账'!$F$5:$F$1204,"C195成功"))</x:f>
      </x:c>
      <x:c r="E195" s="72" t="str">
        <x:f>IF($A195="","",SUMIFS('补仓对账'!$Q$5:$Q$1204,'补仓对账'!$B$5:$B$1204,$A195,'补仓对账'!$F$5:$F$1204,"手动完结"))</x:f>
      </x:c>
      <x:c r="F195" s="72" t="str">
        <x:f>IF($A195="","",SUMIFS('补仓对账'!$Q$5:$Q$1204,'补仓对账'!$B$5:$B$1204,$A195,'补仓对账'!$F$5:$F$1204,"C195发货确认中"))</x:f>
      </x:c>
      <x:c r="G195" s="72" t="str">
        <x:f>IF($A195="","",SUMIFS('补仓对账'!$Q$5:$Q$1204,'补仓对账'!$B$5:$B$1204,$A195,'补仓对账'!$F$5:$F$1204,"卖出待补仓"))</x:f>
      </x:c>
      <x:c r="H195" s="72" t="str">
        <x:f>IF($A195="","",SUMIFS('补仓对账'!$Q$5:$Q$1204,'补仓对账'!$B$5:$B$1204,$A195,'补仓对账'!$F$5:$F$1204,"提交结果待确认"))</x:f>
      </x:c>
      <x:c r="I195" s="72" t="str">
        <x:f>IF($A195="","",SUMIFS('补仓对账'!$Q$5:$Q$1204,'补仓对账'!$B$5:$B$1204,$A195,'补仓对账'!$F$5:$F$1204,"异常待处理"))</x:f>
      </x:c>
      <x:c r="J195" s="72" t="str">
        <x:f>IF(A195="","",SUM(D195:I195))</x:f>
      </x:c>
      <x:c r="K195" s="72" t="str">
        <x:f>IF(A195="","",C195-J195)</x:f>
      </x:c>
      <x:c r="L195" s="72" t="str">
        <x:f>IF(A195="","",D195+E195)</x:f>
      </x:c>
      <x:c r="M195" s="72" t="str">
        <x:f>IF(A195="","",F195+G195+H195+I195)</x:f>
      </x:c>
      <x:c r="N195" s="64" t="str">
        <x:f>IF(A195="","",IF(AND(B195=C195,K195=0),IF(M195=0,"最终库存已闭环","流向对平，仍有待办"),"检查"))</x:f>
      </x:c>
    </x:row>
    <x:row r="196">
      <x:c r="A196" s="73"/>
      <x:c r="B196" s="72" t="str">
        <x:f>IF(A196="","",COUNTIFS('Steam卖出对账'!$C$5:$C$1204,A196,'Steam卖出对账'!$H$5:$H$1204,"&gt;0"))</x:f>
      </x:c>
      <x:c r="C196" s="72" t="str">
        <x:f>IF(A196="","",COUNTIFS('Steam卖出对账'!$C$5:$C$1204,A196,'Steam卖出对账'!$I$5:$I$1204,"&gt;0"))</x:f>
      </x:c>
      <x:c r="D196" s="72" t="str">
        <x:f>IF($A196="","",SUMIFS('补仓对账'!$Q$5:$Q$1204,'补仓对账'!$B$5:$B$1204,$A196,'补仓对账'!$F$5:$F$1204,"C196成功"))</x:f>
      </x:c>
      <x:c r="E196" s="72" t="str">
        <x:f>IF($A196="","",SUMIFS('补仓对账'!$Q$5:$Q$1204,'补仓对账'!$B$5:$B$1204,$A196,'补仓对账'!$F$5:$F$1204,"手动完结"))</x:f>
      </x:c>
      <x:c r="F196" s="72" t="str">
        <x:f>IF($A196="","",SUMIFS('补仓对账'!$Q$5:$Q$1204,'补仓对账'!$B$5:$B$1204,$A196,'补仓对账'!$F$5:$F$1204,"C196发货确认中"))</x:f>
      </x:c>
      <x:c r="G196" s="72" t="str">
        <x:f>IF($A196="","",SUMIFS('补仓对账'!$Q$5:$Q$1204,'补仓对账'!$B$5:$B$1204,$A196,'补仓对账'!$F$5:$F$1204,"卖出待补仓"))</x:f>
      </x:c>
      <x:c r="H196" s="72" t="str">
        <x:f>IF($A196="","",SUMIFS('补仓对账'!$Q$5:$Q$1204,'补仓对账'!$B$5:$B$1204,$A196,'补仓对账'!$F$5:$F$1204,"提交结果待确认"))</x:f>
      </x:c>
      <x:c r="I196" s="72" t="str">
        <x:f>IF($A196="","",SUMIFS('补仓对账'!$Q$5:$Q$1204,'补仓对账'!$B$5:$B$1204,$A196,'补仓对账'!$F$5:$F$1204,"异常待处理"))</x:f>
      </x:c>
      <x:c r="J196" s="72" t="str">
        <x:f>IF(A196="","",SUM(D196:I196))</x:f>
      </x:c>
      <x:c r="K196" s="72" t="str">
        <x:f>IF(A196="","",C196-J196)</x:f>
      </x:c>
      <x:c r="L196" s="72" t="str">
        <x:f>IF(A196="","",D196+E196)</x:f>
      </x:c>
      <x:c r="M196" s="72" t="str">
        <x:f>IF(A196="","",F196+G196+H196+I196)</x:f>
      </x:c>
      <x:c r="N196" s="64" t="str">
        <x:f>IF(A196="","",IF(AND(B196=C196,K196=0),IF(M196=0,"最终库存已闭环","流向对平，仍有待办"),"检查"))</x:f>
      </x:c>
    </x:row>
    <x:row r="197">
      <x:c r="A197" s="73"/>
      <x:c r="B197" s="72" t="str">
        <x:f>IF(A197="","",COUNTIFS('Steam卖出对账'!$C$5:$C$1204,A197,'Steam卖出对账'!$H$5:$H$1204,"&gt;0"))</x:f>
      </x:c>
      <x:c r="C197" s="72" t="str">
        <x:f>IF(A197="","",COUNTIFS('Steam卖出对账'!$C$5:$C$1204,A197,'Steam卖出对账'!$I$5:$I$1204,"&gt;0"))</x:f>
      </x:c>
      <x:c r="D197" s="72" t="str">
        <x:f>IF($A197="","",SUMIFS('补仓对账'!$Q$5:$Q$1204,'补仓对账'!$B$5:$B$1204,$A197,'补仓对账'!$F$5:$F$1204,"C197成功"))</x:f>
      </x:c>
      <x:c r="E197" s="72" t="str">
        <x:f>IF($A197="","",SUMIFS('补仓对账'!$Q$5:$Q$1204,'补仓对账'!$B$5:$B$1204,$A197,'补仓对账'!$F$5:$F$1204,"手动完结"))</x:f>
      </x:c>
      <x:c r="F197" s="72" t="str">
        <x:f>IF($A197="","",SUMIFS('补仓对账'!$Q$5:$Q$1204,'补仓对账'!$B$5:$B$1204,$A197,'补仓对账'!$F$5:$F$1204,"C197发货确认中"))</x:f>
      </x:c>
      <x:c r="G197" s="72" t="str">
        <x:f>IF($A197="","",SUMIFS('补仓对账'!$Q$5:$Q$1204,'补仓对账'!$B$5:$B$1204,$A197,'补仓对账'!$F$5:$F$1204,"卖出待补仓"))</x:f>
      </x:c>
      <x:c r="H197" s="72" t="str">
        <x:f>IF($A197="","",SUMIFS('补仓对账'!$Q$5:$Q$1204,'补仓对账'!$B$5:$B$1204,$A197,'补仓对账'!$F$5:$F$1204,"提交结果待确认"))</x:f>
      </x:c>
      <x:c r="I197" s="72" t="str">
        <x:f>IF($A197="","",SUMIFS('补仓对账'!$Q$5:$Q$1204,'补仓对账'!$B$5:$B$1204,$A197,'补仓对账'!$F$5:$F$1204,"异常待处理"))</x:f>
      </x:c>
      <x:c r="J197" s="72" t="str">
        <x:f>IF(A197="","",SUM(D197:I197))</x:f>
      </x:c>
      <x:c r="K197" s="72" t="str">
        <x:f>IF(A197="","",C197-J197)</x:f>
      </x:c>
      <x:c r="L197" s="72" t="str">
        <x:f>IF(A197="","",D197+E197)</x:f>
      </x:c>
      <x:c r="M197" s="72" t="str">
        <x:f>IF(A197="","",F197+G197+H197+I197)</x:f>
      </x:c>
      <x:c r="N197" s="64" t="str">
        <x:f>IF(A197="","",IF(AND(B197=C197,K197=0),IF(M197=0,"最终库存已闭环","流向对平，仍有待办"),"检查"))</x:f>
      </x:c>
    </x:row>
    <x:row r="198">
      <x:c r="A198" s="73"/>
      <x:c r="B198" s="72" t="str">
        <x:f>IF(A198="","",COUNTIFS('Steam卖出对账'!$C$5:$C$1204,A198,'Steam卖出对账'!$H$5:$H$1204,"&gt;0"))</x:f>
      </x:c>
      <x:c r="C198" s="72" t="str">
        <x:f>IF(A198="","",COUNTIFS('Steam卖出对账'!$C$5:$C$1204,A198,'Steam卖出对账'!$I$5:$I$1204,"&gt;0"))</x:f>
      </x:c>
      <x:c r="D198" s="72" t="str">
        <x:f>IF($A198="","",SUMIFS('补仓对账'!$Q$5:$Q$1204,'补仓对账'!$B$5:$B$1204,$A198,'补仓对账'!$F$5:$F$1204,"C198成功"))</x:f>
      </x:c>
      <x:c r="E198" s="72" t="str">
        <x:f>IF($A198="","",SUMIFS('补仓对账'!$Q$5:$Q$1204,'补仓对账'!$B$5:$B$1204,$A198,'补仓对账'!$F$5:$F$1204,"手动完结"))</x:f>
      </x:c>
      <x:c r="F198" s="72" t="str">
        <x:f>IF($A198="","",SUMIFS('补仓对账'!$Q$5:$Q$1204,'补仓对账'!$B$5:$B$1204,$A198,'补仓对账'!$F$5:$F$1204,"C198发货确认中"))</x:f>
      </x:c>
      <x:c r="G198" s="72" t="str">
        <x:f>IF($A198="","",SUMIFS('补仓对账'!$Q$5:$Q$1204,'补仓对账'!$B$5:$B$1204,$A198,'补仓对账'!$F$5:$F$1204,"卖出待补仓"))</x:f>
      </x:c>
      <x:c r="H198" s="72" t="str">
        <x:f>IF($A198="","",SUMIFS('补仓对账'!$Q$5:$Q$1204,'补仓对账'!$B$5:$B$1204,$A198,'补仓对账'!$F$5:$F$1204,"提交结果待确认"))</x:f>
      </x:c>
      <x:c r="I198" s="72" t="str">
        <x:f>IF($A198="","",SUMIFS('补仓对账'!$Q$5:$Q$1204,'补仓对账'!$B$5:$B$1204,$A198,'补仓对账'!$F$5:$F$1204,"异常待处理"))</x:f>
      </x:c>
      <x:c r="J198" s="72" t="str">
        <x:f>IF(A198="","",SUM(D198:I198))</x:f>
      </x:c>
      <x:c r="K198" s="72" t="str">
        <x:f>IF(A198="","",C198-J198)</x:f>
      </x:c>
      <x:c r="L198" s="72" t="str">
        <x:f>IF(A198="","",D198+E198)</x:f>
      </x:c>
      <x:c r="M198" s="72" t="str">
        <x:f>IF(A198="","",F198+G198+H198+I198)</x:f>
      </x:c>
      <x:c r="N198" s="64" t="str">
        <x:f>IF(A198="","",IF(AND(B198=C198,K198=0),IF(M198=0,"最终库存已闭环","流向对平，仍有待办"),"检查"))</x:f>
      </x:c>
    </x:row>
    <x:row r="199">
      <x:c r="A199" s="73"/>
      <x:c r="B199" s="72" t="str">
        <x:f>IF(A199="","",COUNTIFS('Steam卖出对账'!$C$5:$C$1204,A199,'Steam卖出对账'!$H$5:$H$1204,"&gt;0"))</x:f>
      </x:c>
      <x:c r="C199" s="72" t="str">
        <x:f>IF(A199="","",COUNTIFS('Steam卖出对账'!$C$5:$C$1204,A199,'Steam卖出对账'!$I$5:$I$1204,"&gt;0"))</x:f>
      </x:c>
      <x:c r="D199" s="72" t="str">
        <x:f>IF($A199="","",SUMIFS('补仓对账'!$Q$5:$Q$1204,'补仓对账'!$B$5:$B$1204,$A199,'补仓对账'!$F$5:$F$1204,"C199成功"))</x:f>
      </x:c>
      <x:c r="E199" s="72" t="str">
        <x:f>IF($A199="","",SUMIFS('补仓对账'!$Q$5:$Q$1204,'补仓对账'!$B$5:$B$1204,$A199,'补仓对账'!$F$5:$F$1204,"手动完结"))</x:f>
      </x:c>
      <x:c r="F199" s="72" t="str">
        <x:f>IF($A199="","",SUMIFS('补仓对账'!$Q$5:$Q$1204,'补仓对账'!$B$5:$B$1204,$A199,'补仓对账'!$F$5:$F$1204,"C199发货确认中"))</x:f>
      </x:c>
      <x:c r="G199" s="72" t="str">
        <x:f>IF($A199="","",SUMIFS('补仓对账'!$Q$5:$Q$1204,'补仓对账'!$B$5:$B$1204,$A199,'补仓对账'!$F$5:$F$1204,"卖出待补仓"))</x:f>
      </x:c>
      <x:c r="H199" s="72" t="str">
        <x:f>IF($A199="","",SUMIFS('补仓对账'!$Q$5:$Q$1204,'补仓对账'!$B$5:$B$1204,$A199,'补仓对账'!$F$5:$F$1204,"提交结果待确认"))</x:f>
      </x:c>
      <x:c r="I199" s="72" t="str">
        <x:f>IF($A199="","",SUMIFS('补仓对账'!$Q$5:$Q$1204,'补仓对账'!$B$5:$B$1204,$A199,'补仓对账'!$F$5:$F$1204,"异常待处理"))</x:f>
      </x:c>
      <x:c r="J199" s="72" t="str">
        <x:f>IF(A199="","",SUM(D199:I199))</x:f>
      </x:c>
      <x:c r="K199" s="72" t="str">
        <x:f>IF(A199="","",C199-J199)</x:f>
      </x:c>
      <x:c r="L199" s="72" t="str">
        <x:f>IF(A199="","",D199+E199)</x:f>
      </x:c>
      <x:c r="M199" s="72" t="str">
        <x:f>IF(A199="","",F199+G199+H199+I199)</x:f>
      </x:c>
      <x:c r="N199" s="64" t="str">
        <x:f>IF(A199="","",IF(AND(B199=C199,K199=0),IF(M199=0,"最终库存已闭环","流向对平，仍有待办"),"检查"))</x:f>
      </x:c>
    </x:row>
    <x:row r="200">
      <x:c r="A200" s="73"/>
      <x:c r="B200" s="72" t="str">
        <x:f>IF(A200="","",COUNTIFS('Steam卖出对账'!$C$5:$C$1204,A200,'Steam卖出对账'!$H$5:$H$1204,"&gt;0"))</x:f>
      </x:c>
      <x:c r="C200" s="72" t="str">
        <x:f>IF(A200="","",COUNTIFS('Steam卖出对账'!$C$5:$C$1204,A200,'Steam卖出对账'!$I$5:$I$1204,"&gt;0"))</x:f>
      </x:c>
      <x:c r="D200" s="72" t="str">
        <x:f>IF($A200="","",SUMIFS('补仓对账'!$Q$5:$Q$1204,'补仓对账'!$B$5:$B$1204,$A200,'补仓对账'!$F$5:$F$1204,"C200成功"))</x:f>
      </x:c>
      <x:c r="E200" s="72" t="str">
        <x:f>IF($A200="","",SUMIFS('补仓对账'!$Q$5:$Q$1204,'补仓对账'!$B$5:$B$1204,$A200,'补仓对账'!$F$5:$F$1204,"手动完结"))</x:f>
      </x:c>
      <x:c r="F200" s="72" t="str">
        <x:f>IF($A200="","",SUMIFS('补仓对账'!$Q$5:$Q$1204,'补仓对账'!$B$5:$B$1204,$A200,'补仓对账'!$F$5:$F$1204,"C200发货确认中"))</x:f>
      </x:c>
      <x:c r="G200" s="72" t="str">
        <x:f>IF($A200="","",SUMIFS('补仓对账'!$Q$5:$Q$1204,'补仓对账'!$B$5:$B$1204,$A200,'补仓对账'!$F$5:$F$1204,"卖出待补仓"))</x:f>
      </x:c>
      <x:c r="H200" s="72" t="str">
        <x:f>IF($A200="","",SUMIFS('补仓对账'!$Q$5:$Q$1204,'补仓对账'!$B$5:$B$1204,$A200,'补仓对账'!$F$5:$F$1204,"提交结果待确认"))</x:f>
      </x:c>
      <x:c r="I200" s="72" t="str">
        <x:f>IF($A200="","",SUMIFS('补仓对账'!$Q$5:$Q$1204,'补仓对账'!$B$5:$B$1204,$A200,'补仓对账'!$F$5:$F$1204,"异常待处理"))</x:f>
      </x:c>
      <x:c r="J200" s="72" t="str">
        <x:f>IF(A200="","",SUM(D200:I200))</x:f>
      </x:c>
      <x:c r="K200" s="72" t="str">
        <x:f>IF(A200="","",C200-J200)</x:f>
      </x:c>
      <x:c r="L200" s="72" t="str">
        <x:f>IF(A200="","",D200+E200)</x:f>
      </x:c>
      <x:c r="M200" s="72" t="str">
        <x:f>IF(A200="","",F200+G200+H200+I200)</x:f>
      </x:c>
      <x:c r="N200" s="64" t="str">
        <x:f>IF(A200="","",IF(AND(B200=C200,K200=0),IF(M200=0,"最终库存已闭环","流向对平，仍有待办"),"检查"))</x:f>
      </x:c>
    </x:row>
    <x:row r="201">
      <x:c r="A201" s="73"/>
      <x:c r="B201" s="72" t="str">
        <x:f>IF(A201="","",COUNTIFS('Steam卖出对账'!$C$5:$C$1204,A201,'Steam卖出对账'!$H$5:$H$1204,"&gt;0"))</x:f>
      </x:c>
      <x:c r="C201" s="72" t="str">
        <x:f>IF(A201="","",COUNTIFS('Steam卖出对账'!$C$5:$C$1204,A201,'Steam卖出对账'!$I$5:$I$1204,"&gt;0"))</x:f>
      </x:c>
      <x:c r="D201" s="72" t="str">
        <x:f>IF($A201="","",SUMIFS('补仓对账'!$Q$5:$Q$1204,'补仓对账'!$B$5:$B$1204,$A201,'补仓对账'!$F$5:$F$1204,"C201成功"))</x:f>
      </x:c>
      <x:c r="E201" s="72" t="str">
        <x:f>IF($A201="","",SUMIFS('补仓对账'!$Q$5:$Q$1204,'补仓对账'!$B$5:$B$1204,$A201,'补仓对账'!$F$5:$F$1204,"手动完结"))</x:f>
      </x:c>
      <x:c r="F201" s="72" t="str">
        <x:f>IF($A201="","",SUMIFS('补仓对账'!$Q$5:$Q$1204,'补仓对账'!$B$5:$B$1204,$A201,'补仓对账'!$F$5:$F$1204,"C201发货确认中"))</x:f>
      </x:c>
      <x:c r="G201" s="72" t="str">
        <x:f>IF($A201="","",SUMIFS('补仓对账'!$Q$5:$Q$1204,'补仓对账'!$B$5:$B$1204,$A201,'补仓对账'!$F$5:$F$1204,"卖出待补仓"))</x:f>
      </x:c>
      <x:c r="H201" s="72" t="str">
        <x:f>IF($A201="","",SUMIFS('补仓对账'!$Q$5:$Q$1204,'补仓对账'!$B$5:$B$1204,$A201,'补仓对账'!$F$5:$F$1204,"提交结果待确认"))</x:f>
      </x:c>
      <x:c r="I201" s="72" t="str">
        <x:f>IF($A201="","",SUMIFS('补仓对账'!$Q$5:$Q$1204,'补仓对账'!$B$5:$B$1204,$A201,'补仓对账'!$F$5:$F$1204,"异常待处理"))</x:f>
      </x:c>
      <x:c r="J201" s="72" t="str">
        <x:f>IF(A201="","",SUM(D201:I201))</x:f>
      </x:c>
      <x:c r="K201" s="72" t="str">
        <x:f>IF(A201="","",C201-J201)</x:f>
      </x:c>
      <x:c r="L201" s="72" t="str">
        <x:f>IF(A201="","",D201+E201)</x:f>
      </x:c>
      <x:c r="M201" s="72" t="str">
        <x:f>IF(A201="","",F201+G201+H201+I201)</x:f>
      </x:c>
      <x:c r="N201" s="64" t="str">
        <x:f>IF(A201="","",IF(AND(B201=C201,K201=0),IF(M201=0,"最终库存已闭环","流向对平，仍有待办"),"检查"))</x:f>
      </x:c>
    </x:row>
    <x:row r="202">
      <x:c r="A202" s="73"/>
      <x:c r="B202" s="72" t="str">
        <x:f>IF(A202="","",COUNTIFS('Steam卖出对账'!$C$5:$C$1204,A202,'Steam卖出对账'!$H$5:$H$1204,"&gt;0"))</x:f>
      </x:c>
      <x:c r="C202" s="72" t="str">
        <x:f>IF(A202="","",COUNTIFS('Steam卖出对账'!$C$5:$C$1204,A202,'Steam卖出对账'!$I$5:$I$1204,"&gt;0"))</x:f>
      </x:c>
      <x:c r="D202" s="72" t="str">
        <x:f>IF($A202="","",SUMIFS('补仓对账'!$Q$5:$Q$1204,'补仓对账'!$B$5:$B$1204,$A202,'补仓对账'!$F$5:$F$1204,"C202成功"))</x:f>
      </x:c>
      <x:c r="E202" s="72" t="str">
        <x:f>IF($A202="","",SUMIFS('补仓对账'!$Q$5:$Q$1204,'补仓对账'!$B$5:$B$1204,$A202,'补仓对账'!$F$5:$F$1204,"手动完结"))</x:f>
      </x:c>
      <x:c r="F202" s="72" t="str">
        <x:f>IF($A202="","",SUMIFS('补仓对账'!$Q$5:$Q$1204,'补仓对账'!$B$5:$B$1204,$A202,'补仓对账'!$F$5:$F$1204,"C202发货确认中"))</x:f>
      </x:c>
      <x:c r="G202" s="72" t="str">
        <x:f>IF($A202="","",SUMIFS('补仓对账'!$Q$5:$Q$1204,'补仓对账'!$B$5:$B$1204,$A202,'补仓对账'!$F$5:$F$1204,"卖出待补仓"))</x:f>
      </x:c>
      <x:c r="H202" s="72" t="str">
        <x:f>IF($A202="","",SUMIFS('补仓对账'!$Q$5:$Q$1204,'补仓对账'!$B$5:$B$1204,$A202,'补仓对账'!$F$5:$F$1204,"提交结果待确认"))</x:f>
      </x:c>
      <x:c r="I202" s="72" t="str">
        <x:f>IF($A202="","",SUMIFS('补仓对账'!$Q$5:$Q$1204,'补仓对账'!$B$5:$B$1204,$A202,'补仓对账'!$F$5:$F$1204,"异常待处理"))</x:f>
      </x:c>
      <x:c r="J202" s="72" t="str">
        <x:f>IF(A202="","",SUM(D202:I202))</x:f>
      </x:c>
      <x:c r="K202" s="72" t="str">
        <x:f>IF(A202="","",C202-J202)</x:f>
      </x:c>
      <x:c r="L202" s="72" t="str">
        <x:f>IF(A202="","",D202+E202)</x:f>
      </x:c>
      <x:c r="M202" s="72" t="str">
        <x:f>IF(A202="","",F202+G202+H202+I202)</x:f>
      </x:c>
      <x:c r="N202" s="64" t="str">
        <x:f>IF(A202="","",IF(AND(B202=C202,K202=0),IF(M202=0,"最终库存已闭环","流向对平，仍有待办"),"检查"))</x:f>
      </x:c>
    </x:row>
    <x:row r="203">
      <x:c r="A203" s="73"/>
      <x:c r="B203" s="72" t="str">
        <x:f>IF(A203="","",COUNTIFS('Steam卖出对账'!$C$5:$C$1204,A203,'Steam卖出对账'!$H$5:$H$1204,"&gt;0"))</x:f>
      </x:c>
      <x:c r="C203" s="72" t="str">
        <x:f>IF(A203="","",COUNTIFS('Steam卖出对账'!$C$5:$C$1204,A203,'Steam卖出对账'!$I$5:$I$1204,"&gt;0"))</x:f>
      </x:c>
      <x:c r="D203" s="72" t="str">
        <x:f>IF($A203="","",SUMIFS('补仓对账'!$Q$5:$Q$1204,'补仓对账'!$B$5:$B$1204,$A203,'补仓对账'!$F$5:$F$1204,"C203成功"))</x:f>
      </x:c>
      <x:c r="E203" s="72" t="str">
        <x:f>IF($A203="","",SUMIFS('补仓对账'!$Q$5:$Q$1204,'补仓对账'!$B$5:$B$1204,$A203,'补仓对账'!$F$5:$F$1204,"手动完结"))</x:f>
      </x:c>
      <x:c r="F203" s="72" t="str">
        <x:f>IF($A203="","",SUMIFS('补仓对账'!$Q$5:$Q$1204,'补仓对账'!$B$5:$B$1204,$A203,'补仓对账'!$F$5:$F$1204,"C203发货确认中"))</x:f>
      </x:c>
      <x:c r="G203" s="72" t="str">
        <x:f>IF($A203="","",SUMIFS('补仓对账'!$Q$5:$Q$1204,'补仓对账'!$B$5:$B$1204,$A203,'补仓对账'!$F$5:$F$1204,"卖出待补仓"))</x:f>
      </x:c>
      <x:c r="H203" s="72" t="str">
        <x:f>IF($A203="","",SUMIFS('补仓对账'!$Q$5:$Q$1204,'补仓对账'!$B$5:$B$1204,$A203,'补仓对账'!$F$5:$F$1204,"提交结果待确认"))</x:f>
      </x:c>
      <x:c r="I203" s="72" t="str">
        <x:f>IF($A203="","",SUMIFS('补仓对账'!$Q$5:$Q$1204,'补仓对账'!$B$5:$B$1204,$A203,'补仓对账'!$F$5:$F$1204,"异常待处理"))</x:f>
      </x:c>
      <x:c r="J203" s="72" t="str">
        <x:f>IF(A203="","",SUM(D203:I203))</x:f>
      </x:c>
      <x:c r="K203" s="72" t="str">
        <x:f>IF(A203="","",C203-J203)</x:f>
      </x:c>
      <x:c r="L203" s="72" t="str">
        <x:f>IF(A203="","",D203+E203)</x:f>
      </x:c>
      <x:c r="M203" s="72" t="str">
        <x:f>IF(A203="","",F203+G203+H203+I203)</x:f>
      </x:c>
      <x:c r="N203" s="64" t="str">
        <x:f>IF(A203="","",IF(AND(B203=C203,K203=0),IF(M203=0,"最终库存已闭环","流向对平，仍有待办"),"检查"))</x:f>
      </x:c>
    </x:row>
    <x:row r="204">
      <x:c r="A204" s="73"/>
      <x:c r="B204" s="72" t="str">
        <x:f>IF(A204="","",COUNTIFS('Steam卖出对账'!$C$5:$C$1204,A204,'Steam卖出对账'!$H$5:$H$1204,"&gt;0"))</x:f>
      </x:c>
      <x:c r="C204" s="72" t="str">
        <x:f>IF(A204="","",COUNTIFS('Steam卖出对账'!$C$5:$C$1204,A204,'Steam卖出对账'!$I$5:$I$1204,"&gt;0"))</x:f>
      </x:c>
      <x:c r="D204" s="72" t="str">
        <x:f>IF($A204="","",SUMIFS('补仓对账'!$Q$5:$Q$1204,'补仓对账'!$B$5:$B$1204,$A204,'补仓对账'!$F$5:$F$1204,"C204成功"))</x:f>
      </x:c>
      <x:c r="E204" s="72" t="str">
        <x:f>IF($A204="","",SUMIFS('补仓对账'!$Q$5:$Q$1204,'补仓对账'!$B$5:$B$1204,$A204,'补仓对账'!$F$5:$F$1204,"手动完结"))</x:f>
      </x:c>
      <x:c r="F204" s="72" t="str">
        <x:f>IF($A204="","",SUMIFS('补仓对账'!$Q$5:$Q$1204,'补仓对账'!$B$5:$B$1204,$A204,'补仓对账'!$F$5:$F$1204,"C204发货确认中"))</x:f>
      </x:c>
      <x:c r="G204" s="72" t="str">
        <x:f>IF($A204="","",SUMIFS('补仓对账'!$Q$5:$Q$1204,'补仓对账'!$B$5:$B$1204,$A204,'补仓对账'!$F$5:$F$1204,"卖出待补仓"))</x:f>
      </x:c>
      <x:c r="H204" s="72" t="str">
        <x:f>IF($A204="","",SUMIFS('补仓对账'!$Q$5:$Q$1204,'补仓对账'!$B$5:$B$1204,$A204,'补仓对账'!$F$5:$F$1204,"提交结果待确认"))</x:f>
      </x:c>
      <x:c r="I204" s="72" t="str">
        <x:f>IF($A204="","",SUMIFS('补仓对账'!$Q$5:$Q$1204,'补仓对账'!$B$5:$B$1204,$A204,'补仓对账'!$F$5:$F$1204,"异常待处理"))</x:f>
      </x:c>
      <x:c r="J204" s="72" t="str">
        <x:f>IF(A204="","",SUM(D204:I204))</x:f>
      </x:c>
      <x:c r="K204" s="72" t="str">
        <x:f>IF(A204="","",C204-J204)</x:f>
      </x:c>
      <x:c r="L204" s="72" t="str">
        <x:f>IF(A204="","",D204+E204)</x:f>
      </x:c>
      <x:c r="M204" s="72" t="str">
        <x:f>IF(A204="","",F204+G204+H204+I204)</x:f>
      </x:c>
      <x:c r="N204" s="64" t="str">
        <x:f>IF(A204="","",IF(AND(B204=C204,K204=0),IF(M204=0,"最终库存已闭环","流向对平，仍有待办"),"检查"))</x:f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22" hidden="0" customWidth="1"/>
    <x:col min="4" max="4" width="3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14" hidden="0" customWidth="1"/>
    <x:col min="11" max="11" width="28" hidden="0" customWidth="1"/>
  </x:cols>
  <x:sheetData>
    <x:row r="1" ht="30" customHeight="1">
      <x:c r="A1" s="4" t="str">
        <x:v>Steam购买支出</x:v>
      </x:c>
      <x:c r="B1" s="4" t="str">
        <x:v>Steam购买支出</x:v>
      </x:c>
      <x:c r="C1" s="4" t="str">
        <x:v>Steam购买支出</x:v>
      </x:c>
      <x:c r="D1" s="4" t="str">
        <x:v>Steam购买支出</x:v>
      </x:c>
      <x:c r="E1" s="4" t="str">
        <x:v>Steam购买支出</x:v>
      </x:c>
      <x:c r="F1" s="4" t="str">
        <x:v>Steam购买支出</x:v>
      </x:c>
      <x:c r="G1" s="4" t="str">
        <x:v>Steam购买支出</x:v>
      </x:c>
      <x:c r="H1" s="4" t="str">
        <x:v>Steam购买支出</x:v>
      </x:c>
      <x:c r="I1" s="4" t="str">
        <x:v>Steam购买支出</x:v>
      </x:c>
      <x:c r="J1" s="4" t="str">
        <x:v>Steam购买支出</x:v>
      </x:c>
      <x:c r="K1" s="4" t="str">
        <x:v>Steam购买支出</x:v>
      </x:c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30" customHeight="1">
      <x:c r="A2" s="8" t="str">
        <x:v>用于钱包余额和真实价值滚动。每笔记录实际 Steam 支出及该笔使用的余额折扣；不要使用折扣后成本判断钱包余额。</x:v>
      </x:c>
      <x:c r="B2" s="8" t="str">
        <x:v>用于钱包余额和真实价值滚动。每笔记录实际 Steam 支出及该笔使用的余额折扣；不要使用折扣后成本判断钱包余额。</x:v>
      </x:c>
      <x:c r="C2" s="8" t="str">
        <x:v>用于钱包余额和真实价值滚动。每笔记录实际 Steam 支出及该笔使用的余额折扣；不要使用折扣后成本判断钱包余额。</x:v>
      </x:c>
      <x:c r="D2" s="8" t="str">
        <x:v>用于钱包余额和真实价值滚动。每笔记录实际 Steam 支出及该笔使用的余额折扣；不要使用折扣后成本判断钱包余额。</x:v>
      </x:c>
      <x:c r="E2" s="8" t="str">
        <x:v>用于钱包余额和真实价值滚动。每笔记录实际 Steam 支出及该笔使用的余额折扣；不要使用折扣后成本判断钱包余额。</x:v>
      </x:c>
      <x:c r="F2" s="8" t="str">
        <x:v>用于钱包余额和真实价值滚动。每笔记录实际 Steam 支出及该笔使用的余额折扣；不要使用折扣后成本判断钱包余额。</x:v>
      </x:c>
      <x:c r="G2" s="8" t="str">
        <x:v>用于钱包余额和真实价值滚动。每笔记录实际 Steam 支出及该笔使用的余额折扣；不要使用折扣后成本判断钱包余额。</x:v>
      </x:c>
      <x:c r="H2" s="8" t="str">
        <x:v>用于钱包余额和真实价值滚动。每笔记录实际 Steam 支出及该笔使用的余额折扣；不要使用折扣后成本判断钱包余额。</x:v>
      </x:c>
      <x:c r="I2" s="8" t="str">
        <x:v>用于钱包余额和真实价值滚动。每笔记录实际 Steam 支出及该笔使用的余额折扣；不要使用折扣后成本判断钱包余额。</x:v>
      </x:c>
      <x:c r="J2" s="8" t="str">
        <x:v>用于钱包余额和真实价值滚动。每笔记录实际 Steam 支出及该笔使用的余额折扣；不要使用折扣后成本判断钱包余额。</x:v>
      </x:c>
      <x:c r="K2" s="8" t="str">
        <x:v>用于钱包余额和真实价值滚动。每笔记录实际 Steam 支出及该笔使用的余额折扣；不要使用折扣后成本判断钱包余额。</x:v>
      </x:c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3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30" customHeight="1">
      <x:c r="A4" s="26" t="str">
        <x:v>购买时间</x:v>
      </x:c>
      <x:c r="B4" s="27" t="str">
        <x:v>Steam账号</x:v>
      </x:c>
      <x:c r="C4" s="27" t="str">
        <x:v>tradeNo/流水ID</x:v>
      </x:c>
      <x:c r="D4" s="27" t="str">
        <x:v>物品</x:v>
      </x:c>
      <x:c r="E4" s="27" t="str">
        <x:v>Steam实际支出</x:v>
      </x:c>
      <x:c r="F4" s="27" t="str">
        <x:v>该笔余额折扣</x:v>
      </x:c>
      <x:c r="G4" s="27" t="str">
        <x:v>真实成本移除</x:v>
      </x:c>
      <x:c r="H4" s="27" t="str">
        <x:v>业务来源</x:v>
      </x:c>
      <x:c r="I4" s="27" t="str">
        <x:v>官方订单/listingId</x:v>
      </x:c>
      <x:c r="J4" s="27" t="str">
        <x:v>证据状态</x:v>
      </x:c>
      <x:c r="K4" s="28" t="str">
        <x:v>备注</x:v>
      </x:c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>
      <x:c r="A5" s="91"/>
      <x:c r="B5" s="90"/>
      <x:c r="C5" s="90"/>
      <x:c r="D5" s="90"/>
      <x:c r="E5" s="92"/>
      <x:c r="F5" s="95"/>
      <x:c r="G5" s="86" t="n">
        <x:f>IF(A5="",0,E5*F5)</x:f>
        <x:v>0</x:v>
      </x:c>
      <x:c r="H5" s="90"/>
      <x:c r="I5" s="90"/>
      <x:c r="J5" s="90"/>
      <x:c r="K5" s="90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>
      <x:c r="A6" s="91"/>
      <x:c r="B6" s="90"/>
      <x:c r="C6" s="90"/>
      <x:c r="D6" s="90"/>
      <x:c r="E6" s="92"/>
      <x:c r="F6" s="95"/>
      <x:c r="G6" s="86" t="n">
        <x:f>IF(A6="",0,E6*F6)</x:f>
        <x:v>0</x:v>
      </x:c>
      <x:c r="H6" s="90"/>
      <x:c r="I6" s="90"/>
      <x:c r="J6" s="90"/>
      <x:c r="K6" s="90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>
      <x:c r="A7" s="91"/>
      <x:c r="B7" s="90"/>
      <x:c r="C7" s="90"/>
      <x:c r="D7" s="90"/>
      <x:c r="E7" s="92"/>
      <x:c r="F7" s="95"/>
      <x:c r="G7" s="86" t="n">
        <x:f>IF(A7="",0,E7*F7)</x:f>
        <x:v>0</x:v>
      </x:c>
      <x:c r="H7" s="90"/>
      <x:c r="I7" s="90"/>
      <x:c r="J7" s="90"/>
      <x:c r="K7" s="90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>
      <x:c r="A8" s="91"/>
      <x:c r="B8" s="90"/>
      <x:c r="C8" s="90"/>
      <x:c r="D8" s="90"/>
      <x:c r="E8" s="92"/>
      <x:c r="F8" s="95"/>
      <x:c r="G8" s="86" t="n">
        <x:f>IF(A8="",0,E8*F8)</x:f>
        <x:v>0</x:v>
      </x:c>
      <x:c r="H8" s="90"/>
      <x:c r="I8" s="90"/>
      <x:c r="J8" s="90"/>
      <x:c r="K8" s="90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>
      <x:c r="A9" s="91"/>
      <x:c r="B9" s="90"/>
      <x:c r="C9" s="90"/>
      <x:c r="D9" s="90"/>
      <x:c r="E9" s="92"/>
      <x:c r="F9" s="95"/>
      <x:c r="G9" s="86" t="n">
        <x:f>IF(A9="",0,E9*F9)</x:f>
        <x:v>0</x:v>
      </x:c>
      <x:c r="H9" s="90"/>
      <x:c r="I9" s="90"/>
      <x:c r="J9" s="90"/>
      <x:c r="K9" s="90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>
      <x:c r="A10" s="91"/>
      <x:c r="B10" s="90"/>
      <x:c r="C10" s="90"/>
      <x:c r="D10" s="90"/>
      <x:c r="E10" s="92"/>
      <x:c r="F10" s="95"/>
      <x:c r="G10" s="86" t="n">
        <x:f>IF(A10="",0,E10*F10)</x:f>
        <x:v>0</x:v>
      </x:c>
      <x:c r="H10" s="90"/>
      <x:c r="I10" s="90"/>
      <x:c r="J10" s="90"/>
      <x:c r="K10" s="90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>
      <x:c r="A11" s="91"/>
      <x:c r="B11" s="90"/>
      <x:c r="C11" s="90"/>
      <x:c r="D11" s="90"/>
      <x:c r="E11" s="92"/>
      <x:c r="F11" s="95"/>
      <x:c r="G11" s="86" t="n">
        <x:f>IF(A11="",0,E11*F11)</x:f>
        <x:v>0</x:v>
      </x:c>
      <x:c r="H11" s="90"/>
      <x:c r="I11" s="90"/>
      <x:c r="J11" s="90"/>
      <x:c r="K11" s="90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>
      <x:c r="A12" s="91"/>
      <x:c r="B12" s="90"/>
      <x:c r="C12" s="90"/>
      <x:c r="D12" s="90"/>
      <x:c r="E12" s="92"/>
      <x:c r="F12" s="95"/>
      <x:c r="G12" s="86" t="n">
        <x:f>IF(A12="",0,E12*F12)</x:f>
        <x:v>0</x:v>
      </x:c>
      <x:c r="H12" s="90"/>
      <x:c r="I12" s="90"/>
      <x:c r="J12" s="90"/>
      <x:c r="K12" s="90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>
      <x:c r="A13" s="91"/>
      <x:c r="B13" s="90"/>
      <x:c r="C13" s="90"/>
      <x:c r="D13" s="90"/>
      <x:c r="E13" s="92"/>
      <x:c r="F13" s="95"/>
      <x:c r="G13" s="86" t="n">
        <x:f>IF(A13="",0,E13*F13)</x:f>
        <x:v>0</x:v>
      </x:c>
      <x:c r="H13" s="90"/>
      <x:c r="I13" s="90"/>
      <x:c r="J13" s="90"/>
      <x:c r="K13" s="90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>
      <x:c r="A14" s="91"/>
      <x:c r="B14" s="90"/>
      <x:c r="C14" s="90"/>
      <x:c r="D14" s="90"/>
      <x:c r="E14" s="92"/>
      <x:c r="F14" s="95"/>
      <x:c r="G14" s="86" t="n">
        <x:f>IF(A14="",0,E14*F14)</x:f>
        <x:v>0</x:v>
      </x:c>
      <x:c r="H14" s="90"/>
      <x:c r="I14" s="90"/>
      <x:c r="J14" s="90"/>
      <x:c r="K14" s="90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>
      <x:c r="A15" s="91"/>
      <x:c r="B15" s="90"/>
      <x:c r="C15" s="90"/>
      <x:c r="D15" s="90"/>
      <x:c r="E15" s="92"/>
      <x:c r="F15" s="95"/>
      <x:c r="G15" s="86" t="n">
        <x:f>IF(A15="",0,E15*F15)</x:f>
        <x:v>0</x:v>
      </x:c>
      <x:c r="H15" s="90"/>
      <x:c r="I15" s="90"/>
      <x:c r="J15" s="90"/>
      <x:c r="K15" s="90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>
      <x:c r="A16" s="91"/>
      <x:c r="B16" s="90"/>
      <x:c r="C16" s="90"/>
      <x:c r="D16" s="90"/>
      <x:c r="E16" s="92"/>
      <x:c r="F16" s="95"/>
      <x:c r="G16" s="86" t="n">
        <x:f>IF(A16="",0,E16*F16)</x:f>
        <x:v>0</x:v>
      </x:c>
      <x:c r="H16" s="90"/>
      <x:c r="I16" s="90"/>
      <x:c r="J16" s="90"/>
      <x:c r="K16" s="90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>
      <x:c r="A17" s="91"/>
      <x:c r="B17" s="90"/>
      <x:c r="C17" s="90"/>
      <x:c r="D17" s="90"/>
      <x:c r="E17" s="92"/>
      <x:c r="F17" s="95"/>
      <x:c r="G17" s="86" t="n">
        <x:f>IF(A17="",0,E17*F17)</x:f>
        <x:v>0</x:v>
      </x:c>
      <x:c r="H17" s="90"/>
      <x:c r="I17" s="90"/>
      <x:c r="J17" s="90"/>
      <x:c r="K17" s="90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>
      <x:c r="A18" s="91"/>
      <x:c r="B18" s="90"/>
      <x:c r="C18" s="90"/>
      <x:c r="D18" s="90"/>
      <x:c r="E18" s="92"/>
      <x:c r="F18" s="95"/>
      <x:c r="G18" s="86" t="n">
        <x:f>IF(A18="",0,E18*F18)</x:f>
        <x:v>0</x:v>
      </x:c>
      <x:c r="H18" s="90"/>
      <x:c r="I18" s="90"/>
      <x:c r="J18" s="90"/>
      <x:c r="K18" s="90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>
      <x:c r="A19" s="91"/>
      <x:c r="B19" s="90"/>
      <x:c r="C19" s="90"/>
      <x:c r="D19" s="90"/>
      <x:c r="E19" s="92"/>
      <x:c r="F19" s="95"/>
      <x:c r="G19" s="86" t="n">
        <x:f>IF(A19="",0,E19*F19)</x:f>
        <x:v>0</x:v>
      </x:c>
      <x:c r="H19" s="90"/>
      <x:c r="I19" s="90"/>
      <x:c r="J19" s="90"/>
      <x:c r="K19" s="90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>
      <x:c r="A20" s="91"/>
      <x:c r="B20" s="90"/>
      <x:c r="C20" s="90"/>
      <x:c r="D20" s="90"/>
      <x:c r="E20" s="92"/>
      <x:c r="F20" s="95"/>
      <x:c r="G20" s="86" t="n">
        <x:f>IF(A20="",0,E20*F20)</x:f>
        <x:v>0</x:v>
      </x:c>
      <x:c r="H20" s="90"/>
      <x:c r="I20" s="90"/>
      <x:c r="J20" s="90"/>
      <x:c r="K20" s="90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>
      <x:c r="A21" s="65"/>
      <x:c r="B21" s="12"/>
      <x:c r="C21" s="12"/>
      <x:c r="D21" s="12"/>
      <x:c r="E21" s="67"/>
      <x:c r="F21" s="74"/>
      <x:c r="G21" s="29" t="n">
        <x:f>IF(A21="",0,E21*F21)</x:f>
        <x:v>0</x:v>
      </x:c>
      <x:c r="H21" s="12"/>
      <x:c r="I21" s="12"/>
      <x:c r="J21" s="12"/>
      <x:c r="K21" s="12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>
      <x:c r="A22" s="65"/>
      <x:c r="B22" s="12"/>
      <x:c r="C22" s="12"/>
      <x:c r="D22" s="12"/>
      <x:c r="E22" s="67"/>
      <x:c r="F22" s="74"/>
      <x:c r="G22" s="29" t="n">
        <x:f>IF(A22="",0,E22*F22)</x:f>
        <x:v>0</x:v>
      </x:c>
      <x:c r="H22" s="12"/>
      <x:c r="I22" s="12"/>
      <x:c r="J22" s="12"/>
      <x:c r="K22" s="12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>
      <x:c r="A23" s="65"/>
      <x:c r="B23" s="12"/>
      <x:c r="C23" s="12"/>
      <x:c r="D23" s="12"/>
      <x:c r="E23" s="67"/>
      <x:c r="F23" s="74"/>
      <x:c r="G23" s="29" t="n">
        <x:f>IF(A23="",0,E23*F23)</x:f>
        <x:v>0</x:v>
      </x:c>
      <x:c r="H23" s="12"/>
      <x:c r="I23" s="12"/>
      <x:c r="J23" s="12"/>
      <x:c r="K23" s="12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>
      <x:c r="A24" s="65"/>
      <x:c r="B24" s="12"/>
      <x:c r="C24" s="12"/>
      <x:c r="D24" s="12"/>
      <x:c r="E24" s="67"/>
      <x:c r="F24" s="74"/>
      <x:c r="G24" s="29" t="n">
        <x:f>IF(A24="",0,E24*F24)</x:f>
        <x:v>0</x:v>
      </x:c>
      <x:c r="H24" s="12"/>
      <x:c r="I24" s="12"/>
      <x:c r="J24" s="12"/>
      <x:c r="K24" s="12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>
      <x:c r="A25" s="65"/>
      <x:c r="B25" s="12"/>
      <x:c r="C25" s="12"/>
      <x:c r="D25" s="12"/>
      <x:c r="E25" s="67"/>
      <x:c r="F25" s="74"/>
      <x:c r="G25" s="29" t="n">
        <x:f>IF(A25="",0,E25*F25)</x:f>
        <x:v>0</x:v>
      </x:c>
      <x:c r="H25" s="12"/>
      <x:c r="I25" s="12"/>
      <x:c r="J25" s="12"/>
      <x:c r="K25" s="12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>
      <x:c r="A26" s="65"/>
      <x:c r="B26" s="12"/>
      <x:c r="C26" s="12"/>
      <x:c r="D26" s="12"/>
      <x:c r="E26" s="67"/>
      <x:c r="F26" s="74"/>
      <x:c r="G26" s="29" t="n">
        <x:f>IF(A26="",0,E26*F26)</x:f>
        <x:v>0</x:v>
      </x:c>
      <x:c r="H26" s="12"/>
      <x:c r="I26" s="12"/>
      <x:c r="J26" s="12"/>
      <x:c r="K26" s="12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>
      <x:c r="A27" s="65"/>
      <x:c r="B27" s="12"/>
      <x:c r="C27" s="12"/>
      <x:c r="D27" s="12"/>
      <x:c r="E27" s="67"/>
      <x:c r="F27" s="74"/>
      <x:c r="G27" s="29" t="n">
        <x:f>IF(A27="",0,E27*F27)</x:f>
        <x:v>0</x:v>
      </x:c>
      <x:c r="H27" s="12"/>
      <x:c r="I27" s="12"/>
      <x:c r="J27" s="12"/>
      <x:c r="K27" s="12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>
      <x:c r="A28" s="65"/>
      <x:c r="B28" s="12"/>
      <x:c r="C28" s="12"/>
      <x:c r="D28" s="12"/>
      <x:c r="E28" s="67"/>
      <x:c r="F28" s="74"/>
      <x:c r="G28" s="29" t="n">
        <x:f>IF(A28="",0,E28*F28)</x:f>
        <x:v>0</x:v>
      </x:c>
      <x:c r="H28" s="12"/>
      <x:c r="I28" s="12"/>
      <x:c r="J28" s="12"/>
      <x:c r="K28" s="12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>
      <x:c r="A29" s="65"/>
      <x:c r="B29" s="12"/>
      <x:c r="C29" s="12"/>
      <x:c r="D29" s="12"/>
      <x:c r="E29" s="67"/>
      <x:c r="F29" s="74"/>
      <x:c r="G29" s="29" t="n">
        <x:f>IF(A29="",0,E29*F29)</x:f>
        <x:v>0</x:v>
      </x:c>
      <x:c r="H29" s="12"/>
      <x:c r="I29" s="12"/>
      <x:c r="J29" s="12"/>
      <x:c r="K29" s="12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>
      <x:c r="A30" s="65"/>
      <x:c r="B30" s="12"/>
      <x:c r="C30" s="12"/>
      <x:c r="D30" s="12"/>
      <x:c r="E30" s="67"/>
      <x:c r="F30" s="74"/>
      <x:c r="G30" s="29" t="n">
        <x:f>IF(A30="",0,E30*F30)</x:f>
        <x:v>0</x:v>
      </x:c>
      <x:c r="H30" s="12"/>
      <x:c r="I30" s="12"/>
      <x:c r="J30" s="12"/>
      <x:c r="K30" s="12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>
      <x:c r="A31" s="65"/>
      <x:c r="B31" s="12"/>
      <x:c r="C31" s="12"/>
      <x:c r="D31" s="12"/>
      <x:c r="E31" s="67"/>
      <x:c r="F31" s="74"/>
      <x:c r="G31" s="29" t="n">
        <x:f>IF(A31="",0,E31*F31)</x:f>
        <x:v>0</x:v>
      </x:c>
      <x:c r="H31" s="12"/>
      <x:c r="I31" s="12"/>
      <x:c r="J31" s="12"/>
      <x:c r="K31" s="12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>
      <x:c r="A32" s="65"/>
      <x:c r="B32" s="12"/>
      <x:c r="C32" s="12"/>
      <x:c r="D32" s="12"/>
      <x:c r="E32" s="67"/>
      <x:c r="F32" s="74"/>
      <x:c r="G32" s="29" t="n">
        <x:f>IF(A32="",0,E32*F32)</x:f>
        <x:v>0</x:v>
      </x:c>
      <x:c r="H32" s="12"/>
      <x:c r="I32" s="12"/>
      <x:c r="J32" s="12"/>
      <x:c r="K32" s="12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>
      <x:c r="A33" s="65"/>
      <x:c r="B33" s="12"/>
      <x:c r="C33" s="12"/>
      <x:c r="D33" s="12"/>
      <x:c r="E33" s="67"/>
      <x:c r="F33" s="74"/>
      <x:c r="G33" s="29" t="n">
        <x:f>IF(A33="",0,E33*F33)</x:f>
        <x:v>0</x:v>
      </x:c>
      <x:c r="H33" s="12"/>
      <x:c r="I33" s="12"/>
      <x:c r="J33" s="12"/>
      <x:c r="K33" s="12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>
      <x:c r="A34" s="65"/>
      <x:c r="B34" s="12"/>
      <x:c r="C34" s="12"/>
      <x:c r="D34" s="12"/>
      <x:c r="E34" s="67"/>
      <x:c r="F34" s="74"/>
      <x:c r="G34" s="29" t="n">
        <x:f>IF(A34="",0,E34*F34)</x:f>
        <x:v>0</x:v>
      </x:c>
      <x:c r="H34" s="12"/>
      <x:c r="I34" s="12"/>
      <x:c r="J34" s="12"/>
      <x:c r="K34" s="12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>
      <x:c r="A35" s="65"/>
      <x:c r="B35" s="12"/>
      <x:c r="C35" s="12"/>
      <x:c r="D35" s="12"/>
      <x:c r="E35" s="67"/>
      <x:c r="F35" s="74"/>
      <x:c r="G35" s="29" t="n">
        <x:f>IF(A35="",0,E35*F35)</x:f>
        <x:v>0</x:v>
      </x:c>
      <x:c r="H35" s="12"/>
      <x:c r="I35" s="12"/>
      <x:c r="J35" s="12"/>
      <x:c r="K35" s="12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>
      <x:c r="A36" s="65"/>
      <x:c r="B36" s="12"/>
      <x:c r="C36" s="12"/>
      <x:c r="D36" s="12"/>
      <x:c r="E36" s="67"/>
      <x:c r="F36" s="74"/>
      <x:c r="G36" s="29" t="n">
        <x:f>IF(A36="",0,E36*F36)</x:f>
        <x:v>0</x:v>
      </x:c>
      <x:c r="H36" s="12"/>
      <x:c r="I36" s="12"/>
      <x:c r="J36" s="12"/>
      <x:c r="K36" s="12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>
      <x:c r="A37" s="65"/>
      <x:c r="B37" s="12"/>
      <x:c r="C37" s="12"/>
      <x:c r="D37" s="12"/>
      <x:c r="E37" s="67"/>
      <x:c r="F37" s="74"/>
      <x:c r="G37" s="29" t="n">
        <x:f>IF(A37="",0,E37*F37)</x:f>
        <x:v>0</x:v>
      </x:c>
      <x:c r="H37" s="12"/>
      <x:c r="I37" s="12"/>
      <x:c r="J37" s="12"/>
      <x:c r="K37" s="12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>
      <x:c r="A38" s="65"/>
      <x:c r="B38" s="12"/>
      <x:c r="C38" s="12"/>
      <x:c r="D38" s="12"/>
      <x:c r="E38" s="67"/>
      <x:c r="F38" s="74"/>
      <x:c r="G38" s="29" t="n">
        <x:f>IF(A38="",0,E38*F38)</x:f>
        <x:v>0</x:v>
      </x:c>
      <x:c r="H38" s="12"/>
      <x:c r="I38" s="12"/>
      <x:c r="J38" s="12"/>
      <x:c r="K38" s="12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>
      <x:c r="A39" s="65"/>
      <x:c r="B39" s="12"/>
      <x:c r="C39" s="12"/>
      <x:c r="D39" s="12"/>
      <x:c r="E39" s="67"/>
      <x:c r="F39" s="74"/>
      <x:c r="G39" s="29" t="n">
        <x:f>IF(A39="",0,E39*F39)</x:f>
        <x:v>0</x:v>
      </x:c>
      <x:c r="H39" s="12"/>
      <x:c r="I39" s="12"/>
      <x:c r="J39" s="12"/>
      <x:c r="K39" s="12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>
      <x:c r="A40" s="65"/>
      <x:c r="B40" s="12"/>
      <x:c r="C40" s="12"/>
      <x:c r="D40" s="12"/>
      <x:c r="E40" s="67"/>
      <x:c r="F40" s="74"/>
      <x:c r="G40" s="29" t="n">
        <x:f>IF(A40="",0,E40*F40)</x:f>
        <x:v>0</x:v>
      </x:c>
      <x:c r="H40" s="12"/>
      <x:c r="I40" s="12"/>
      <x:c r="J40" s="12"/>
      <x:c r="K40" s="12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>
      <x:c r="A41" s="66"/>
      <x:c r="B41" s="62"/>
      <x:c r="C41" s="62"/>
      <x:c r="D41" s="62"/>
      <x:c r="E41" s="68"/>
      <x:c r="F41" s="75"/>
      <x:c r="G41" s="71" t="n">
        <x:f>IF(A41="",0,E41*F41)</x:f>
        <x:v>0</x:v>
      </x:c>
      <x:c r="H41" s="62"/>
      <x:c r="I41" s="62"/>
      <x:c r="J41" s="62"/>
      <x:c r="K41" s="62"/>
    </x:row>
    <x:row r="42">
      <x:c r="A42" s="66"/>
      <x:c r="B42" s="62"/>
      <x:c r="C42" s="62"/>
      <x:c r="D42" s="62"/>
      <x:c r="E42" s="68"/>
      <x:c r="F42" s="75"/>
      <x:c r="G42" s="71" t="n">
        <x:f>IF(A42="",0,E42*F42)</x:f>
        <x:v>0</x:v>
      </x:c>
      <x:c r="H42" s="62"/>
      <x:c r="I42" s="62"/>
      <x:c r="J42" s="62"/>
      <x:c r="K42" s="62"/>
    </x:row>
    <x:row r="43">
      <x:c r="A43" s="66"/>
      <x:c r="B43" s="62"/>
      <x:c r="C43" s="62"/>
      <x:c r="D43" s="62"/>
      <x:c r="E43" s="68"/>
      <x:c r="F43" s="75"/>
      <x:c r="G43" s="71" t="n">
        <x:f>IF(A43="",0,E43*F43)</x:f>
        <x:v>0</x:v>
      </x:c>
      <x:c r="H43" s="62"/>
      <x:c r="I43" s="62"/>
      <x:c r="J43" s="62"/>
      <x:c r="K43" s="62"/>
    </x:row>
    <x:row r="44">
      <x:c r="A44" s="66"/>
      <x:c r="B44" s="62"/>
      <x:c r="C44" s="62"/>
      <x:c r="D44" s="62"/>
      <x:c r="E44" s="68"/>
      <x:c r="F44" s="75"/>
      <x:c r="G44" s="71" t="n">
        <x:f>IF(A44="",0,E44*F44)</x:f>
        <x:v>0</x:v>
      </x:c>
      <x:c r="H44" s="62"/>
      <x:c r="I44" s="62"/>
      <x:c r="J44" s="62"/>
      <x:c r="K44" s="62"/>
    </x:row>
    <x:row r="45">
      <x:c r="A45" s="66"/>
      <x:c r="B45" s="62"/>
      <x:c r="C45" s="62"/>
      <x:c r="D45" s="62"/>
      <x:c r="E45" s="68"/>
      <x:c r="F45" s="75"/>
      <x:c r="G45" s="71" t="n">
        <x:f>IF(A45="",0,E45*F45)</x:f>
        <x:v>0</x:v>
      </x:c>
      <x:c r="H45" s="62"/>
      <x:c r="I45" s="62"/>
      <x:c r="J45" s="62"/>
      <x:c r="K45" s="62"/>
    </x:row>
    <x:row r="46">
      <x:c r="A46" s="66"/>
      <x:c r="B46" s="62"/>
      <x:c r="C46" s="62"/>
      <x:c r="D46" s="62"/>
      <x:c r="E46" s="68"/>
      <x:c r="F46" s="75"/>
      <x:c r="G46" s="71" t="n">
        <x:f>IF(A46="",0,E46*F46)</x:f>
        <x:v>0</x:v>
      </x:c>
      <x:c r="H46" s="62"/>
      <x:c r="I46" s="62"/>
      <x:c r="J46" s="62"/>
      <x:c r="K46" s="62"/>
    </x:row>
    <x:row r="47">
      <x:c r="A47" s="66"/>
      <x:c r="B47" s="62"/>
      <x:c r="C47" s="62"/>
      <x:c r="D47" s="62"/>
      <x:c r="E47" s="68"/>
      <x:c r="F47" s="75"/>
      <x:c r="G47" s="71" t="n">
        <x:f>IF(A47="",0,E47*F47)</x:f>
        <x:v>0</x:v>
      </x:c>
      <x:c r="H47" s="62"/>
      <x:c r="I47" s="62"/>
      <x:c r="J47" s="62"/>
      <x:c r="K47" s="62"/>
    </x:row>
    <x:row r="48">
      <x:c r="A48" s="66"/>
      <x:c r="B48" s="62"/>
      <x:c r="C48" s="62"/>
      <x:c r="D48" s="62"/>
      <x:c r="E48" s="68"/>
      <x:c r="F48" s="75"/>
      <x:c r="G48" s="71" t="n">
        <x:f>IF(A48="",0,E48*F48)</x:f>
        <x:v>0</x:v>
      </x:c>
      <x:c r="H48" s="62"/>
      <x:c r="I48" s="62"/>
      <x:c r="J48" s="62"/>
      <x:c r="K48" s="62"/>
    </x:row>
    <x:row r="49">
      <x:c r="A49" s="66"/>
      <x:c r="B49" s="62"/>
      <x:c r="C49" s="62"/>
      <x:c r="D49" s="62"/>
      <x:c r="E49" s="68"/>
      <x:c r="F49" s="75"/>
      <x:c r="G49" s="71" t="n">
        <x:f>IF(A49="",0,E49*F49)</x:f>
        <x:v>0</x:v>
      </x:c>
      <x:c r="H49" s="62"/>
      <x:c r="I49" s="62"/>
      <x:c r="J49" s="62"/>
      <x:c r="K49" s="62"/>
    </x:row>
    <x:row r="50">
      <x:c r="A50" s="66"/>
      <x:c r="B50" s="62"/>
      <x:c r="C50" s="62"/>
      <x:c r="D50" s="62"/>
      <x:c r="E50" s="68"/>
      <x:c r="F50" s="75"/>
      <x:c r="G50" s="71" t="n">
        <x:f>IF(A50="",0,E50*F50)</x:f>
        <x:v>0</x:v>
      </x:c>
      <x:c r="H50" s="62"/>
      <x:c r="I50" s="62"/>
      <x:c r="J50" s="62"/>
      <x:c r="K50" s="62"/>
    </x:row>
    <x:row r="51">
      <x:c r="A51" s="66"/>
      <x:c r="B51" s="62"/>
      <x:c r="C51" s="62"/>
      <x:c r="D51" s="62"/>
      <x:c r="E51" s="68"/>
      <x:c r="F51" s="75"/>
      <x:c r="G51" s="71" t="n">
        <x:f>IF(A51="",0,E51*F51)</x:f>
        <x:v>0</x:v>
      </x:c>
      <x:c r="H51" s="62"/>
      <x:c r="I51" s="62"/>
      <x:c r="J51" s="62"/>
      <x:c r="K51" s="62"/>
    </x:row>
    <x:row r="52">
      <x:c r="A52" s="66"/>
      <x:c r="B52" s="62"/>
      <x:c r="C52" s="62"/>
      <x:c r="D52" s="62"/>
      <x:c r="E52" s="68"/>
      <x:c r="F52" s="75"/>
      <x:c r="G52" s="71" t="n">
        <x:f>IF(A52="",0,E52*F52)</x:f>
        <x:v>0</x:v>
      </x:c>
      <x:c r="H52" s="62"/>
      <x:c r="I52" s="62"/>
      <x:c r="J52" s="62"/>
      <x:c r="K52" s="62"/>
    </x:row>
    <x:row r="53">
      <x:c r="A53" s="66"/>
      <x:c r="B53" s="62"/>
      <x:c r="C53" s="62"/>
      <x:c r="D53" s="62"/>
      <x:c r="E53" s="68"/>
      <x:c r="F53" s="75"/>
      <x:c r="G53" s="71" t="n">
        <x:f>IF(A53="",0,E53*F53)</x:f>
        <x:v>0</x:v>
      </x:c>
      <x:c r="H53" s="62"/>
      <x:c r="I53" s="62"/>
      <x:c r="J53" s="62"/>
      <x:c r="K53" s="62"/>
    </x:row>
    <x:row r="54">
      <x:c r="A54" s="66"/>
      <x:c r="B54" s="62"/>
      <x:c r="C54" s="62"/>
      <x:c r="D54" s="62"/>
      <x:c r="E54" s="68"/>
      <x:c r="F54" s="75"/>
      <x:c r="G54" s="71" t="n">
        <x:f>IF(A54="",0,E54*F54)</x:f>
        <x:v>0</x:v>
      </x:c>
      <x:c r="H54" s="62"/>
      <x:c r="I54" s="62"/>
      <x:c r="J54" s="62"/>
      <x:c r="K54" s="62"/>
    </x:row>
    <x:row r="55">
      <x:c r="A55" s="66"/>
      <x:c r="B55" s="62"/>
      <x:c r="C55" s="62"/>
      <x:c r="D55" s="62"/>
      <x:c r="E55" s="68"/>
      <x:c r="F55" s="75"/>
      <x:c r="G55" s="71" t="n">
        <x:f>IF(A55="",0,E55*F55)</x:f>
        <x:v>0</x:v>
      </x:c>
      <x:c r="H55" s="62"/>
      <x:c r="I55" s="62"/>
      <x:c r="J55" s="62"/>
      <x:c r="K55" s="62"/>
    </x:row>
    <x:row r="56">
      <x:c r="A56" s="66"/>
      <x:c r="B56" s="62"/>
      <x:c r="C56" s="62"/>
      <x:c r="D56" s="62"/>
      <x:c r="E56" s="68"/>
      <x:c r="F56" s="75"/>
      <x:c r="G56" s="71" t="n">
        <x:f>IF(A56="",0,E56*F56)</x:f>
        <x:v>0</x:v>
      </x:c>
      <x:c r="H56" s="62"/>
      <x:c r="I56" s="62"/>
      <x:c r="J56" s="62"/>
      <x:c r="K56" s="62"/>
    </x:row>
    <x:row r="57">
      <x:c r="A57" s="66"/>
      <x:c r="B57" s="62"/>
      <x:c r="C57" s="62"/>
      <x:c r="D57" s="62"/>
      <x:c r="E57" s="68"/>
      <x:c r="F57" s="75"/>
      <x:c r="G57" s="71" t="n">
        <x:f>IF(A57="",0,E57*F57)</x:f>
        <x:v>0</x:v>
      </x:c>
      <x:c r="H57" s="62"/>
      <x:c r="I57" s="62"/>
      <x:c r="J57" s="62"/>
      <x:c r="K57" s="62"/>
    </x:row>
    <x:row r="58">
      <x:c r="A58" s="66"/>
      <x:c r="B58" s="62"/>
      <x:c r="C58" s="62"/>
      <x:c r="D58" s="62"/>
      <x:c r="E58" s="68"/>
      <x:c r="F58" s="75"/>
      <x:c r="G58" s="71" t="n">
        <x:f>IF(A58="",0,E58*F58)</x:f>
        <x:v>0</x:v>
      </x:c>
      <x:c r="H58" s="62"/>
      <x:c r="I58" s="62"/>
      <x:c r="J58" s="62"/>
      <x:c r="K58" s="62"/>
    </x:row>
    <x:row r="59">
      <x:c r="A59" s="66"/>
      <x:c r="B59" s="62"/>
      <x:c r="C59" s="62"/>
      <x:c r="D59" s="62"/>
      <x:c r="E59" s="68"/>
      <x:c r="F59" s="75"/>
      <x:c r="G59" s="71" t="n">
        <x:f>IF(A59="",0,E59*F59)</x:f>
        <x:v>0</x:v>
      </x:c>
      <x:c r="H59" s="62"/>
      <x:c r="I59" s="62"/>
      <x:c r="J59" s="62"/>
      <x:c r="K59" s="62"/>
    </x:row>
    <x:row r="60">
      <x:c r="A60" s="66"/>
      <x:c r="B60" s="62"/>
      <x:c r="C60" s="62"/>
      <x:c r="D60" s="62"/>
      <x:c r="E60" s="68"/>
      <x:c r="F60" s="75"/>
      <x:c r="G60" s="71" t="n">
        <x:f>IF(A60="",0,E60*F60)</x:f>
        <x:v>0</x:v>
      </x:c>
      <x:c r="H60" s="62"/>
      <x:c r="I60" s="62"/>
      <x:c r="J60" s="62"/>
      <x:c r="K60" s="62"/>
    </x:row>
    <x:row r="61">
      <x:c r="A61" s="66"/>
      <x:c r="B61" s="62"/>
      <x:c r="C61" s="62"/>
      <x:c r="D61" s="62"/>
      <x:c r="E61" s="68"/>
      <x:c r="F61" s="75"/>
      <x:c r="G61" s="71" t="n">
        <x:f>IF(A61="",0,E61*F61)</x:f>
        <x:v>0</x:v>
      </x:c>
      <x:c r="H61" s="62"/>
      <x:c r="I61" s="62"/>
      <x:c r="J61" s="62"/>
      <x:c r="K61" s="62"/>
    </x:row>
    <x:row r="62">
      <x:c r="A62" s="66"/>
      <x:c r="B62" s="62"/>
      <x:c r="C62" s="62"/>
      <x:c r="D62" s="62"/>
      <x:c r="E62" s="68"/>
      <x:c r="F62" s="75"/>
      <x:c r="G62" s="71" t="n">
        <x:f>IF(A62="",0,E62*F62)</x:f>
        <x:v>0</x:v>
      </x:c>
      <x:c r="H62" s="62"/>
      <x:c r="I62" s="62"/>
      <x:c r="J62" s="62"/>
      <x:c r="K62" s="62"/>
    </x:row>
    <x:row r="63">
      <x:c r="A63" s="66"/>
      <x:c r="B63" s="62"/>
      <x:c r="C63" s="62"/>
      <x:c r="D63" s="62"/>
      <x:c r="E63" s="68"/>
      <x:c r="F63" s="75"/>
      <x:c r="G63" s="71" t="n">
        <x:f>IF(A63="",0,E63*F63)</x:f>
        <x:v>0</x:v>
      </x:c>
      <x:c r="H63" s="62"/>
      <x:c r="I63" s="62"/>
      <x:c r="J63" s="62"/>
      <x:c r="K63" s="62"/>
    </x:row>
    <x:row r="64">
      <x:c r="A64" s="66"/>
      <x:c r="B64" s="62"/>
      <x:c r="C64" s="62"/>
      <x:c r="D64" s="62"/>
      <x:c r="E64" s="68"/>
      <x:c r="F64" s="75"/>
      <x:c r="G64" s="71" t="n">
        <x:f>IF(A64="",0,E64*F64)</x:f>
        <x:v>0</x:v>
      </x:c>
      <x:c r="H64" s="62"/>
      <x:c r="I64" s="62"/>
      <x:c r="J64" s="62"/>
      <x:c r="K64" s="62"/>
    </x:row>
    <x:row r="65">
      <x:c r="A65" s="66"/>
      <x:c r="B65" s="62"/>
      <x:c r="C65" s="62"/>
      <x:c r="D65" s="62"/>
      <x:c r="E65" s="68"/>
      <x:c r="F65" s="75"/>
      <x:c r="G65" s="71" t="n">
        <x:f>IF(A65="",0,E65*F65)</x:f>
        <x:v>0</x:v>
      </x:c>
      <x:c r="H65" s="62"/>
      <x:c r="I65" s="62"/>
      <x:c r="J65" s="62"/>
      <x:c r="K65" s="62"/>
    </x:row>
    <x:row r="66">
      <x:c r="A66" s="66"/>
      <x:c r="B66" s="62"/>
      <x:c r="C66" s="62"/>
      <x:c r="D66" s="62"/>
      <x:c r="E66" s="68"/>
      <x:c r="F66" s="75"/>
      <x:c r="G66" s="71" t="n">
        <x:f>IF(A66="",0,E66*F66)</x:f>
        <x:v>0</x:v>
      </x:c>
      <x:c r="H66" s="62"/>
      <x:c r="I66" s="62"/>
      <x:c r="J66" s="62"/>
      <x:c r="K66" s="62"/>
    </x:row>
    <x:row r="67">
      <x:c r="A67" s="66"/>
      <x:c r="B67" s="62"/>
      <x:c r="C67" s="62"/>
      <x:c r="D67" s="62"/>
      <x:c r="E67" s="68"/>
      <x:c r="F67" s="75"/>
      <x:c r="G67" s="71" t="n">
        <x:f>IF(A67="",0,E67*F67)</x:f>
        <x:v>0</x:v>
      </x:c>
      <x:c r="H67" s="62"/>
      <x:c r="I67" s="62"/>
      <x:c r="J67" s="62"/>
      <x:c r="K67" s="62"/>
    </x:row>
    <x:row r="68">
      <x:c r="A68" s="66"/>
      <x:c r="B68" s="62"/>
      <x:c r="C68" s="62"/>
      <x:c r="D68" s="62"/>
      <x:c r="E68" s="68"/>
      <x:c r="F68" s="75"/>
      <x:c r="G68" s="71" t="n">
        <x:f>IF(A68="",0,E68*F68)</x:f>
        <x:v>0</x:v>
      </x:c>
      <x:c r="H68" s="62"/>
      <x:c r="I68" s="62"/>
      <x:c r="J68" s="62"/>
      <x:c r="K68" s="62"/>
    </x:row>
    <x:row r="69">
      <x:c r="A69" s="66"/>
      <x:c r="B69" s="62"/>
      <x:c r="C69" s="62"/>
      <x:c r="D69" s="62"/>
      <x:c r="E69" s="68"/>
      <x:c r="F69" s="75"/>
      <x:c r="G69" s="71" t="n">
        <x:f>IF(A69="",0,E69*F69)</x:f>
        <x:v>0</x:v>
      </x:c>
      <x:c r="H69" s="62"/>
      <x:c r="I69" s="62"/>
      <x:c r="J69" s="62"/>
      <x:c r="K69" s="62"/>
    </x:row>
    <x:row r="70">
      <x:c r="A70" s="66"/>
      <x:c r="B70" s="62"/>
      <x:c r="C70" s="62"/>
      <x:c r="D70" s="62"/>
      <x:c r="E70" s="68"/>
      <x:c r="F70" s="75"/>
      <x:c r="G70" s="71" t="n">
        <x:f>IF(A70="",0,E70*F70)</x:f>
        <x:v>0</x:v>
      </x:c>
      <x:c r="H70" s="62"/>
      <x:c r="I70" s="62"/>
      <x:c r="J70" s="62"/>
      <x:c r="K70" s="62"/>
    </x:row>
    <x:row r="71">
      <x:c r="A71" s="66"/>
      <x:c r="B71" s="62"/>
      <x:c r="C71" s="62"/>
      <x:c r="D71" s="62"/>
      <x:c r="E71" s="68"/>
      <x:c r="F71" s="75"/>
      <x:c r="G71" s="71" t="n">
        <x:f>IF(A71="",0,E71*F71)</x:f>
        <x:v>0</x:v>
      </x:c>
      <x:c r="H71" s="62"/>
      <x:c r="I71" s="62"/>
      <x:c r="J71" s="62"/>
      <x:c r="K71" s="62"/>
    </x:row>
    <x:row r="72">
      <x:c r="A72" s="66"/>
      <x:c r="B72" s="62"/>
      <x:c r="C72" s="62"/>
      <x:c r="D72" s="62"/>
      <x:c r="E72" s="68"/>
      <x:c r="F72" s="75"/>
      <x:c r="G72" s="71" t="n">
        <x:f>IF(A72="",0,E72*F72)</x:f>
        <x:v>0</x:v>
      </x:c>
      <x:c r="H72" s="62"/>
      <x:c r="I72" s="62"/>
      <x:c r="J72" s="62"/>
      <x:c r="K72" s="62"/>
    </x:row>
    <x:row r="73">
      <x:c r="A73" s="66"/>
      <x:c r="B73" s="62"/>
      <x:c r="C73" s="62"/>
      <x:c r="D73" s="62"/>
      <x:c r="E73" s="68"/>
      <x:c r="F73" s="75"/>
      <x:c r="G73" s="71" t="n">
        <x:f>IF(A73="",0,E73*F73)</x:f>
        <x:v>0</x:v>
      </x:c>
      <x:c r="H73" s="62"/>
      <x:c r="I73" s="62"/>
      <x:c r="J73" s="62"/>
      <x:c r="K73" s="62"/>
    </x:row>
    <x:row r="74">
      <x:c r="A74" s="66"/>
      <x:c r="B74" s="62"/>
      <x:c r="C74" s="62"/>
      <x:c r="D74" s="62"/>
      <x:c r="E74" s="68"/>
      <x:c r="F74" s="75"/>
      <x:c r="G74" s="71" t="n">
        <x:f>IF(A74="",0,E74*F74)</x:f>
        <x:v>0</x:v>
      </x:c>
      <x:c r="H74" s="62"/>
      <x:c r="I74" s="62"/>
      <x:c r="J74" s="62"/>
      <x:c r="K74" s="62"/>
    </x:row>
    <x:row r="75">
      <x:c r="A75" s="66"/>
      <x:c r="B75" s="62"/>
      <x:c r="C75" s="62"/>
      <x:c r="D75" s="62"/>
      <x:c r="E75" s="68"/>
      <x:c r="F75" s="75"/>
      <x:c r="G75" s="71" t="n">
        <x:f>IF(A75="",0,E75*F75)</x:f>
        <x:v>0</x:v>
      </x:c>
      <x:c r="H75" s="62"/>
      <x:c r="I75" s="62"/>
      <x:c r="J75" s="62"/>
      <x:c r="K75" s="62"/>
    </x:row>
    <x:row r="76">
      <x:c r="A76" s="66"/>
      <x:c r="B76" s="62"/>
      <x:c r="C76" s="62"/>
      <x:c r="D76" s="62"/>
      <x:c r="E76" s="68"/>
      <x:c r="F76" s="75"/>
      <x:c r="G76" s="71" t="n">
        <x:f>IF(A76="",0,E76*F76)</x:f>
        <x:v>0</x:v>
      </x:c>
      <x:c r="H76" s="62"/>
      <x:c r="I76" s="62"/>
      <x:c r="J76" s="62"/>
      <x:c r="K76" s="62"/>
    </x:row>
    <x:row r="77">
      <x:c r="A77" s="66"/>
      <x:c r="B77" s="62"/>
      <x:c r="C77" s="62"/>
      <x:c r="D77" s="62"/>
      <x:c r="E77" s="68"/>
      <x:c r="F77" s="75"/>
      <x:c r="G77" s="71" t="n">
        <x:f>IF(A77="",0,E77*F77)</x:f>
        <x:v>0</x:v>
      </x:c>
      <x:c r="H77" s="62"/>
      <x:c r="I77" s="62"/>
      <x:c r="J77" s="62"/>
      <x:c r="K77" s="62"/>
    </x:row>
    <x:row r="78">
      <x:c r="A78" s="66"/>
      <x:c r="B78" s="62"/>
      <x:c r="C78" s="62"/>
      <x:c r="D78" s="62"/>
      <x:c r="E78" s="68"/>
      <x:c r="F78" s="75"/>
      <x:c r="G78" s="71" t="n">
        <x:f>IF(A78="",0,E78*F78)</x:f>
        <x:v>0</x:v>
      </x:c>
      <x:c r="H78" s="62"/>
      <x:c r="I78" s="62"/>
      <x:c r="J78" s="62"/>
      <x:c r="K78" s="62"/>
    </x:row>
    <x:row r="79">
      <x:c r="A79" s="66"/>
      <x:c r="B79" s="62"/>
      <x:c r="C79" s="62"/>
      <x:c r="D79" s="62"/>
      <x:c r="E79" s="68"/>
      <x:c r="F79" s="75"/>
      <x:c r="G79" s="71" t="n">
        <x:f>IF(A79="",0,E79*F79)</x:f>
        <x:v>0</x:v>
      </x:c>
      <x:c r="H79" s="62"/>
      <x:c r="I79" s="62"/>
      <x:c r="J79" s="62"/>
      <x:c r="K79" s="62"/>
    </x:row>
    <x:row r="80">
      <x:c r="A80" s="66"/>
      <x:c r="B80" s="62"/>
      <x:c r="C80" s="62"/>
      <x:c r="D80" s="62"/>
      <x:c r="E80" s="68"/>
      <x:c r="F80" s="75"/>
      <x:c r="G80" s="71" t="n">
        <x:f>IF(A80="",0,E80*F80)</x:f>
        <x:v>0</x:v>
      </x:c>
      <x:c r="H80" s="62"/>
      <x:c r="I80" s="62"/>
      <x:c r="J80" s="62"/>
      <x:c r="K80" s="62"/>
    </x:row>
    <x:row r="81">
      <x:c r="A81" s="66"/>
      <x:c r="B81" s="62"/>
      <x:c r="C81" s="62"/>
      <x:c r="D81" s="62"/>
      <x:c r="E81" s="68"/>
      <x:c r="F81" s="75"/>
      <x:c r="G81" s="71" t="n">
        <x:f>IF(A81="",0,E81*F81)</x:f>
        <x:v>0</x:v>
      </x:c>
      <x:c r="H81" s="62"/>
      <x:c r="I81" s="62"/>
      <x:c r="J81" s="62"/>
      <x:c r="K81" s="62"/>
    </x:row>
    <x:row r="82">
      <x:c r="A82" s="66"/>
      <x:c r="B82" s="62"/>
      <x:c r="C82" s="62"/>
      <x:c r="D82" s="62"/>
      <x:c r="E82" s="68"/>
      <x:c r="F82" s="75"/>
      <x:c r="G82" s="71" t="n">
        <x:f>IF(A82="",0,E82*F82)</x:f>
        <x:v>0</x:v>
      </x:c>
      <x:c r="H82" s="62"/>
      <x:c r="I82" s="62"/>
      <x:c r="J82" s="62"/>
      <x:c r="K82" s="62"/>
    </x:row>
    <x:row r="83">
      <x:c r="A83" s="66"/>
      <x:c r="B83" s="62"/>
      <x:c r="C83" s="62"/>
      <x:c r="D83" s="62"/>
      <x:c r="E83" s="68"/>
      <x:c r="F83" s="75"/>
      <x:c r="G83" s="71" t="n">
        <x:f>IF(A83="",0,E83*F83)</x:f>
        <x:v>0</x:v>
      </x:c>
      <x:c r="H83" s="62"/>
      <x:c r="I83" s="62"/>
      <x:c r="J83" s="62"/>
      <x:c r="K83" s="62"/>
    </x:row>
    <x:row r="84">
      <x:c r="A84" s="66"/>
      <x:c r="B84" s="62"/>
      <x:c r="C84" s="62"/>
      <x:c r="D84" s="62"/>
      <x:c r="E84" s="68"/>
      <x:c r="F84" s="75"/>
      <x:c r="G84" s="71" t="n">
        <x:f>IF(A84="",0,E84*F84)</x:f>
        <x:v>0</x:v>
      </x:c>
      <x:c r="H84" s="62"/>
      <x:c r="I84" s="62"/>
      <x:c r="J84" s="62"/>
      <x:c r="K84" s="62"/>
    </x:row>
    <x:row r="85">
      <x:c r="A85" s="66"/>
      <x:c r="B85" s="62"/>
      <x:c r="C85" s="62"/>
      <x:c r="D85" s="62"/>
      <x:c r="E85" s="68"/>
      <x:c r="F85" s="75"/>
      <x:c r="G85" s="71" t="n">
        <x:f>IF(A85="",0,E85*F85)</x:f>
        <x:v>0</x:v>
      </x:c>
      <x:c r="H85" s="62"/>
      <x:c r="I85" s="62"/>
      <x:c r="J85" s="62"/>
      <x:c r="K85" s="62"/>
    </x:row>
    <x:row r="86">
      <x:c r="A86" s="66"/>
      <x:c r="B86" s="62"/>
      <x:c r="C86" s="62"/>
      <x:c r="D86" s="62"/>
      <x:c r="E86" s="68"/>
      <x:c r="F86" s="75"/>
      <x:c r="G86" s="71" t="n">
        <x:f>IF(A86="",0,E86*F86)</x:f>
        <x:v>0</x:v>
      </x:c>
      <x:c r="H86" s="62"/>
      <x:c r="I86" s="62"/>
      <x:c r="J86" s="62"/>
      <x:c r="K86" s="62"/>
    </x:row>
    <x:row r="87">
      <x:c r="A87" s="66"/>
      <x:c r="B87" s="62"/>
      <x:c r="C87" s="62"/>
      <x:c r="D87" s="62"/>
      <x:c r="E87" s="68"/>
      <x:c r="F87" s="75"/>
      <x:c r="G87" s="71" t="n">
        <x:f>IF(A87="",0,E87*F87)</x:f>
        <x:v>0</x:v>
      </x:c>
      <x:c r="H87" s="62"/>
      <x:c r="I87" s="62"/>
      <x:c r="J87" s="62"/>
      <x:c r="K87" s="62"/>
    </x:row>
    <x:row r="88">
      <x:c r="A88" s="66"/>
      <x:c r="B88" s="62"/>
      <x:c r="C88" s="62"/>
      <x:c r="D88" s="62"/>
      <x:c r="E88" s="68"/>
      <x:c r="F88" s="75"/>
      <x:c r="G88" s="71" t="n">
        <x:f>IF(A88="",0,E88*F88)</x:f>
        <x:v>0</x:v>
      </x:c>
      <x:c r="H88" s="62"/>
      <x:c r="I88" s="62"/>
      <x:c r="J88" s="62"/>
      <x:c r="K88" s="62"/>
    </x:row>
    <x:row r="89">
      <x:c r="A89" s="66"/>
      <x:c r="B89" s="62"/>
      <x:c r="C89" s="62"/>
      <x:c r="D89" s="62"/>
      <x:c r="E89" s="68"/>
      <x:c r="F89" s="75"/>
      <x:c r="G89" s="71" t="n">
        <x:f>IF(A89="",0,E89*F89)</x:f>
        <x:v>0</x:v>
      </x:c>
      <x:c r="H89" s="62"/>
      <x:c r="I89" s="62"/>
      <x:c r="J89" s="62"/>
      <x:c r="K89" s="62"/>
    </x:row>
    <x:row r="90">
      <x:c r="A90" s="66"/>
      <x:c r="B90" s="62"/>
      <x:c r="C90" s="62"/>
      <x:c r="D90" s="62"/>
      <x:c r="E90" s="68"/>
      <x:c r="F90" s="75"/>
      <x:c r="G90" s="71" t="n">
        <x:f>IF(A90="",0,E90*F90)</x:f>
        <x:v>0</x:v>
      </x:c>
      <x:c r="H90" s="62"/>
      <x:c r="I90" s="62"/>
      <x:c r="J90" s="62"/>
      <x:c r="K90" s="62"/>
    </x:row>
    <x:row r="91">
      <x:c r="A91" s="66"/>
      <x:c r="B91" s="62"/>
      <x:c r="C91" s="62"/>
      <x:c r="D91" s="62"/>
      <x:c r="E91" s="68"/>
      <x:c r="F91" s="75"/>
      <x:c r="G91" s="71" t="n">
        <x:f>IF(A91="",0,E91*F91)</x:f>
        <x:v>0</x:v>
      </x:c>
      <x:c r="H91" s="62"/>
      <x:c r="I91" s="62"/>
      <x:c r="J91" s="62"/>
      <x:c r="K91" s="62"/>
    </x:row>
    <x:row r="92">
      <x:c r="A92" s="66"/>
      <x:c r="B92" s="62"/>
      <x:c r="C92" s="62"/>
      <x:c r="D92" s="62"/>
      <x:c r="E92" s="68"/>
      <x:c r="F92" s="75"/>
      <x:c r="G92" s="71" t="n">
        <x:f>IF(A92="",0,E92*F92)</x:f>
        <x:v>0</x:v>
      </x:c>
      <x:c r="H92" s="62"/>
      <x:c r="I92" s="62"/>
      <x:c r="J92" s="62"/>
      <x:c r="K92" s="62"/>
    </x:row>
    <x:row r="93">
      <x:c r="A93" s="66"/>
      <x:c r="B93" s="62"/>
      <x:c r="C93" s="62"/>
      <x:c r="D93" s="62"/>
      <x:c r="E93" s="68"/>
      <x:c r="F93" s="75"/>
      <x:c r="G93" s="71" t="n">
        <x:f>IF(A93="",0,E93*F93)</x:f>
        <x:v>0</x:v>
      </x:c>
      <x:c r="H93" s="62"/>
      <x:c r="I93" s="62"/>
      <x:c r="J93" s="62"/>
      <x:c r="K93" s="62"/>
    </x:row>
    <x:row r="94">
      <x:c r="A94" s="66"/>
      <x:c r="B94" s="62"/>
      <x:c r="C94" s="62"/>
      <x:c r="D94" s="62"/>
      <x:c r="E94" s="68"/>
      <x:c r="F94" s="75"/>
      <x:c r="G94" s="71" t="n">
        <x:f>IF(A94="",0,E94*F94)</x:f>
        <x:v>0</x:v>
      </x:c>
      <x:c r="H94" s="62"/>
      <x:c r="I94" s="62"/>
      <x:c r="J94" s="62"/>
      <x:c r="K94" s="62"/>
    </x:row>
    <x:row r="95">
      <x:c r="A95" s="66"/>
      <x:c r="B95" s="62"/>
      <x:c r="C95" s="62"/>
      <x:c r="D95" s="62"/>
      <x:c r="E95" s="68"/>
      <x:c r="F95" s="75"/>
      <x:c r="G95" s="71" t="n">
        <x:f>IF(A95="",0,E95*F95)</x:f>
        <x:v>0</x:v>
      </x:c>
      <x:c r="H95" s="62"/>
      <x:c r="I95" s="62"/>
      <x:c r="J95" s="62"/>
      <x:c r="K95" s="62"/>
    </x:row>
    <x:row r="96">
      <x:c r="A96" s="66"/>
      <x:c r="B96" s="62"/>
      <x:c r="C96" s="62"/>
      <x:c r="D96" s="62"/>
      <x:c r="E96" s="68"/>
      <x:c r="F96" s="75"/>
      <x:c r="G96" s="71" t="n">
        <x:f>IF(A96="",0,E96*F96)</x:f>
        <x:v>0</x:v>
      </x:c>
      <x:c r="H96" s="62"/>
      <x:c r="I96" s="62"/>
      <x:c r="J96" s="62"/>
      <x:c r="K96" s="62"/>
    </x:row>
    <x:row r="97">
      <x:c r="A97" s="66"/>
      <x:c r="B97" s="62"/>
      <x:c r="C97" s="62"/>
      <x:c r="D97" s="62"/>
      <x:c r="E97" s="68"/>
      <x:c r="F97" s="75"/>
      <x:c r="G97" s="71" t="n">
        <x:f>IF(A97="",0,E97*F97)</x:f>
        <x:v>0</x:v>
      </x:c>
      <x:c r="H97" s="62"/>
      <x:c r="I97" s="62"/>
      <x:c r="J97" s="62"/>
      <x:c r="K97" s="62"/>
    </x:row>
    <x:row r="98">
      <x:c r="A98" s="66"/>
      <x:c r="B98" s="62"/>
      <x:c r="C98" s="62"/>
      <x:c r="D98" s="62"/>
      <x:c r="E98" s="68"/>
      <x:c r="F98" s="75"/>
      <x:c r="G98" s="71" t="n">
        <x:f>IF(A98="",0,E98*F98)</x:f>
        <x:v>0</x:v>
      </x:c>
      <x:c r="H98" s="62"/>
      <x:c r="I98" s="62"/>
      <x:c r="J98" s="62"/>
      <x:c r="K98" s="62"/>
    </x:row>
    <x:row r="99">
      <x:c r="A99" s="66"/>
      <x:c r="B99" s="62"/>
      <x:c r="C99" s="62"/>
      <x:c r="D99" s="62"/>
      <x:c r="E99" s="68"/>
      <x:c r="F99" s="75"/>
      <x:c r="G99" s="71" t="n">
        <x:f>IF(A99="",0,E99*F99)</x:f>
        <x:v>0</x:v>
      </x:c>
      <x:c r="H99" s="62"/>
      <x:c r="I99" s="62"/>
      <x:c r="J99" s="62"/>
      <x:c r="K99" s="62"/>
    </x:row>
    <x:row r="100">
      <x:c r="A100" s="66"/>
      <x:c r="B100" s="62"/>
      <x:c r="C100" s="62"/>
      <x:c r="D100" s="62"/>
      <x:c r="E100" s="68"/>
      <x:c r="F100" s="75"/>
      <x:c r="G100" s="71" t="n">
        <x:f>IF(A100="",0,E100*F100)</x:f>
        <x:v>0</x:v>
      </x:c>
      <x:c r="H100" s="62"/>
      <x:c r="I100" s="62"/>
      <x:c r="J100" s="62"/>
      <x:c r="K100" s="62"/>
    </x:row>
    <x:row r="101">
      <x:c r="A101" s="66"/>
      <x:c r="B101" s="62"/>
      <x:c r="C101" s="62"/>
      <x:c r="D101" s="62"/>
      <x:c r="E101" s="68"/>
      <x:c r="F101" s="75"/>
      <x:c r="G101" s="71" t="n">
        <x:f>IF(A101="",0,E101*F101)</x:f>
        <x:v>0</x:v>
      </x:c>
      <x:c r="H101" s="62"/>
      <x:c r="I101" s="62"/>
      <x:c r="J101" s="62"/>
      <x:c r="K101" s="62"/>
    </x:row>
    <x:row r="102">
      <x:c r="A102" s="66"/>
      <x:c r="B102" s="62"/>
      <x:c r="C102" s="62"/>
      <x:c r="D102" s="62"/>
      <x:c r="E102" s="68"/>
      <x:c r="F102" s="75"/>
      <x:c r="G102" s="71" t="n">
        <x:f>IF(A102="",0,E102*F102)</x:f>
        <x:v>0</x:v>
      </x:c>
      <x:c r="H102" s="62"/>
      <x:c r="I102" s="62"/>
      <x:c r="J102" s="62"/>
      <x:c r="K102" s="62"/>
    </x:row>
    <x:row r="103">
      <x:c r="A103" s="66"/>
      <x:c r="B103" s="62"/>
      <x:c r="C103" s="62"/>
      <x:c r="D103" s="62"/>
      <x:c r="E103" s="68"/>
      <x:c r="F103" s="75"/>
      <x:c r="G103" s="71" t="n">
        <x:f>IF(A103="",0,E103*F103)</x:f>
        <x:v>0</x:v>
      </x:c>
      <x:c r="H103" s="62"/>
      <x:c r="I103" s="62"/>
      <x:c r="J103" s="62"/>
      <x:c r="K103" s="62"/>
    </x:row>
    <x:row r="104">
      <x:c r="A104" s="66"/>
      <x:c r="B104" s="62"/>
      <x:c r="C104" s="62"/>
      <x:c r="D104" s="62"/>
      <x:c r="E104" s="68"/>
      <x:c r="F104" s="75"/>
      <x:c r="G104" s="71" t="n">
        <x:f>IF(A104="",0,E104*F104)</x:f>
        <x:v>0</x:v>
      </x:c>
      <x:c r="H104" s="62"/>
      <x:c r="I104" s="62"/>
      <x:c r="J104" s="62"/>
      <x:c r="K104" s="62"/>
    </x:row>
    <x:row r="105">
      <x:c r="A105" s="66"/>
      <x:c r="B105" s="62"/>
      <x:c r="C105" s="62"/>
      <x:c r="D105" s="62"/>
      <x:c r="E105" s="68"/>
      <x:c r="F105" s="75"/>
      <x:c r="G105" s="71" t="n">
        <x:f>IF(A105="",0,E105*F105)</x:f>
        <x:v>0</x:v>
      </x:c>
      <x:c r="H105" s="62"/>
      <x:c r="I105" s="62"/>
      <x:c r="J105" s="62"/>
      <x:c r="K105" s="62"/>
    </x:row>
    <x:row r="106">
      <x:c r="A106" s="66"/>
      <x:c r="B106" s="62"/>
      <x:c r="C106" s="62"/>
      <x:c r="D106" s="62"/>
      <x:c r="E106" s="68"/>
      <x:c r="F106" s="75"/>
      <x:c r="G106" s="71" t="n">
        <x:f>IF(A106="",0,E106*F106)</x:f>
        <x:v>0</x:v>
      </x:c>
      <x:c r="H106" s="62"/>
      <x:c r="I106" s="62"/>
      <x:c r="J106" s="62"/>
      <x:c r="K106" s="62"/>
    </x:row>
    <x:row r="107">
      <x:c r="A107" s="66"/>
      <x:c r="B107" s="62"/>
      <x:c r="C107" s="62"/>
      <x:c r="D107" s="62"/>
      <x:c r="E107" s="68"/>
      <x:c r="F107" s="75"/>
      <x:c r="G107" s="71" t="n">
        <x:f>IF(A107="",0,E107*F107)</x:f>
        <x:v>0</x:v>
      </x:c>
      <x:c r="H107" s="62"/>
      <x:c r="I107" s="62"/>
      <x:c r="J107" s="62"/>
      <x:c r="K107" s="62"/>
    </x:row>
    <x:row r="108">
      <x:c r="A108" s="66"/>
      <x:c r="B108" s="62"/>
      <x:c r="C108" s="62"/>
      <x:c r="D108" s="62"/>
      <x:c r="E108" s="68"/>
      <x:c r="F108" s="75"/>
      <x:c r="G108" s="71" t="n">
        <x:f>IF(A108="",0,E108*F108)</x:f>
        <x:v>0</x:v>
      </x:c>
      <x:c r="H108" s="62"/>
      <x:c r="I108" s="62"/>
      <x:c r="J108" s="62"/>
      <x:c r="K108" s="62"/>
    </x:row>
    <x:row r="109">
      <x:c r="A109" s="66"/>
      <x:c r="B109" s="62"/>
      <x:c r="C109" s="62"/>
      <x:c r="D109" s="62"/>
      <x:c r="E109" s="68"/>
      <x:c r="F109" s="75"/>
      <x:c r="G109" s="71" t="n">
        <x:f>IF(A109="",0,E109*F109)</x:f>
        <x:v>0</x:v>
      </x:c>
      <x:c r="H109" s="62"/>
      <x:c r="I109" s="62"/>
      <x:c r="J109" s="62"/>
      <x:c r="K109" s="62"/>
    </x:row>
    <x:row r="110">
      <x:c r="A110" s="66"/>
      <x:c r="B110" s="62"/>
      <x:c r="C110" s="62"/>
      <x:c r="D110" s="62"/>
      <x:c r="E110" s="68"/>
      <x:c r="F110" s="75"/>
      <x:c r="G110" s="71" t="n">
        <x:f>IF(A110="",0,E110*F110)</x:f>
        <x:v>0</x:v>
      </x:c>
      <x:c r="H110" s="62"/>
      <x:c r="I110" s="62"/>
      <x:c r="J110" s="62"/>
      <x:c r="K110" s="62"/>
    </x:row>
    <x:row r="111">
      <x:c r="A111" s="66"/>
      <x:c r="B111" s="62"/>
      <x:c r="C111" s="62"/>
      <x:c r="D111" s="62"/>
      <x:c r="E111" s="68"/>
      <x:c r="F111" s="75"/>
      <x:c r="G111" s="71" t="n">
        <x:f>IF(A111="",0,E111*F111)</x:f>
        <x:v>0</x:v>
      </x:c>
      <x:c r="H111" s="62"/>
      <x:c r="I111" s="62"/>
      <x:c r="J111" s="62"/>
      <x:c r="K111" s="62"/>
    </x:row>
    <x:row r="112">
      <x:c r="A112" s="66"/>
      <x:c r="B112" s="62"/>
      <x:c r="C112" s="62"/>
      <x:c r="D112" s="62"/>
      <x:c r="E112" s="68"/>
      <x:c r="F112" s="75"/>
      <x:c r="G112" s="71" t="n">
        <x:f>IF(A112="",0,E112*F112)</x:f>
        <x:v>0</x:v>
      </x:c>
      <x:c r="H112" s="62"/>
      <x:c r="I112" s="62"/>
      <x:c r="J112" s="62"/>
      <x:c r="K112" s="62"/>
    </x:row>
    <x:row r="113">
      <x:c r="A113" s="66"/>
      <x:c r="B113" s="62"/>
      <x:c r="C113" s="62"/>
      <x:c r="D113" s="62"/>
      <x:c r="E113" s="68"/>
      <x:c r="F113" s="75"/>
      <x:c r="G113" s="71" t="n">
        <x:f>IF(A113="",0,E113*F113)</x:f>
        <x:v>0</x:v>
      </x:c>
      <x:c r="H113" s="62"/>
      <x:c r="I113" s="62"/>
      <x:c r="J113" s="62"/>
      <x:c r="K113" s="62"/>
    </x:row>
    <x:row r="114">
      <x:c r="A114" s="66"/>
      <x:c r="B114" s="62"/>
      <x:c r="C114" s="62"/>
      <x:c r="D114" s="62"/>
      <x:c r="E114" s="68"/>
      <x:c r="F114" s="75"/>
      <x:c r="G114" s="71" t="n">
        <x:f>IF(A114="",0,E114*F114)</x:f>
        <x:v>0</x:v>
      </x:c>
      <x:c r="H114" s="62"/>
      <x:c r="I114" s="62"/>
      <x:c r="J114" s="62"/>
      <x:c r="K114" s="62"/>
    </x:row>
    <x:row r="115">
      <x:c r="A115" s="66"/>
      <x:c r="B115" s="62"/>
      <x:c r="C115" s="62"/>
      <x:c r="D115" s="62"/>
      <x:c r="E115" s="68"/>
      <x:c r="F115" s="75"/>
      <x:c r="G115" s="71" t="n">
        <x:f>IF(A115="",0,E115*F115)</x:f>
        <x:v>0</x:v>
      </x:c>
      <x:c r="H115" s="62"/>
      <x:c r="I115" s="62"/>
      <x:c r="J115" s="62"/>
      <x:c r="K115" s="62"/>
    </x:row>
    <x:row r="116">
      <x:c r="A116" s="66"/>
      <x:c r="B116" s="62"/>
      <x:c r="C116" s="62"/>
      <x:c r="D116" s="62"/>
      <x:c r="E116" s="68"/>
      <x:c r="F116" s="75"/>
      <x:c r="G116" s="71" t="n">
        <x:f>IF(A116="",0,E116*F116)</x:f>
        <x:v>0</x:v>
      </x:c>
      <x:c r="H116" s="62"/>
      <x:c r="I116" s="62"/>
      <x:c r="J116" s="62"/>
      <x:c r="K116" s="62"/>
    </x:row>
    <x:row r="117">
      <x:c r="A117" s="66"/>
      <x:c r="B117" s="62"/>
      <x:c r="C117" s="62"/>
      <x:c r="D117" s="62"/>
      <x:c r="E117" s="68"/>
      <x:c r="F117" s="75"/>
      <x:c r="G117" s="71" t="n">
        <x:f>IF(A117="",0,E117*F117)</x:f>
        <x:v>0</x:v>
      </x:c>
      <x:c r="H117" s="62"/>
      <x:c r="I117" s="62"/>
      <x:c r="J117" s="62"/>
      <x:c r="K117" s="62"/>
    </x:row>
    <x:row r="118">
      <x:c r="A118" s="66"/>
      <x:c r="B118" s="62"/>
      <x:c r="C118" s="62"/>
      <x:c r="D118" s="62"/>
      <x:c r="E118" s="68"/>
      <x:c r="F118" s="75"/>
      <x:c r="G118" s="71" t="n">
        <x:f>IF(A118="",0,E118*F118)</x:f>
        <x:v>0</x:v>
      </x:c>
      <x:c r="H118" s="62"/>
      <x:c r="I118" s="62"/>
      <x:c r="J118" s="62"/>
      <x:c r="K118" s="62"/>
    </x:row>
    <x:row r="119">
      <x:c r="A119" s="66"/>
      <x:c r="B119" s="62"/>
      <x:c r="C119" s="62"/>
      <x:c r="D119" s="62"/>
      <x:c r="E119" s="68"/>
      <x:c r="F119" s="75"/>
      <x:c r="G119" s="71" t="n">
        <x:f>IF(A119="",0,E119*F119)</x:f>
        <x:v>0</x:v>
      </x:c>
      <x:c r="H119" s="62"/>
      <x:c r="I119" s="62"/>
      <x:c r="J119" s="62"/>
      <x:c r="K119" s="62"/>
    </x:row>
    <x:row r="120">
      <x:c r="A120" s="66"/>
      <x:c r="B120" s="62"/>
      <x:c r="C120" s="62"/>
      <x:c r="D120" s="62"/>
      <x:c r="E120" s="68"/>
      <x:c r="F120" s="75"/>
      <x:c r="G120" s="71" t="n">
        <x:f>IF(A120="",0,E120*F120)</x:f>
        <x:v>0</x:v>
      </x:c>
      <x:c r="H120" s="62"/>
      <x:c r="I120" s="62"/>
      <x:c r="J120" s="62"/>
      <x:c r="K120" s="62"/>
    </x:row>
    <x:row r="121">
      <x:c r="A121" s="66"/>
      <x:c r="B121" s="62"/>
      <x:c r="C121" s="62"/>
      <x:c r="D121" s="62"/>
      <x:c r="E121" s="68"/>
      <x:c r="F121" s="75"/>
      <x:c r="G121" s="71" t="n">
        <x:f>IF(A121="",0,E121*F121)</x:f>
        <x:v>0</x:v>
      </x:c>
      <x:c r="H121" s="62"/>
      <x:c r="I121" s="62"/>
      <x:c r="J121" s="62"/>
      <x:c r="K121" s="62"/>
    </x:row>
    <x:row r="122">
      <x:c r="A122" s="66"/>
      <x:c r="B122" s="62"/>
      <x:c r="C122" s="62"/>
      <x:c r="D122" s="62"/>
      <x:c r="E122" s="68"/>
      <x:c r="F122" s="75"/>
      <x:c r="G122" s="71" t="n">
        <x:f>IF(A122="",0,E122*F122)</x:f>
        <x:v>0</x:v>
      </x:c>
      <x:c r="H122" s="62"/>
      <x:c r="I122" s="62"/>
      <x:c r="J122" s="62"/>
      <x:c r="K122" s="62"/>
    </x:row>
    <x:row r="123">
      <x:c r="A123" s="66"/>
      <x:c r="B123" s="62"/>
      <x:c r="C123" s="62"/>
      <x:c r="D123" s="62"/>
      <x:c r="E123" s="68"/>
      <x:c r="F123" s="75"/>
      <x:c r="G123" s="71" t="n">
        <x:f>IF(A123="",0,E123*F123)</x:f>
        <x:v>0</x:v>
      </x:c>
      <x:c r="H123" s="62"/>
      <x:c r="I123" s="62"/>
      <x:c r="J123" s="62"/>
      <x:c r="K123" s="62"/>
    </x:row>
    <x:row r="124">
      <x:c r="A124" s="66"/>
      <x:c r="B124" s="62"/>
      <x:c r="C124" s="62"/>
      <x:c r="D124" s="62"/>
      <x:c r="E124" s="68"/>
      <x:c r="F124" s="75"/>
      <x:c r="G124" s="71" t="n">
        <x:f>IF(A124="",0,E124*F124)</x:f>
        <x:v>0</x:v>
      </x:c>
      <x:c r="H124" s="62"/>
      <x:c r="I124" s="62"/>
      <x:c r="J124" s="62"/>
      <x:c r="K124" s="62"/>
    </x:row>
    <x:row r="125">
      <x:c r="A125" s="66"/>
      <x:c r="B125" s="62"/>
      <x:c r="C125" s="62"/>
      <x:c r="D125" s="62"/>
      <x:c r="E125" s="68"/>
      <x:c r="F125" s="75"/>
      <x:c r="G125" s="71" t="n">
        <x:f>IF(A125="",0,E125*F125)</x:f>
        <x:v>0</x:v>
      </x:c>
      <x:c r="H125" s="62"/>
      <x:c r="I125" s="62"/>
      <x:c r="J125" s="62"/>
      <x:c r="K125" s="62"/>
    </x:row>
    <x:row r="126">
      <x:c r="A126" s="66"/>
      <x:c r="B126" s="62"/>
      <x:c r="C126" s="62"/>
      <x:c r="D126" s="62"/>
      <x:c r="E126" s="68"/>
      <x:c r="F126" s="75"/>
      <x:c r="G126" s="71" t="n">
        <x:f>IF(A126="",0,E126*F126)</x:f>
        <x:v>0</x:v>
      </x:c>
      <x:c r="H126" s="62"/>
      <x:c r="I126" s="62"/>
      <x:c r="J126" s="62"/>
      <x:c r="K126" s="62"/>
    </x:row>
    <x:row r="127">
      <x:c r="A127" s="66"/>
      <x:c r="B127" s="62"/>
      <x:c r="C127" s="62"/>
      <x:c r="D127" s="62"/>
      <x:c r="E127" s="68"/>
      <x:c r="F127" s="75"/>
      <x:c r="G127" s="71" t="n">
        <x:f>IF(A127="",0,E127*F127)</x:f>
        <x:v>0</x:v>
      </x:c>
      <x:c r="H127" s="62"/>
      <x:c r="I127" s="62"/>
      <x:c r="J127" s="62"/>
      <x:c r="K127" s="62"/>
    </x:row>
    <x:row r="128">
      <x:c r="A128" s="66"/>
      <x:c r="B128" s="62"/>
      <x:c r="C128" s="62"/>
      <x:c r="D128" s="62"/>
      <x:c r="E128" s="68"/>
      <x:c r="F128" s="75"/>
      <x:c r="G128" s="71" t="n">
        <x:f>IF(A128="",0,E128*F128)</x:f>
        <x:v>0</x:v>
      </x:c>
      <x:c r="H128" s="62"/>
      <x:c r="I128" s="62"/>
      <x:c r="J128" s="62"/>
      <x:c r="K128" s="62"/>
    </x:row>
    <x:row r="129">
      <x:c r="A129" s="66"/>
      <x:c r="B129" s="62"/>
      <x:c r="C129" s="62"/>
      <x:c r="D129" s="62"/>
      <x:c r="E129" s="68"/>
      <x:c r="F129" s="75"/>
      <x:c r="G129" s="71" t="n">
        <x:f>IF(A129="",0,E129*F129)</x:f>
        <x:v>0</x:v>
      </x:c>
      <x:c r="H129" s="62"/>
      <x:c r="I129" s="62"/>
      <x:c r="J129" s="62"/>
      <x:c r="K129" s="62"/>
    </x:row>
    <x:row r="130">
      <x:c r="A130" s="66"/>
      <x:c r="B130" s="62"/>
      <x:c r="C130" s="62"/>
      <x:c r="D130" s="62"/>
      <x:c r="E130" s="68"/>
      <x:c r="F130" s="75"/>
      <x:c r="G130" s="71" t="n">
        <x:f>IF(A130="",0,E130*F130)</x:f>
        <x:v>0</x:v>
      </x:c>
      <x:c r="H130" s="62"/>
      <x:c r="I130" s="62"/>
      <x:c r="J130" s="62"/>
      <x:c r="K130" s="62"/>
    </x:row>
    <x:row r="131">
      <x:c r="A131" s="66"/>
      <x:c r="B131" s="62"/>
      <x:c r="C131" s="62"/>
      <x:c r="D131" s="62"/>
      <x:c r="E131" s="68"/>
      <x:c r="F131" s="75"/>
      <x:c r="G131" s="71" t="n">
        <x:f>IF(A131="",0,E131*F131)</x:f>
        <x:v>0</x:v>
      </x:c>
      <x:c r="H131" s="62"/>
      <x:c r="I131" s="62"/>
      <x:c r="J131" s="62"/>
      <x:c r="K131" s="62"/>
    </x:row>
    <x:row r="132">
      <x:c r="A132" s="66"/>
      <x:c r="B132" s="62"/>
      <x:c r="C132" s="62"/>
      <x:c r="D132" s="62"/>
      <x:c r="E132" s="68"/>
      <x:c r="F132" s="75"/>
      <x:c r="G132" s="71" t="n">
        <x:f>IF(A132="",0,E132*F132)</x:f>
        <x:v>0</x:v>
      </x:c>
      <x:c r="H132" s="62"/>
      <x:c r="I132" s="62"/>
      <x:c r="J132" s="62"/>
      <x:c r="K132" s="62"/>
    </x:row>
    <x:row r="133">
      <x:c r="A133" s="66"/>
      <x:c r="B133" s="62"/>
      <x:c r="C133" s="62"/>
      <x:c r="D133" s="62"/>
      <x:c r="E133" s="68"/>
      <x:c r="F133" s="75"/>
      <x:c r="G133" s="71" t="n">
        <x:f>IF(A133="",0,E133*F133)</x:f>
        <x:v>0</x:v>
      </x:c>
      <x:c r="H133" s="62"/>
      <x:c r="I133" s="62"/>
      <x:c r="J133" s="62"/>
      <x:c r="K133" s="62"/>
    </x:row>
    <x:row r="134">
      <x:c r="A134" s="66"/>
      <x:c r="B134" s="62"/>
      <x:c r="C134" s="62"/>
      <x:c r="D134" s="62"/>
      <x:c r="E134" s="68"/>
      <x:c r="F134" s="75"/>
      <x:c r="G134" s="71" t="n">
        <x:f>IF(A134="",0,E134*F134)</x:f>
        <x:v>0</x:v>
      </x:c>
      <x:c r="H134" s="62"/>
      <x:c r="I134" s="62"/>
      <x:c r="J134" s="62"/>
      <x:c r="K134" s="62"/>
    </x:row>
    <x:row r="135">
      <x:c r="A135" s="66"/>
      <x:c r="B135" s="62"/>
      <x:c r="C135" s="62"/>
      <x:c r="D135" s="62"/>
      <x:c r="E135" s="68"/>
      <x:c r="F135" s="75"/>
      <x:c r="G135" s="71" t="n">
        <x:f>IF(A135="",0,E135*F135)</x:f>
        <x:v>0</x:v>
      </x:c>
      <x:c r="H135" s="62"/>
      <x:c r="I135" s="62"/>
      <x:c r="J135" s="62"/>
      <x:c r="K135" s="62"/>
    </x:row>
    <x:row r="136">
      <x:c r="A136" s="66"/>
      <x:c r="B136" s="62"/>
      <x:c r="C136" s="62"/>
      <x:c r="D136" s="62"/>
      <x:c r="E136" s="68"/>
      <x:c r="F136" s="75"/>
      <x:c r="G136" s="71" t="n">
        <x:f>IF(A136="",0,E136*F136)</x:f>
        <x:v>0</x:v>
      </x:c>
      <x:c r="H136" s="62"/>
      <x:c r="I136" s="62"/>
      <x:c r="J136" s="62"/>
      <x:c r="K136" s="62"/>
    </x:row>
    <x:row r="137">
      <x:c r="A137" s="66"/>
      <x:c r="B137" s="62"/>
      <x:c r="C137" s="62"/>
      <x:c r="D137" s="62"/>
      <x:c r="E137" s="68"/>
      <x:c r="F137" s="75"/>
      <x:c r="G137" s="71" t="n">
        <x:f>IF(A137="",0,E137*F137)</x:f>
        <x:v>0</x:v>
      </x:c>
      <x:c r="H137" s="62"/>
      <x:c r="I137" s="62"/>
      <x:c r="J137" s="62"/>
      <x:c r="K137" s="62"/>
    </x:row>
    <x:row r="138">
      <x:c r="A138" s="66"/>
      <x:c r="B138" s="62"/>
      <x:c r="C138" s="62"/>
      <x:c r="D138" s="62"/>
      <x:c r="E138" s="68"/>
      <x:c r="F138" s="75"/>
      <x:c r="G138" s="71" t="n">
        <x:f>IF(A138="",0,E138*F138)</x:f>
        <x:v>0</x:v>
      </x:c>
      <x:c r="H138" s="62"/>
      <x:c r="I138" s="62"/>
      <x:c r="J138" s="62"/>
      <x:c r="K138" s="62"/>
    </x:row>
    <x:row r="139">
      <x:c r="A139" s="66"/>
      <x:c r="B139" s="62"/>
      <x:c r="C139" s="62"/>
      <x:c r="D139" s="62"/>
      <x:c r="E139" s="68"/>
      <x:c r="F139" s="75"/>
      <x:c r="G139" s="71" t="n">
        <x:f>IF(A139="",0,E139*F139)</x:f>
        <x:v>0</x:v>
      </x:c>
      <x:c r="H139" s="62"/>
      <x:c r="I139" s="62"/>
      <x:c r="J139" s="62"/>
      <x:c r="K139" s="62"/>
    </x:row>
    <x:row r="140">
      <x:c r="A140" s="66"/>
      <x:c r="B140" s="62"/>
      <x:c r="C140" s="62"/>
      <x:c r="D140" s="62"/>
      <x:c r="E140" s="68"/>
      <x:c r="F140" s="75"/>
      <x:c r="G140" s="71" t="n">
        <x:f>IF(A140="",0,E140*F140)</x:f>
        <x:v>0</x:v>
      </x:c>
      <x:c r="H140" s="62"/>
      <x:c r="I140" s="62"/>
      <x:c r="J140" s="62"/>
      <x:c r="K140" s="62"/>
    </x:row>
    <x:row r="141">
      <x:c r="A141" s="66"/>
      <x:c r="B141" s="62"/>
      <x:c r="C141" s="62"/>
      <x:c r="D141" s="62"/>
      <x:c r="E141" s="68"/>
      <x:c r="F141" s="75"/>
      <x:c r="G141" s="71" t="n">
        <x:f>IF(A141="",0,E141*F141)</x:f>
        <x:v>0</x:v>
      </x:c>
      <x:c r="H141" s="62"/>
      <x:c r="I141" s="62"/>
      <x:c r="J141" s="62"/>
      <x:c r="K141" s="62"/>
    </x:row>
    <x:row r="142">
      <x:c r="A142" s="66"/>
      <x:c r="B142" s="62"/>
      <x:c r="C142" s="62"/>
      <x:c r="D142" s="62"/>
      <x:c r="E142" s="68"/>
      <x:c r="F142" s="75"/>
      <x:c r="G142" s="71" t="n">
        <x:f>IF(A142="",0,E142*F142)</x:f>
        <x:v>0</x:v>
      </x:c>
      <x:c r="H142" s="62"/>
      <x:c r="I142" s="62"/>
      <x:c r="J142" s="62"/>
      <x:c r="K142" s="62"/>
    </x:row>
    <x:row r="143">
      <x:c r="A143" s="66"/>
      <x:c r="B143" s="62"/>
      <x:c r="C143" s="62"/>
      <x:c r="D143" s="62"/>
      <x:c r="E143" s="68"/>
      <x:c r="F143" s="75"/>
      <x:c r="G143" s="71" t="n">
        <x:f>IF(A143="",0,E143*F143)</x:f>
        <x:v>0</x:v>
      </x:c>
      <x:c r="H143" s="62"/>
      <x:c r="I143" s="62"/>
      <x:c r="J143" s="62"/>
      <x:c r="K143" s="62"/>
    </x:row>
    <x:row r="144">
      <x:c r="A144" s="66"/>
      <x:c r="B144" s="62"/>
      <x:c r="C144" s="62"/>
      <x:c r="D144" s="62"/>
      <x:c r="E144" s="68"/>
      <x:c r="F144" s="75"/>
      <x:c r="G144" s="71" t="n">
        <x:f>IF(A144="",0,E144*F144)</x:f>
        <x:v>0</x:v>
      </x:c>
      <x:c r="H144" s="62"/>
      <x:c r="I144" s="62"/>
      <x:c r="J144" s="62"/>
      <x:c r="K144" s="62"/>
    </x:row>
    <x:row r="145">
      <x:c r="A145" s="66"/>
      <x:c r="B145" s="62"/>
      <x:c r="C145" s="62"/>
      <x:c r="D145" s="62"/>
      <x:c r="E145" s="68"/>
      <x:c r="F145" s="75"/>
      <x:c r="G145" s="71" t="n">
        <x:f>IF(A145="",0,E145*F145)</x:f>
        <x:v>0</x:v>
      </x:c>
      <x:c r="H145" s="62"/>
      <x:c r="I145" s="62"/>
      <x:c r="J145" s="62"/>
      <x:c r="K145" s="62"/>
    </x:row>
    <x:row r="146">
      <x:c r="A146" s="66"/>
      <x:c r="B146" s="62"/>
      <x:c r="C146" s="62"/>
      <x:c r="D146" s="62"/>
      <x:c r="E146" s="68"/>
      <x:c r="F146" s="75"/>
      <x:c r="G146" s="71" t="n">
        <x:f>IF(A146="",0,E146*F146)</x:f>
        <x:v>0</x:v>
      </x:c>
      <x:c r="H146" s="62"/>
      <x:c r="I146" s="62"/>
      <x:c r="J146" s="62"/>
      <x:c r="K146" s="62"/>
    </x:row>
    <x:row r="147">
      <x:c r="A147" s="66"/>
      <x:c r="B147" s="62"/>
      <x:c r="C147" s="62"/>
      <x:c r="D147" s="62"/>
      <x:c r="E147" s="68"/>
      <x:c r="F147" s="75"/>
      <x:c r="G147" s="71" t="n">
        <x:f>IF(A147="",0,E147*F147)</x:f>
        <x:v>0</x:v>
      </x:c>
      <x:c r="H147" s="62"/>
      <x:c r="I147" s="62"/>
      <x:c r="J147" s="62"/>
      <x:c r="K147" s="62"/>
    </x:row>
    <x:row r="148">
      <x:c r="A148" s="66"/>
      <x:c r="B148" s="62"/>
      <x:c r="C148" s="62"/>
      <x:c r="D148" s="62"/>
      <x:c r="E148" s="68"/>
      <x:c r="F148" s="75"/>
      <x:c r="G148" s="71" t="n">
        <x:f>IF(A148="",0,E148*F148)</x:f>
        <x:v>0</x:v>
      </x:c>
      <x:c r="H148" s="62"/>
      <x:c r="I148" s="62"/>
      <x:c r="J148" s="62"/>
      <x:c r="K148" s="62"/>
    </x:row>
    <x:row r="149">
      <x:c r="A149" s="66"/>
      <x:c r="B149" s="62"/>
      <x:c r="C149" s="62"/>
      <x:c r="D149" s="62"/>
      <x:c r="E149" s="68"/>
      <x:c r="F149" s="75"/>
      <x:c r="G149" s="71" t="n">
        <x:f>IF(A149="",0,E149*F149)</x:f>
        <x:v>0</x:v>
      </x:c>
      <x:c r="H149" s="62"/>
      <x:c r="I149" s="62"/>
      <x:c r="J149" s="62"/>
      <x:c r="K149" s="62"/>
    </x:row>
    <x:row r="150">
      <x:c r="A150" s="66"/>
      <x:c r="B150" s="62"/>
      <x:c r="C150" s="62"/>
      <x:c r="D150" s="62"/>
      <x:c r="E150" s="68"/>
      <x:c r="F150" s="75"/>
      <x:c r="G150" s="71" t="n">
        <x:f>IF(A150="",0,E150*F150)</x:f>
        <x:v>0</x:v>
      </x:c>
      <x:c r="H150" s="62"/>
      <x:c r="I150" s="62"/>
      <x:c r="J150" s="62"/>
      <x:c r="K150" s="62"/>
    </x:row>
    <x:row r="151">
      <x:c r="A151" s="66"/>
      <x:c r="B151" s="62"/>
      <x:c r="C151" s="62"/>
      <x:c r="D151" s="62"/>
      <x:c r="E151" s="68"/>
      <x:c r="F151" s="75"/>
      <x:c r="G151" s="71" t="n">
        <x:f>IF(A151="",0,E151*F151)</x:f>
        <x:v>0</x:v>
      </x:c>
      <x:c r="H151" s="62"/>
      <x:c r="I151" s="62"/>
      <x:c r="J151" s="62"/>
      <x:c r="K151" s="62"/>
    </x:row>
    <x:row r="152">
      <x:c r="A152" s="66"/>
      <x:c r="B152" s="62"/>
      <x:c r="C152" s="62"/>
      <x:c r="D152" s="62"/>
      <x:c r="E152" s="68"/>
      <x:c r="F152" s="75"/>
      <x:c r="G152" s="71" t="n">
        <x:f>IF(A152="",0,E152*F152)</x:f>
        <x:v>0</x:v>
      </x:c>
      <x:c r="H152" s="62"/>
      <x:c r="I152" s="62"/>
      <x:c r="J152" s="62"/>
      <x:c r="K152" s="62"/>
    </x:row>
    <x:row r="153">
      <x:c r="A153" s="66"/>
      <x:c r="B153" s="62"/>
      <x:c r="C153" s="62"/>
      <x:c r="D153" s="62"/>
      <x:c r="E153" s="68"/>
      <x:c r="F153" s="75"/>
      <x:c r="G153" s="71" t="n">
        <x:f>IF(A153="",0,E153*F153)</x:f>
        <x:v>0</x:v>
      </x:c>
      <x:c r="H153" s="62"/>
      <x:c r="I153" s="62"/>
      <x:c r="J153" s="62"/>
      <x:c r="K153" s="62"/>
    </x:row>
    <x:row r="154">
      <x:c r="A154" s="66"/>
      <x:c r="B154" s="62"/>
      <x:c r="C154" s="62"/>
      <x:c r="D154" s="62"/>
      <x:c r="E154" s="68"/>
      <x:c r="F154" s="75"/>
      <x:c r="G154" s="71" t="n">
        <x:f>IF(A154="",0,E154*F154)</x:f>
        <x:v>0</x:v>
      </x:c>
      <x:c r="H154" s="62"/>
      <x:c r="I154" s="62"/>
      <x:c r="J154" s="62"/>
      <x:c r="K154" s="62"/>
    </x:row>
    <x:row r="155">
      <x:c r="A155" s="66"/>
      <x:c r="B155" s="62"/>
      <x:c r="C155" s="62"/>
      <x:c r="D155" s="62"/>
      <x:c r="E155" s="68"/>
      <x:c r="F155" s="75"/>
      <x:c r="G155" s="71" t="n">
        <x:f>IF(A155="",0,E155*F155)</x:f>
        <x:v>0</x:v>
      </x:c>
      <x:c r="H155" s="62"/>
      <x:c r="I155" s="62"/>
      <x:c r="J155" s="62"/>
      <x:c r="K155" s="62"/>
    </x:row>
    <x:row r="156">
      <x:c r="A156" s="66"/>
      <x:c r="B156" s="62"/>
      <x:c r="C156" s="62"/>
      <x:c r="D156" s="62"/>
      <x:c r="E156" s="68"/>
      <x:c r="F156" s="75"/>
      <x:c r="G156" s="71" t="n">
        <x:f>IF(A156="",0,E156*F156)</x:f>
        <x:v>0</x:v>
      </x:c>
      <x:c r="H156" s="62"/>
      <x:c r="I156" s="62"/>
      <x:c r="J156" s="62"/>
      <x:c r="K156" s="62"/>
    </x:row>
    <x:row r="157">
      <x:c r="A157" s="66"/>
      <x:c r="B157" s="62"/>
      <x:c r="C157" s="62"/>
      <x:c r="D157" s="62"/>
      <x:c r="E157" s="68"/>
      <x:c r="F157" s="75"/>
      <x:c r="G157" s="71" t="n">
        <x:f>IF(A157="",0,E157*F157)</x:f>
        <x:v>0</x:v>
      </x:c>
      <x:c r="H157" s="62"/>
      <x:c r="I157" s="62"/>
      <x:c r="J157" s="62"/>
      <x:c r="K157" s="62"/>
    </x:row>
    <x:row r="158">
      <x:c r="A158" s="66"/>
      <x:c r="B158" s="62"/>
      <x:c r="C158" s="62"/>
      <x:c r="D158" s="62"/>
      <x:c r="E158" s="68"/>
      <x:c r="F158" s="75"/>
      <x:c r="G158" s="71" t="n">
        <x:f>IF(A158="",0,E158*F158)</x:f>
        <x:v>0</x:v>
      </x:c>
      <x:c r="H158" s="62"/>
      <x:c r="I158" s="62"/>
      <x:c r="J158" s="62"/>
      <x:c r="K158" s="62"/>
    </x:row>
    <x:row r="159">
      <x:c r="A159" s="66"/>
      <x:c r="B159" s="62"/>
      <x:c r="C159" s="62"/>
      <x:c r="D159" s="62"/>
      <x:c r="E159" s="68"/>
      <x:c r="F159" s="75"/>
      <x:c r="G159" s="71" t="n">
        <x:f>IF(A159="",0,E159*F159)</x:f>
        <x:v>0</x:v>
      </x:c>
      <x:c r="H159" s="62"/>
      <x:c r="I159" s="62"/>
      <x:c r="J159" s="62"/>
      <x:c r="K159" s="62"/>
    </x:row>
    <x:row r="160">
      <x:c r="A160" s="66"/>
      <x:c r="B160" s="62"/>
      <x:c r="C160" s="62"/>
      <x:c r="D160" s="62"/>
      <x:c r="E160" s="68"/>
      <x:c r="F160" s="75"/>
      <x:c r="G160" s="71" t="n">
        <x:f>IF(A160="",0,E160*F160)</x:f>
        <x:v>0</x:v>
      </x:c>
      <x:c r="H160" s="62"/>
      <x:c r="I160" s="62"/>
      <x:c r="J160" s="62"/>
      <x:c r="K160" s="62"/>
    </x:row>
    <x:row r="161">
      <x:c r="A161" s="66"/>
      <x:c r="B161" s="62"/>
      <x:c r="C161" s="62"/>
      <x:c r="D161" s="62"/>
      <x:c r="E161" s="68"/>
      <x:c r="F161" s="75"/>
      <x:c r="G161" s="71" t="n">
        <x:f>IF(A161="",0,E161*F161)</x:f>
        <x:v>0</x:v>
      </x:c>
      <x:c r="H161" s="62"/>
      <x:c r="I161" s="62"/>
      <x:c r="J161" s="62"/>
      <x:c r="K161" s="62"/>
    </x:row>
    <x:row r="162">
      <x:c r="A162" s="66"/>
      <x:c r="B162" s="62"/>
      <x:c r="C162" s="62"/>
      <x:c r="D162" s="62"/>
      <x:c r="E162" s="68"/>
      <x:c r="F162" s="75"/>
      <x:c r="G162" s="71" t="n">
        <x:f>IF(A162="",0,E162*F162)</x:f>
        <x:v>0</x:v>
      </x:c>
      <x:c r="H162" s="62"/>
      <x:c r="I162" s="62"/>
      <x:c r="J162" s="62"/>
      <x:c r="K162" s="62"/>
    </x:row>
    <x:row r="163">
      <x:c r="A163" s="66"/>
      <x:c r="B163" s="62"/>
      <x:c r="C163" s="62"/>
      <x:c r="D163" s="62"/>
      <x:c r="E163" s="68"/>
      <x:c r="F163" s="75"/>
      <x:c r="G163" s="71" t="n">
        <x:f>IF(A163="",0,E163*F163)</x:f>
        <x:v>0</x:v>
      </x:c>
      <x:c r="H163" s="62"/>
      <x:c r="I163" s="62"/>
      <x:c r="J163" s="62"/>
      <x:c r="K163" s="62"/>
    </x:row>
    <x:row r="164">
      <x:c r="A164" s="66"/>
      <x:c r="B164" s="62"/>
      <x:c r="C164" s="62"/>
      <x:c r="D164" s="62"/>
      <x:c r="E164" s="68"/>
      <x:c r="F164" s="75"/>
      <x:c r="G164" s="71" t="n">
        <x:f>IF(A164="",0,E164*F164)</x:f>
        <x:v>0</x:v>
      </x:c>
      <x:c r="H164" s="62"/>
      <x:c r="I164" s="62"/>
      <x:c r="J164" s="62"/>
      <x:c r="K164" s="62"/>
    </x:row>
    <x:row r="165">
      <x:c r="A165" s="66"/>
      <x:c r="B165" s="62"/>
      <x:c r="C165" s="62"/>
      <x:c r="D165" s="62"/>
      <x:c r="E165" s="68"/>
      <x:c r="F165" s="75"/>
      <x:c r="G165" s="71" t="n">
        <x:f>IF(A165="",0,E165*F165)</x:f>
        <x:v>0</x:v>
      </x:c>
      <x:c r="H165" s="62"/>
      <x:c r="I165" s="62"/>
      <x:c r="J165" s="62"/>
      <x:c r="K165" s="62"/>
    </x:row>
    <x:row r="166">
      <x:c r="A166" s="66"/>
      <x:c r="B166" s="62"/>
      <x:c r="C166" s="62"/>
      <x:c r="D166" s="62"/>
      <x:c r="E166" s="68"/>
      <x:c r="F166" s="75"/>
      <x:c r="G166" s="71" t="n">
        <x:f>IF(A166="",0,E166*F166)</x:f>
        <x:v>0</x:v>
      </x:c>
      <x:c r="H166" s="62"/>
      <x:c r="I166" s="62"/>
      <x:c r="J166" s="62"/>
      <x:c r="K166" s="62"/>
    </x:row>
    <x:row r="167">
      <x:c r="A167" s="66"/>
      <x:c r="B167" s="62"/>
      <x:c r="C167" s="62"/>
      <x:c r="D167" s="62"/>
      <x:c r="E167" s="68"/>
      <x:c r="F167" s="75"/>
      <x:c r="G167" s="71" t="n">
        <x:f>IF(A167="",0,E167*F167)</x:f>
        <x:v>0</x:v>
      </x:c>
      <x:c r="H167" s="62"/>
      <x:c r="I167" s="62"/>
      <x:c r="J167" s="62"/>
      <x:c r="K167" s="62"/>
    </x:row>
    <x:row r="168">
      <x:c r="A168" s="66"/>
      <x:c r="B168" s="62"/>
      <x:c r="C168" s="62"/>
      <x:c r="D168" s="62"/>
      <x:c r="E168" s="68"/>
      <x:c r="F168" s="75"/>
      <x:c r="G168" s="71" t="n">
        <x:f>IF(A168="",0,E168*F168)</x:f>
        <x:v>0</x:v>
      </x:c>
      <x:c r="H168" s="62"/>
      <x:c r="I168" s="62"/>
      <x:c r="J168" s="62"/>
      <x:c r="K168" s="62"/>
    </x:row>
    <x:row r="169">
      <x:c r="A169" s="66"/>
      <x:c r="B169" s="62"/>
      <x:c r="C169" s="62"/>
      <x:c r="D169" s="62"/>
      <x:c r="E169" s="68"/>
      <x:c r="F169" s="75"/>
      <x:c r="G169" s="71" t="n">
        <x:f>IF(A169="",0,E169*F169)</x:f>
        <x:v>0</x:v>
      </x:c>
      <x:c r="H169" s="62"/>
      <x:c r="I169" s="62"/>
      <x:c r="J169" s="62"/>
      <x:c r="K169" s="62"/>
    </x:row>
    <x:row r="170">
      <x:c r="A170" s="66"/>
      <x:c r="B170" s="62"/>
      <x:c r="C170" s="62"/>
      <x:c r="D170" s="62"/>
      <x:c r="E170" s="68"/>
      <x:c r="F170" s="75"/>
      <x:c r="G170" s="71" t="n">
        <x:f>IF(A170="",0,E170*F170)</x:f>
        <x:v>0</x:v>
      </x:c>
      <x:c r="H170" s="62"/>
      <x:c r="I170" s="62"/>
      <x:c r="J170" s="62"/>
      <x:c r="K170" s="62"/>
    </x:row>
    <x:row r="171">
      <x:c r="A171" s="66"/>
      <x:c r="B171" s="62"/>
      <x:c r="C171" s="62"/>
      <x:c r="D171" s="62"/>
      <x:c r="E171" s="68"/>
      <x:c r="F171" s="75"/>
      <x:c r="G171" s="71" t="n">
        <x:f>IF(A171="",0,E171*F171)</x:f>
        <x:v>0</x:v>
      </x:c>
      <x:c r="H171" s="62"/>
      <x:c r="I171" s="62"/>
      <x:c r="J171" s="62"/>
      <x:c r="K171" s="62"/>
    </x:row>
    <x:row r="172">
      <x:c r="A172" s="66"/>
      <x:c r="B172" s="62"/>
      <x:c r="C172" s="62"/>
      <x:c r="D172" s="62"/>
      <x:c r="E172" s="68"/>
      <x:c r="F172" s="75"/>
      <x:c r="G172" s="71" t="n">
        <x:f>IF(A172="",0,E172*F172)</x:f>
        <x:v>0</x:v>
      </x:c>
      <x:c r="H172" s="62"/>
      <x:c r="I172" s="62"/>
      <x:c r="J172" s="62"/>
      <x:c r="K172" s="62"/>
    </x:row>
    <x:row r="173">
      <x:c r="A173" s="66"/>
      <x:c r="B173" s="62"/>
      <x:c r="C173" s="62"/>
      <x:c r="D173" s="62"/>
      <x:c r="E173" s="68"/>
      <x:c r="F173" s="75"/>
      <x:c r="G173" s="71" t="n">
        <x:f>IF(A173="",0,E173*F173)</x:f>
        <x:v>0</x:v>
      </x:c>
      <x:c r="H173" s="62"/>
      <x:c r="I173" s="62"/>
      <x:c r="J173" s="62"/>
      <x:c r="K173" s="62"/>
    </x:row>
    <x:row r="174">
      <x:c r="A174" s="66"/>
      <x:c r="B174" s="62"/>
      <x:c r="C174" s="62"/>
      <x:c r="D174" s="62"/>
      <x:c r="E174" s="68"/>
      <x:c r="F174" s="75"/>
      <x:c r="G174" s="71" t="n">
        <x:f>IF(A174="",0,E174*F174)</x:f>
        <x:v>0</x:v>
      </x:c>
      <x:c r="H174" s="62"/>
      <x:c r="I174" s="62"/>
      <x:c r="J174" s="62"/>
      <x:c r="K174" s="62"/>
    </x:row>
    <x:row r="175">
      <x:c r="A175" s="66"/>
      <x:c r="B175" s="62"/>
      <x:c r="C175" s="62"/>
      <x:c r="D175" s="62"/>
      <x:c r="E175" s="68"/>
      <x:c r="F175" s="75"/>
      <x:c r="G175" s="71" t="n">
        <x:f>IF(A175="",0,E175*F175)</x:f>
        <x:v>0</x:v>
      </x:c>
      <x:c r="H175" s="62"/>
      <x:c r="I175" s="62"/>
      <x:c r="J175" s="62"/>
      <x:c r="K175" s="62"/>
    </x:row>
    <x:row r="176">
      <x:c r="A176" s="66"/>
      <x:c r="B176" s="62"/>
      <x:c r="C176" s="62"/>
      <x:c r="D176" s="62"/>
      <x:c r="E176" s="68"/>
      <x:c r="F176" s="75"/>
      <x:c r="G176" s="71" t="n">
        <x:f>IF(A176="",0,E176*F176)</x:f>
        <x:v>0</x:v>
      </x:c>
      <x:c r="H176" s="62"/>
      <x:c r="I176" s="62"/>
      <x:c r="J176" s="62"/>
      <x:c r="K176" s="62"/>
    </x:row>
    <x:row r="177">
      <x:c r="A177" s="66"/>
      <x:c r="B177" s="62"/>
      <x:c r="C177" s="62"/>
      <x:c r="D177" s="62"/>
      <x:c r="E177" s="68"/>
      <x:c r="F177" s="75"/>
      <x:c r="G177" s="71" t="n">
        <x:f>IF(A177="",0,E177*F177)</x:f>
        <x:v>0</x:v>
      </x:c>
      <x:c r="H177" s="62"/>
      <x:c r="I177" s="62"/>
      <x:c r="J177" s="62"/>
      <x:c r="K177" s="62"/>
    </x:row>
    <x:row r="178">
      <x:c r="A178" s="66"/>
      <x:c r="B178" s="62"/>
      <x:c r="C178" s="62"/>
      <x:c r="D178" s="62"/>
      <x:c r="E178" s="68"/>
      <x:c r="F178" s="75"/>
      <x:c r="G178" s="71" t="n">
        <x:f>IF(A178="",0,E178*F178)</x:f>
        <x:v>0</x:v>
      </x:c>
      <x:c r="H178" s="62"/>
      <x:c r="I178" s="62"/>
      <x:c r="J178" s="62"/>
      <x:c r="K178" s="62"/>
    </x:row>
    <x:row r="179">
      <x:c r="A179" s="66"/>
      <x:c r="B179" s="62"/>
      <x:c r="C179" s="62"/>
      <x:c r="D179" s="62"/>
      <x:c r="E179" s="68"/>
      <x:c r="F179" s="75"/>
      <x:c r="G179" s="71" t="n">
        <x:f>IF(A179="",0,E179*F179)</x:f>
        <x:v>0</x:v>
      </x:c>
      <x:c r="H179" s="62"/>
      <x:c r="I179" s="62"/>
      <x:c r="J179" s="62"/>
      <x:c r="K179" s="62"/>
    </x:row>
    <x:row r="180">
      <x:c r="A180" s="66"/>
      <x:c r="B180" s="62"/>
      <x:c r="C180" s="62"/>
      <x:c r="D180" s="62"/>
      <x:c r="E180" s="68"/>
      <x:c r="F180" s="75"/>
      <x:c r="G180" s="71" t="n">
        <x:f>IF(A180="",0,E180*F180)</x:f>
        <x:v>0</x:v>
      </x:c>
      <x:c r="H180" s="62"/>
      <x:c r="I180" s="62"/>
      <x:c r="J180" s="62"/>
      <x:c r="K180" s="62"/>
    </x:row>
    <x:row r="181">
      <x:c r="A181" s="66"/>
      <x:c r="B181" s="62"/>
      <x:c r="C181" s="62"/>
      <x:c r="D181" s="62"/>
      <x:c r="E181" s="68"/>
      <x:c r="F181" s="75"/>
      <x:c r="G181" s="71" t="n">
        <x:f>IF(A181="",0,E181*F181)</x:f>
        <x:v>0</x:v>
      </x:c>
      <x:c r="H181" s="62"/>
      <x:c r="I181" s="62"/>
      <x:c r="J181" s="62"/>
      <x:c r="K181" s="62"/>
    </x:row>
    <x:row r="182">
      <x:c r="A182" s="66"/>
      <x:c r="B182" s="62"/>
      <x:c r="C182" s="62"/>
      <x:c r="D182" s="62"/>
      <x:c r="E182" s="68"/>
      <x:c r="F182" s="75"/>
      <x:c r="G182" s="71" t="n">
        <x:f>IF(A182="",0,E182*F182)</x:f>
        <x:v>0</x:v>
      </x:c>
      <x:c r="H182" s="62"/>
      <x:c r="I182" s="62"/>
      <x:c r="J182" s="62"/>
      <x:c r="K182" s="62"/>
    </x:row>
    <x:row r="183">
      <x:c r="A183" s="66"/>
      <x:c r="B183" s="62"/>
      <x:c r="C183" s="62"/>
      <x:c r="D183" s="62"/>
      <x:c r="E183" s="68"/>
      <x:c r="F183" s="75"/>
      <x:c r="G183" s="71" t="n">
        <x:f>IF(A183="",0,E183*F183)</x:f>
        <x:v>0</x:v>
      </x:c>
      <x:c r="H183" s="62"/>
      <x:c r="I183" s="62"/>
      <x:c r="J183" s="62"/>
      <x:c r="K183" s="62"/>
    </x:row>
    <x:row r="184">
      <x:c r="A184" s="66"/>
      <x:c r="B184" s="62"/>
      <x:c r="C184" s="62"/>
      <x:c r="D184" s="62"/>
      <x:c r="E184" s="68"/>
      <x:c r="F184" s="75"/>
      <x:c r="G184" s="71" t="n">
        <x:f>IF(A184="",0,E184*F184)</x:f>
        <x:v>0</x:v>
      </x:c>
      <x:c r="H184" s="62"/>
      <x:c r="I184" s="62"/>
      <x:c r="J184" s="62"/>
      <x:c r="K184" s="62"/>
    </x:row>
    <x:row r="185">
      <x:c r="A185" s="66"/>
      <x:c r="B185" s="62"/>
      <x:c r="C185" s="62"/>
      <x:c r="D185" s="62"/>
      <x:c r="E185" s="68"/>
      <x:c r="F185" s="75"/>
      <x:c r="G185" s="71" t="n">
        <x:f>IF(A185="",0,E185*F185)</x:f>
        <x:v>0</x:v>
      </x:c>
      <x:c r="H185" s="62"/>
      <x:c r="I185" s="62"/>
      <x:c r="J185" s="62"/>
      <x:c r="K185" s="62"/>
    </x:row>
    <x:row r="186">
      <x:c r="A186" s="66"/>
      <x:c r="B186" s="62"/>
      <x:c r="C186" s="62"/>
      <x:c r="D186" s="62"/>
      <x:c r="E186" s="68"/>
      <x:c r="F186" s="75"/>
      <x:c r="G186" s="71" t="n">
        <x:f>IF(A186="",0,E186*F186)</x:f>
        <x:v>0</x:v>
      </x:c>
      <x:c r="H186" s="62"/>
      <x:c r="I186" s="62"/>
      <x:c r="J186" s="62"/>
      <x:c r="K186" s="62"/>
    </x:row>
    <x:row r="187">
      <x:c r="A187" s="66"/>
      <x:c r="B187" s="62"/>
      <x:c r="C187" s="62"/>
      <x:c r="D187" s="62"/>
      <x:c r="E187" s="68"/>
      <x:c r="F187" s="75"/>
      <x:c r="G187" s="71" t="n">
        <x:f>IF(A187="",0,E187*F187)</x:f>
        <x:v>0</x:v>
      </x:c>
      <x:c r="H187" s="62"/>
      <x:c r="I187" s="62"/>
      <x:c r="J187" s="62"/>
      <x:c r="K187" s="62"/>
    </x:row>
    <x:row r="188">
      <x:c r="A188" s="66"/>
      <x:c r="B188" s="62"/>
      <x:c r="C188" s="62"/>
      <x:c r="D188" s="62"/>
      <x:c r="E188" s="68"/>
      <x:c r="F188" s="75"/>
      <x:c r="G188" s="71" t="n">
        <x:f>IF(A188="",0,E188*F188)</x:f>
        <x:v>0</x:v>
      </x:c>
      <x:c r="H188" s="62"/>
      <x:c r="I188" s="62"/>
      <x:c r="J188" s="62"/>
      <x:c r="K188" s="62"/>
    </x:row>
    <x:row r="189">
      <x:c r="A189" s="66"/>
      <x:c r="B189" s="62"/>
      <x:c r="C189" s="62"/>
      <x:c r="D189" s="62"/>
      <x:c r="E189" s="68"/>
      <x:c r="F189" s="75"/>
      <x:c r="G189" s="71" t="n">
        <x:f>IF(A189="",0,E189*F189)</x:f>
        <x:v>0</x:v>
      </x:c>
      <x:c r="H189" s="62"/>
      <x:c r="I189" s="62"/>
      <x:c r="J189" s="62"/>
      <x:c r="K189" s="62"/>
    </x:row>
    <x:row r="190">
      <x:c r="A190" s="66"/>
      <x:c r="B190" s="62"/>
      <x:c r="C190" s="62"/>
      <x:c r="D190" s="62"/>
      <x:c r="E190" s="68"/>
      <x:c r="F190" s="75"/>
      <x:c r="G190" s="71" t="n">
        <x:f>IF(A190="",0,E190*F190)</x:f>
        <x:v>0</x:v>
      </x:c>
      <x:c r="H190" s="62"/>
      <x:c r="I190" s="62"/>
      <x:c r="J190" s="62"/>
      <x:c r="K190" s="62"/>
    </x:row>
    <x:row r="191">
      <x:c r="A191" s="66"/>
      <x:c r="B191" s="62"/>
      <x:c r="C191" s="62"/>
      <x:c r="D191" s="62"/>
      <x:c r="E191" s="68"/>
      <x:c r="F191" s="75"/>
      <x:c r="G191" s="71" t="n">
        <x:f>IF(A191="",0,E191*F191)</x:f>
        <x:v>0</x:v>
      </x:c>
      <x:c r="H191" s="62"/>
      <x:c r="I191" s="62"/>
      <x:c r="J191" s="62"/>
      <x:c r="K191" s="62"/>
    </x:row>
    <x:row r="192">
      <x:c r="A192" s="66"/>
      <x:c r="B192" s="62"/>
      <x:c r="C192" s="62"/>
      <x:c r="D192" s="62"/>
      <x:c r="E192" s="68"/>
      <x:c r="F192" s="75"/>
      <x:c r="G192" s="71" t="n">
        <x:f>IF(A192="",0,E192*F192)</x:f>
        <x:v>0</x:v>
      </x:c>
      <x:c r="H192" s="62"/>
      <x:c r="I192" s="62"/>
      <x:c r="J192" s="62"/>
      <x:c r="K192" s="62"/>
    </x:row>
    <x:row r="193">
      <x:c r="A193" s="66"/>
      <x:c r="B193" s="62"/>
      <x:c r="C193" s="62"/>
      <x:c r="D193" s="62"/>
      <x:c r="E193" s="68"/>
      <x:c r="F193" s="75"/>
      <x:c r="G193" s="71" t="n">
        <x:f>IF(A193="",0,E193*F193)</x:f>
        <x:v>0</x:v>
      </x:c>
      <x:c r="H193" s="62"/>
      <x:c r="I193" s="62"/>
      <x:c r="J193" s="62"/>
      <x:c r="K193" s="62"/>
    </x:row>
    <x:row r="194">
      <x:c r="A194" s="66"/>
      <x:c r="B194" s="62"/>
      <x:c r="C194" s="62"/>
      <x:c r="D194" s="62"/>
      <x:c r="E194" s="68"/>
      <x:c r="F194" s="75"/>
      <x:c r="G194" s="71" t="n">
        <x:f>IF(A194="",0,E194*F194)</x:f>
        <x:v>0</x:v>
      </x:c>
      <x:c r="H194" s="62"/>
      <x:c r="I194" s="62"/>
      <x:c r="J194" s="62"/>
      <x:c r="K194" s="62"/>
    </x:row>
    <x:row r="195">
      <x:c r="A195" s="66"/>
      <x:c r="B195" s="62"/>
      <x:c r="C195" s="62"/>
      <x:c r="D195" s="62"/>
      <x:c r="E195" s="68"/>
      <x:c r="F195" s="75"/>
      <x:c r="G195" s="71" t="n">
        <x:f>IF(A195="",0,E195*F195)</x:f>
        <x:v>0</x:v>
      </x:c>
      <x:c r="H195" s="62"/>
      <x:c r="I195" s="62"/>
      <x:c r="J195" s="62"/>
      <x:c r="K195" s="62"/>
    </x:row>
    <x:row r="196">
      <x:c r="A196" s="66"/>
      <x:c r="B196" s="62"/>
      <x:c r="C196" s="62"/>
      <x:c r="D196" s="62"/>
      <x:c r="E196" s="68"/>
      <x:c r="F196" s="75"/>
      <x:c r="G196" s="71" t="n">
        <x:f>IF(A196="",0,E196*F196)</x:f>
        <x:v>0</x:v>
      </x:c>
      <x:c r="H196" s="62"/>
      <x:c r="I196" s="62"/>
      <x:c r="J196" s="62"/>
      <x:c r="K196" s="62"/>
    </x:row>
    <x:row r="197">
      <x:c r="A197" s="66"/>
      <x:c r="B197" s="62"/>
      <x:c r="C197" s="62"/>
      <x:c r="D197" s="62"/>
      <x:c r="E197" s="68"/>
      <x:c r="F197" s="75"/>
      <x:c r="G197" s="71" t="n">
        <x:f>IF(A197="",0,E197*F197)</x:f>
        <x:v>0</x:v>
      </x:c>
      <x:c r="H197" s="62"/>
      <x:c r="I197" s="62"/>
      <x:c r="J197" s="62"/>
      <x:c r="K197" s="62"/>
    </x:row>
    <x:row r="198">
      <x:c r="A198" s="66"/>
      <x:c r="B198" s="62"/>
      <x:c r="C198" s="62"/>
      <x:c r="D198" s="62"/>
      <x:c r="E198" s="68"/>
      <x:c r="F198" s="75"/>
      <x:c r="G198" s="71" t="n">
        <x:f>IF(A198="",0,E198*F198)</x:f>
        <x:v>0</x:v>
      </x:c>
      <x:c r="H198" s="62"/>
      <x:c r="I198" s="62"/>
      <x:c r="J198" s="62"/>
      <x:c r="K198" s="62"/>
    </x:row>
    <x:row r="199">
      <x:c r="A199" s="66"/>
      <x:c r="B199" s="62"/>
      <x:c r="C199" s="62"/>
      <x:c r="D199" s="62"/>
      <x:c r="E199" s="68"/>
      <x:c r="F199" s="75"/>
      <x:c r="G199" s="71" t="n">
        <x:f>IF(A199="",0,E199*F199)</x:f>
        <x:v>0</x:v>
      </x:c>
      <x:c r="H199" s="62"/>
      <x:c r="I199" s="62"/>
      <x:c r="J199" s="62"/>
      <x:c r="K199" s="62"/>
    </x:row>
    <x:row r="200">
      <x:c r="A200" s="66"/>
      <x:c r="B200" s="62"/>
      <x:c r="C200" s="62"/>
      <x:c r="D200" s="62"/>
      <x:c r="E200" s="68"/>
      <x:c r="F200" s="75"/>
      <x:c r="G200" s="71" t="n">
        <x:f>IF(A200="",0,E200*F200)</x:f>
        <x:v>0</x:v>
      </x:c>
      <x:c r="H200" s="62"/>
      <x:c r="I200" s="62"/>
      <x:c r="J200" s="62"/>
      <x:c r="K200" s="62"/>
    </x:row>
    <x:row r="201">
      <x:c r="A201" s="66"/>
      <x:c r="B201" s="62"/>
      <x:c r="C201" s="62"/>
      <x:c r="D201" s="62"/>
      <x:c r="E201" s="68"/>
      <x:c r="F201" s="75"/>
      <x:c r="G201" s="71" t="n">
        <x:f>IF(A201="",0,E201*F201)</x:f>
        <x:v>0</x:v>
      </x:c>
      <x:c r="H201" s="62"/>
      <x:c r="I201" s="62"/>
      <x:c r="J201" s="62"/>
      <x:c r="K201" s="62"/>
    </x:row>
    <x:row r="202">
      <x:c r="A202" s="66"/>
      <x:c r="B202" s="62"/>
      <x:c r="C202" s="62"/>
      <x:c r="D202" s="62"/>
      <x:c r="E202" s="68"/>
      <x:c r="F202" s="75"/>
      <x:c r="G202" s="71" t="n">
        <x:f>IF(A202="",0,E202*F202)</x:f>
        <x:v>0</x:v>
      </x:c>
      <x:c r="H202" s="62"/>
      <x:c r="I202" s="62"/>
      <x:c r="J202" s="62"/>
      <x:c r="K202" s="62"/>
    </x:row>
    <x:row r="203">
      <x:c r="A203" s="66"/>
      <x:c r="B203" s="62"/>
      <x:c r="C203" s="62"/>
      <x:c r="D203" s="62"/>
      <x:c r="E203" s="68"/>
      <x:c r="F203" s="75"/>
      <x:c r="G203" s="71" t="n">
        <x:f>IF(A203="",0,E203*F203)</x:f>
        <x:v>0</x:v>
      </x:c>
      <x:c r="H203" s="62"/>
      <x:c r="I203" s="62"/>
      <x:c r="J203" s="62"/>
      <x:c r="K203" s="62"/>
    </x:row>
    <x:row r="204">
      <x:c r="A204" s="66"/>
      <x:c r="B204" s="62"/>
      <x:c r="C204" s="62"/>
      <x:c r="D204" s="62"/>
      <x:c r="E204" s="68"/>
      <x:c r="F204" s="75"/>
      <x:c r="G204" s="71" t="n">
        <x:f>IF(A204="",0,E204*F204)</x:f>
        <x:v>0</x:v>
      </x:c>
      <x:c r="H204" s="62"/>
      <x:c r="I204" s="62"/>
      <x:c r="J204" s="62"/>
      <x:c r="K204" s="62"/>
    </x:row>
    <x:row r="205">
      <x:c r="A205" s="66"/>
      <x:c r="B205" s="62"/>
      <x:c r="C205" s="62"/>
      <x:c r="D205" s="62"/>
      <x:c r="E205" s="68"/>
      <x:c r="F205" s="75"/>
      <x:c r="G205" s="71" t="n">
        <x:f>IF(A205="",0,E205*F205)</x:f>
        <x:v>0</x:v>
      </x:c>
      <x:c r="H205" s="62"/>
      <x:c r="I205" s="62"/>
      <x:c r="J205" s="62"/>
      <x:c r="K205" s="62"/>
    </x:row>
    <x:row r="206">
      <x:c r="A206" s="66"/>
      <x:c r="B206" s="62"/>
      <x:c r="C206" s="62"/>
      <x:c r="D206" s="62"/>
      <x:c r="E206" s="68"/>
      <x:c r="F206" s="75"/>
      <x:c r="G206" s="71" t="n">
        <x:f>IF(A206="",0,E206*F206)</x:f>
        <x:v>0</x:v>
      </x:c>
      <x:c r="H206" s="62"/>
      <x:c r="I206" s="62"/>
      <x:c r="J206" s="62"/>
      <x:c r="K206" s="62"/>
    </x:row>
    <x:row r="207">
      <x:c r="A207" s="66"/>
      <x:c r="B207" s="62"/>
      <x:c r="C207" s="62"/>
      <x:c r="D207" s="62"/>
      <x:c r="E207" s="68"/>
      <x:c r="F207" s="75"/>
      <x:c r="G207" s="71" t="n">
        <x:f>IF(A207="",0,E207*F207)</x:f>
        <x:v>0</x:v>
      </x:c>
      <x:c r="H207" s="62"/>
      <x:c r="I207" s="62"/>
      <x:c r="J207" s="62"/>
      <x:c r="K207" s="62"/>
    </x:row>
    <x:row r="208">
      <x:c r="A208" s="66"/>
      <x:c r="B208" s="62"/>
      <x:c r="C208" s="62"/>
      <x:c r="D208" s="62"/>
      <x:c r="E208" s="68"/>
      <x:c r="F208" s="75"/>
      <x:c r="G208" s="71" t="n">
        <x:f>IF(A208="",0,E208*F208)</x:f>
        <x:v>0</x:v>
      </x:c>
      <x:c r="H208" s="62"/>
      <x:c r="I208" s="62"/>
      <x:c r="J208" s="62"/>
      <x:c r="K208" s="62"/>
    </x:row>
    <x:row r="209">
      <x:c r="A209" s="66"/>
      <x:c r="B209" s="62"/>
      <x:c r="C209" s="62"/>
      <x:c r="D209" s="62"/>
      <x:c r="E209" s="68"/>
      <x:c r="F209" s="75"/>
      <x:c r="G209" s="71" t="n">
        <x:f>IF(A209="",0,E209*F209)</x:f>
        <x:v>0</x:v>
      </x:c>
      <x:c r="H209" s="62"/>
      <x:c r="I209" s="62"/>
      <x:c r="J209" s="62"/>
      <x:c r="K209" s="62"/>
    </x:row>
    <x:row r="210">
      <x:c r="A210" s="66"/>
      <x:c r="B210" s="62"/>
      <x:c r="C210" s="62"/>
      <x:c r="D210" s="62"/>
      <x:c r="E210" s="68"/>
      <x:c r="F210" s="75"/>
      <x:c r="G210" s="71" t="n">
        <x:f>IF(A210="",0,E210*F210)</x:f>
        <x:v>0</x:v>
      </x:c>
      <x:c r="H210" s="62"/>
      <x:c r="I210" s="62"/>
      <x:c r="J210" s="62"/>
      <x:c r="K210" s="62"/>
    </x:row>
    <x:row r="211">
      <x:c r="A211" s="66"/>
      <x:c r="B211" s="62"/>
      <x:c r="C211" s="62"/>
      <x:c r="D211" s="62"/>
      <x:c r="E211" s="68"/>
      <x:c r="F211" s="75"/>
      <x:c r="G211" s="71" t="n">
        <x:f>IF(A211="",0,E211*F211)</x:f>
        <x:v>0</x:v>
      </x:c>
      <x:c r="H211" s="62"/>
      <x:c r="I211" s="62"/>
      <x:c r="J211" s="62"/>
      <x:c r="K211" s="62"/>
    </x:row>
    <x:row r="212">
      <x:c r="A212" s="66"/>
      <x:c r="B212" s="62"/>
      <x:c r="C212" s="62"/>
      <x:c r="D212" s="62"/>
      <x:c r="E212" s="68"/>
      <x:c r="F212" s="75"/>
      <x:c r="G212" s="71" t="n">
        <x:f>IF(A212="",0,E212*F212)</x:f>
        <x:v>0</x:v>
      </x:c>
      <x:c r="H212" s="62"/>
      <x:c r="I212" s="62"/>
      <x:c r="J212" s="62"/>
      <x:c r="K212" s="62"/>
    </x:row>
    <x:row r="213">
      <x:c r="A213" s="66"/>
      <x:c r="B213" s="62"/>
      <x:c r="C213" s="62"/>
      <x:c r="D213" s="62"/>
      <x:c r="E213" s="68"/>
      <x:c r="F213" s="75"/>
      <x:c r="G213" s="71" t="n">
        <x:f>IF(A213="",0,E213*F213)</x:f>
        <x:v>0</x:v>
      </x:c>
      <x:c r="H213" s="62"/>
      <x:c r="I213" s="62"/>
      <x:c r="J213" s="62"/>
      <x:c r="K213" s="62"/>
    </x:row>
    <x:row r="214">
      <x:c r="A214" s="66"/>
      <x:c r="B214" s="62"/>
      <x:c r="C214" s="62"/>
      <x:c r="D214" s="62"/>
      <x:c r="E214" s="68"/>
      <x:c r="F214" s="75"/>
      <x:c r="G214" s="71" t="n">
        <x:f>IF(A214="",0,E214*F214)</x:f>
        <x:v>0</x:v>
      </x:c>
      <x:c r="H214" s="62"/>
      <x:c r="I214" s="62"/>
      <x:c r="J214" s="62"/>
      <x:c r="K214" s="62"/>
    </x:row>
    <x:row r="215">
      <x:c r="A215" s="66"/>
      <x:c r="B215" s="62"/>
      <x:c r="C215" s="62"/>
      <x:c r="D215" s="62"/>
      <x:c r="E215" s="68"/>
      <x:c r="F215" s="75"/>
      <x:c r="G215" s="71" t="n">
        <x:f>IF(A215="",0,E215*F215)</x:f>
        <x:v>0</x:v>
      </x:c>
      <x:c r="H215" s="62"/>
      <x:c r="I215" s="62"/>
      <x:c r="J215" s="62"/>
      <x:c r="K215" s="62"/>
    </x:row>
    <x:row r="216">
      <x:c r="A216" s="66"/>
      <x:c r="B216" s="62"/>
      <x:c r="C216" s="62"/>
      <x:c r="D216" s="62"/>
      <x:c r="E216" s="68"/>
      <x:c r="F216" s="75"/>
      <x:c r="G216" s="71" t="n">
        <x:f>IF(A216="",0,E216*F216)</x:f>
        <x:v>0</x:v>
      </x:c>
      <x:c r="H216" s="62"/>
      <x:c r="I216" s="62"/>
      <x:c r="J216" s="62"/>
      <x:c r="K216" s="62"/>
    </x:row>
    <x:row r="217">
      <x:c r="A217" s="66"/>
      <x:c r="B217" s="62"/>
      <x:c r="C217" s="62"/>
      <x:c r="D217" s="62"/>
      <x:c r="E217" s="68"/>
      <x:c r="F217" s="75"/>
      <x:c r="G217" s="71" t="n">
        <x:f>IF(A217="",0,E217*F217)</x:f>
        <x:v>0</x:v>
      </x:c>
      <x:c r="H217" s="62"/>
      <x:c r="I217" s="62"/>
      <x:c r="J217" s="62"/>
      <x:c r="K217" s="62"/>
    </x:row>
    <x:row r="218">
      <x:c r="A218" s="66"/>
      <x:c r="B218" s="62"/>
      <x:c r="C218" s="62"/>
      <x:c r="D218" s="62"/>
      <x:c r="E218" s="68"/>
      <x:c r="F218" s="75"/>
      <x:c r="G218" s="71" t="n">
        <x:f>IF(A218="",0,E218*F218)</x:f>
        <x:v>0</x:v>
      </x:c>
      <x:c r="H218" s="62"/>
      <x:c r="I218" s="62"/>
      <x:c r="J218" s="62"/>
      <x:c r="K218" s="62"/>
    </x:row>
    <x:row r="219">
      <x:c r="A219" s="66"/>
      <x:c r="B219" s="62"/>
      <x:c r="C219" s="62"/>
      <x:c r="D219" s="62"/>
      <x:c r="E219" s="68"/>
      <x:c r="F219" s="75"/>
      <x:c r="G219" s="71" t="n">
        <x:f>IF(A219="",0,E219*F219)</x:f>
        <x:v>0</x:v>
      </x:c>
      <x:c r="H219" s="62"/>
      <x:c r="I219" s="62"/>
      <x:c r="J219" s="62"/>
      <x:c r="K219" s="62"/>
    </x:row>
    <x:row r="220">
      <x:c r="A220" s="66"/>
      <x:c r="B220" s="62"/>
      <x:c r="C220" s="62"/>
      <x:c r="D220" s="62"/>
      <x:c r="E220" s="68"/>
      <x:c r="F220" s="75"/>
      <x:c r="G220" s="71" t="n">
        <x:f>IF(A220="",0,E220*F220)</x:f>
        <x:v>0</x:v>
      </x:c>
      <x:c r="H220" s="62"/>
      <x:c r="I220" s="62"/>
      <x:c r="J220" s="62"/>
      <x:c r="K220" s="62"/>
    </x:row>
    <x:row r="221">
      <x:c r="A221" s="66"/>
      <x:c r="B221" s="62"/>
      <x:c r="C221" s="62"/>
      <x:c r="D221" s="62"/>
      <x:c r="E221" s="68"/>
      <x:c r="F221" s="75"/>
      <x:c r="G221" s="71" t="n">
        <x:f>IF(A221="",0,E221*F221)</x:f>
        <x:v>0</x:v>
      </x:c>
      <x:c r="H221" s="62"/>
      <x:c r="I221" s="62"/>
      <x:c r="J221" s="62"/>
      <x:c r="K221" s="62"/>
    </x:row>
    <x:row r="222">
      <x:c r="A222" s="66"/>
      <x:c r="B222" s="62"/>
      <x:c r="C222" s="62"/>
      <x:c r="D222" s="62"/>
      <x:c r="E222" s="68"/>
      <x:c r="F222" s="75"/>
      <x:c r="G222" s="71" t="n">
        <x:f>IF(A222="",0,E222*F222)</x:f>
        <x:v>0</x:v>
      </x:c>
      <x:c r="H222" s="62"/>
      <x:c r="I222" s="62"/>
      <x:c r="J222" s="62"/>
      <x:c r="K222" s="62"/>
    </x:row>
    <x:row r="223">
      <x:c r="A223" s="66"/>
      <x:c r="B223" s="62"/>
      <x:c r="C223" s="62"/>
      <x:c r="D223" s="62"/>
      <x:c r="E223" s="68"/>
      <x:c r="F223" s="75"/>
      <x:c r="G223" s="71" t="n">
        <x:f>IF(A223="",0,E223*F223)</x:f>
        <x:v>0</x:v>
      </x:c>
      <x:c r="H223" s="62"/>
      <x:c r="I223" s="62"/>
      <x:c r="J223" s="62"/>
      <x:c r="K223" s="62"/>
    </x:row>
    <x:row r="224">
      <x:c r="A224" s="66"/>
      <x:c r="B224" s="62"/>
      <x:c r="C224" s="62"/>
      <x:c r="D224" s="62"/>
      <x:c r="E224" s="68"/>
      <x:c r="F224" s="75"/>
      <x:c r="G224" s="71" t="n">
        <x:f>IF(A224="",0,E224*F224)</x:f>
        <x:v>0</x:v>
      </x:c>
      <x:c r="H224" s="62"/>
      <x:c r="I224" s="62"/>
      <x:c r="J224" s="62"/>
      <x:c r="K224" s="62"/>
    </x:row>
    <x:row r="225">
      <x:c r="A225" s="66"/>
      <x:c r="B225" s="62"/>
      <x:c r="C225" s="62"/>
      <x:c r="D225" s="62"/>
      <x:c r="E225" s="68"/>
      <x:c r="F225" s="75"/>
      <x:c r="G225" s="71" t="n">
        <x:f>IF(A225="",0,E225*F225)</x:f>
        <x:v>0</x:v>
      </x:c>
      <x:c r="H225" s="62"/>
      <x:c r="I225" s="62"/>
      <x:c r="J225" s="62"/>
      <x:c r="K225" s="62"/>
    </x:row>
    <x:row r="226">
      <x:c r="A226" s="66"/>
      <x:c r="B226" s="62"/>
      <x:c r="C226" s="62"/>
      <x:c r="D226" s="62"/>
      <x:c r="E226" s="68"/>
      <x:c r="F226" s="75"/>
      <x:c r="G226" s="71" t="n">
        <x:f>IF(A226="",0,E226*F226)</x:f>
        <x:v>0</x:v>
      </x:c>
      <x:c r="H226" s="62"/>
      <x:c r="I226" s="62"/>
      <x:c r="J226" s="62"/>
      <x:c r="K226" s="62"/>
    </x:row>
    <x:row r="227">
      <x:c r="A227" s="66"/>
      <x:c r="B227" s="62"/>
      <x:c r="C227" s="62"/>
      <x:c r="D227" s="62"/>
      <x:c r="E227" s="68"/>
      <x:c r="F227" s="75"/>
      <x:c r="G227" s="71" t="n">
        <x:f>IF(A227="",0,E227*F227)</x:f>
        <x:v>0</x:v>
      </x:c>
      <x:c r="H227" s="62"/>
      <x:c r="I227" s="62"/>
      <x:c r="J227" s="62"/>
      <x:c r="K227" s="62"/>
    </x:row>
    <x:row r="228">
      <x:c r="A228" s="66"/>
      <x:c r="B228" s="62"/>
      <x:c r="C228" s="62"/>
      <x:c r="D228" s="62"/>
      <x:c r="E228" s="68"/>
      <x:c r="F228" s="75"/>
      <x:c r="G228" s="71" t="n">
        <x:f>IF(A228="",0,E228*F228)</x:f>
        <x:v>0</x:v>
      </x:c>
      <x:c r="H228" s="62"/>
      <x:c r="I228" s="62"/>
      <x:c r="J228" s="62"/>
      <x:c r="K228" s="62"/>
    </x:row>
    <x:row r="229">
      <x:c r="A229" s="66"/>
      <x:c r="B229" s="62"/>
      <x:c r="C229" s="62"/>
      <x:c r="D229" s="62"/>
      <x:c r="E229" s="68"/>
      <x:c r="F229" s="75"/>
      <x:c r="G229" s="71" t="n">
        <x:f>IF(A229="",0,E229*F229)</x:f>
        <x:v>0</x:v>
      </x:c>
      <x:c r="H229" s="62"/>
      <x:c r="I229" s="62"/>
      <x:c r="J229" s="62"/>
      <x:c r="K229" s="62"/>
    </x:row>
    <x:row r="230">
      <x:c r="A230" s="66"/>
      <x:c r="B230" s="62"/>
      <x:c r="C230" s="62"/>
      <x:c r="D230" s="62"/>
      <x:c r="E230" s="68"/>
      <x:c r="F230" s="75"/>
      <x:c r="G230" s="71" t="n">
        <x:f>IF(A230="",0,E230*F230)</x:f>
        <x:v>0</x:v>
      </x:c>
      <x:c r="H230" s="62"/>
      <x:c r="I230" s="62"/>
      <x:c r="J230" s="62"/>
      <x:c r="K230" s="62"/>
    </x:row>
    <x:row r="231">
      <x:c r="A231" s="66"/>
      <x:c r="B231" s="62"/>
      <x:c r="C231" s="62"/>
      <x:c r="D231" s="62"/>
      <x:c r="E231" s="68"/>
      <x:c r="F231" s="75"/>
      <x:c r="G231" s="71" t="n">
        <x:f>IF(A231="",0,E231*F231)</x:f>
        <x:v>0</x:v>
      </x:c>
      <x:c r="H231" s="62"/>
      <x:c r="I231" s="62"/>
      <x:c r="J231" s="62"/>
      <x:c r="K231" s="62"/>
    </x:row>
    <x:row r="232">
      <x:c r="A232" s="66"/>
      <x:c r="B232" s="62"/>
      <x:c r="C232" s="62"/>
      <x:c r="D232" s="62"/>
      <x:c r="E232" s="68"/>
      <x:c r="F232" s="75"/>
      <x:c r="G232" s="71" t="n">
        <x:f>IF(A232="",0,E232*F232)</x:f>
        <x:v>0</x:v>
      </x:c>
      <x:c r="H232" s="62"/>
      <x:c r="I232" s="62"/>
      <x:c r="J232" s="62"/>
      <x:c r="K232" s="62"/>
    </x:row>
    <x:row r="233">
      <x:c r="A233" s="66"/>
      <x:c r="B233" s="62"/>
      <x:c r="C233" s="62"/>
      <x:c r="D233" s="62"/>
      <x:c r="E233" s="68"/>
      <x:c r="F233" s="75"/>
      <x:c r="G233" s="71" t="n">
        <x:f>IF(A233="",0,E233*F233)</x:f>
        <x:v>0</x:v>
      </x:c>
      <x:c r="H233" s="62"/>
      <x:c r="I233" s="62"/>
      <x:c r="J233" s="62"/>
      <x:c r="K233" s="62"/>
    </x:row>
    <x:row r="234">
      <x:c r="A234" s="66"/>
      <x:c r="B234" s="62"/>
      <x:c r="C234" s="62"/>
      <x:c r="D234" s="62"/>
      <x:c r="E234" s="68"/>
      <x:c r="F234" s="75"/>
      <x:c r="G234" s="71" t="n">
        <x:f>IF(A234="",0,E234*F234)</x:f>
        <x:v>0</x:v>
      </x:c>
      <x:c r="H234" s="62"/>
      <x:c r="I234" s="62"/>
      <x:c r="J234" s="62"/>
      <x:c r="K234" s="62"/>
    </x:row>
    <x:row r="235">
      <x:c r="A235" s="66"/>
      <x:c r="B235" s="62"/>
      <x:c r="C235" s="62"/>
      <x:c r="D235" s="62"/>
      <x:c r="E235" s="68"/>
      <x:c r="F235" s="75"/>
      <x:c r="G235" s="71" t="n">
        <x:f>IF(A235="",0,E235*F235)</x:f>
        <x:v>0</x:v>
      </x:c>
      <x:c r="H235" s="62"/>
      <x:c r="I235" s="62"/>
      <x:c r="J235" s="62"/>
      <x:c r="K235" s="62"/>
    </x:row>
    <x:row r="236">
      <x:c r="A236" s="66"/>
      <x:c r="B236" s="62"/>
      <x:c r="C236" s="62"/>
      <x:c r="D236" s="62"/>
      <x:c r="E236" s="68"/>
      <x:c r="F236" s="75"/>
      <x:c r="G236" s="71" t="n">
        <x:f>IF(A236="",0,E236*F236)</x:f>
        <x:v>0</x:v>
      </x:c>
      <x:c r="H236" s="62"/>
      <x:c r="I236" s="62"/>
      <x:c r="J236" s="62"/>
      <x:c r="K236" s="62"/>
    </x:row>
    <x:row r="237">
      <x:c r="A237" s="66"/>
      <x:c r="B237" s="62"/>
      <x:c r="C237" s="62"/>
      <x:c r="D237" s="62"/>
      <x:c r="E237" s="68"/>
      <x:c r="F237" s="75"/>
      <x:c r="G237" s="71" t="n">
        <x:f>IF(A237="",0,E237*F237)</x:f>
        <x:v>0</x:v>
      </x:c>
      <x:c r="H237" s="62"/>
      <x:c r="I237" s="62"/>
      <x:c r="J237" s="62"/>
      <x:c r="K237" s="62"/>
    </x:row>
    <x:row r="238">
      <x:c r="A238" s="66"/>
      <x:c r="B238" s="62"/>
      <x:c r="C238" s="62"/>
      <x:c r="D238" s="62"/>
      <x:c r="E238" s="68"/>
      <x:c r="F238" s="75"/>
      <x:c r="G238" s="71" t="n">
        <x:f>IF(A238="",0,E238*F238)</x:f>
        <x:v>0</x:v>
      </x:c>
      <x:c r="H238" s="62"/>
      <x:c r="I238" s="62"/>
      <x:c r="J238" s="62"/>
      <x:c r="K238" s="62"/>
    </x:row>
    <x:row r="239">
      <x:c r="A239" s="66"/>
      <x:c r="B239" s="62"/>
      <x:c r="C239" s="62"/>
      <x:c r="D239" s="62"/>
      <x:c r="E239" s="68"/>
      <x:c r="F239" s="75"/>
      <x:c r="G239" s="71" t="n">
        <x:f>IF(A239="",0,E239*F239)</x:f>
        <x:v>0</x:v>
      </x:c>
      <x:c r="H239" s="62"/>
      <x:c r="I239" s="62"/>
      <x:c r="J239" s="62"/>
      <x:c r="K239" s="62"/>
    </x:row>
    <x:row r="240">
      <x:c r="A240" s="66"/>
      <x:c r="B240" s="62"/>
      <x:c r="C240" s="62"/>
      <x:c r="D240" s="62"/>
      <x:c r="E240" s="68"/>
      <x:c r="F240" s="75"/>
      <x:c r="G240" s="71" t="n">
        <x:f>IF(A240="",0,E240*F240)</x:f>
        <x:v>0</x:v>
      </x:c>
      <x:c r="H240" s="62"/>
      <x:c r="I240" s="62"/>
      <x:c r="J240" s="62"/>
      <x:c r="K240" s="62"/>
    </x:row>
    <x:row r="241">
      <x:c r="A241" s="66"/>
      <x:c r="B241" s="62"/>
      <x:c r="C241" s="62"/>
      <x:c r="D241" s="62"/>
      <x:c r="E241" s="68"/>
      <x:c r="F241" s="75"/>
      <x:c r="G241" s="71" t="n">
        <x:f>IF(A241="",0,E241*F241)</x:f>
        <x:v>0</x:v>
      </x:c>
      <x:c r="H241" s="62"/>
      <x:c r="I241" s="62"/>
      <x:c r="J241" s="62"/>
      <x:c r="K241" s="62"/>
    </x:row>
    <x:row r="242">
      <x:c r="A242" s="66"/>
      <x:c r="B242" s="62"/>
      <x:c r="C242" s="62"/>
      <x:c r="D242" s="62"/>
      <x:c r="E242" s="68"/>
      <x:c r="F242" s="75"/>
      <x:c r="G242" s="71" t="n">
        <x:f>IF(A242="",0,E242*F242)</x:f>
        <x:v>0</x:v>
      </x:c>
      <x:c r="H242" s="62"/>
      <x:c r="I242" s="62"/>
      <x:c r="J242" s="62"/>
      <x:c r="K242" s="62"/>
    </x:row>
    <x:row r="243">
      <x:c r="A243" s="66"/>
      <x:c r="B243" s="62"/>
      <x:c r="C243" s="62"/>
      <x:c r="D243" s="62"/>
      <x:c r="E243" s="68"/>
      <x:c r="F243" s="75"/>
      <x:c r="G243" s="71" t="n">
        <x:f>IF(A243="",0,E243*F243)</x:f>
        <x:v>0</x:v>
      </x:c>
      <x:c r="H243" s="62"/>
      <x:c r="I243" s="62"/>
      <x:c r="J243" s="62"/>
      <x:c r="K243" s="62"/>
    </x:row>
    <x:row r="244">
      <x:c r="A244" s="66"/>
      <x:c r="B244" s="62"/>
      <x:c r="C244" s="62"/>
      <x:c r="D244" s="62"/>
      <x:c r="E244" s="68"/>
      <x:c r="F244" s="75"/>
      <x:c r="G244" s="71" t="n">
        <x:f>IF(A244="",0,E244*F244)</x:f>
        <x:v>0</x:v>
      </x:c>
      <x:c r="H244" s="62"/>
      <x:c r="I244" s="62"/>
      <x:c r="J244" s="62"/>
      <x:c r="K244" s="62"/>
    </x:row>
    <x:row r="245">
      <x:c r="A245" s="66"/>
      <x:c r="B245" s="62"/>
      <x:c r="C245" s="62"/>
      <x:c r="D245" s="62"/>
      <x:c r="E245" s="68"/>
      <x:c r="F245" s="75"/>
      <x:c r="G245" s="71" t="n">
        <x:f>IF(A245="",0,E245*F245)</x:f>
        <x:v>0</x:v>
      </x:c>
      <x:c r="H245" s="62"/>
      <x:c r="I245" s="62"/>
      <x:c r="J245" s="62"/>
      <x:c r="K245" s="62"/>
    </x:row>
    <x:row r="246">
      <x:c r="A246" s="66"/>
      <x:c r="B246" s="62"/>
      <x:c r="C246" s="62"/>
      <x:c r="D246" s="62"/>
      <x:c r="E246" s="68"/>
      <x:c r="F246" s="75"/>
      <x:c r="G246" s="71" t="n">
        <x:f>IF(A246="",0,E246*F246)</x:f>
        <x:v>0</x:v>
      </x:c>
      <x:c r="H246" s="62"/>
      <x:c r="I246" s="62"/>
      <x:c r="J246" s="62"/>
      <x:c r="K246" s="62"/>
    </x:row>
    <x:row r="247">
      <x:c r="A247" s="66"/>
      <x:c r="B247" s="62"/>
      <x:c r="C247" s="62"/>
      <x:c r="D247" s="62"/>
      <x:c r="E247" s="68"/>
      <x:c r="F247" s="75"/>
      <x:c r="G247" s="71" t="n">
        <x:f>IF(A247="",0,E247*F247)</x:f>
        <x:v>0</x:v>
      </x:c>
      <x:c r="H247" s="62"/>
      <x:c r="I247" s="62"/>
      <x:c r="J247" s="62"/>
      <x:c r="K247" s="62"/>
    </x:row>
    <x:row r="248">
      <x:c r="A248" s="66"/>
      <x:c r="B248" s="62"/>
      <x:c r="C248" s="62"/>
      <x:c r="D248" s="62"/>
      <x:c r="E248" s="68"/>
      <x:c r="F248" s="75"/>
      <x:c r="G248" s="71" t="n">
        <x:f>IF(A248="",0,E248*F248)</x:f>
        <x:v>0</x:v>
      </x:c>
      <x:c r="H248" s="62"/>
      <x:c r="I248" s="62"/>
      <x:c r="J248" s="62"/>
      <x:c r="K248" s="62"/>
    </x:row>
    <x:row r="249">
      <x:c r="A249" s="66"/>
      <x:c r="B249" s="62"/>
      <x:c r="C249" s="62"/>
      <x:c r="D249" s="62"/>
      <x:c r="E249" s="68"/>
      <x:c r="F249" s="75"/>
      <x:c r="G249" s="71" t="n">
        <x:f>IF(A249="",0,E249*F249)</x:f>
        <x:v>0</x:v>
      </x:c>
      <x:c r="H249" s="62"/>
      <x:c r="I249" s="62"/>
      <x:c r="J249" s="62"/>
      <x:c r="K249" s="62"/>
    </x:row>
    <x:row r="250">
      <x:c r="A250" s="66"/>
      <x:c r="B250" s="62"/>
      <x:c r="C250" s="62"/>
      <x:c r="D250" s="62"/>
      <x:c r="E250" s="68"/>
      <x:c r="F250" s="75"/>
      <x:c r="G250" s="71" t="n">
        <x:f>IF(A250="",0,E250*F250)</x:f>
        <x:v>0</x:v>
      </x:c>
      <x:c r="H250" s="62"/>
      <x:c r="I250" s="62"/>
      <x:c r="J250" s="62"/>
      <x:c r="K250" s="62"/>
    </x:row>
    <x:row r="251">
      <x:c r="A251" s="66"/>
      <x:c r="B251" s="62"/>
      <x:c r="C251" s="62"/>
      <x:c r="D251" s="62"/>
      <x:c r="E251" s="68"/>
      <x:c r="F251" s="75"/>
      <x:c r="G251" s="71" t="n">
        <x:f>IF(A251="",0,E251*F251)</x:f>
        <x:v>0</x:v>
      </x:c>
      <x:c r="H251" s="62"/>
      <x:c r="I251" s="62"/>
      <x:c r="J251" s="62"/>
      <x:c r="K251" s="62"/>
    </x:row>
    <x:row r="252">
      <x:c r="A252" s="66"/>
      <x:c r="B252" s="62"/>
      <x:c r="C252" s="62"/>
      <x:c r="D252" s="62"/>
      <x:c r="E252" s="68"/>
      <x:c r="F252" s="75"/>
      <x:c r="G252" s="71" t="n">
        <x:f>IF(A252="",0,E252*F252)</x:f>
        <x:v>0</x:v>
      </x:c>
      <x:c r="H252" s="62"/>
      <x:c r="I252" s="62"/>
      <x:c r="J252" s="62"/>
      <x:c r="K252" s="62"/>
    </x:row>
    <x:row r="253">
      <x:c r="A253" s="66"/>
      <x:c r="B253" s="62"/>
      <x:c r="C253" s="62"/>
      <x:c r="D253" s="62"/>
      <x:c r="E253" s="68"/>
      <x:c r="F253" s="75"/>
      <x:c r="G253" s="71" t="n">
        <x:f>IF(A253="",0,E253*F253)</x:f>
        <x:v>0</x:v>
      </x:c>
      <x:c r="H253" s="62"/>
      <x:c r="I253" s="62"/>
      <x:c r="J253" s="62"/>
      <x:c r="K253" s="62"/>
    </x:row>
    <x:row r="254">
      <x:c r="A254" s="66"/>
      <x:c r="B254" s="62"/>
      <x:c r="C254" s="62"/>
      <x:c r="D254" s="62"/>
      <x:c r="E254" s="68"/>
      <x:c r="F254" s="75"/>
      <x:c r="G254" s="71" t="n">
        <x:f>IF(A254="",0,E254*F254)</x:f>
        <x:v>0</x:v>
      </x:c>
      <x:c r="H254" s="62"/>
      <x:c r="I254" s="62"/>
      <x:c r="J254" s="62"/>
      <x:c r="K254" s="62"/>
    </x:row>
    <x:row r="255">
      <x:c r="A255" s="66"/>
      <x:c r="B255" s="62"/>
      <x:c r="C255" s="62"/>
      <x:c r="D255" s="62"/>
      <x:c r="E255" s="68"/>
      <x:c r="F255" s="75"/>
      <x:c r="G255" s="71" t="n">
        <x:f>IF(A255="",0,E255*F255)</x:f>
        <x:v>0</x:v>
      </x:c>
      <x:c r="H255" s="62"/>
      <x:c r="I255" s="62"/>
      <x:c r="J255" s="62"/>
      <x:c r="K255" s="62"/>
    </x:row>
    <x:row r="256">
      <x:c r="A256" s="66"/>
      <x:c r="B256" s="62"/>
      <x:c r="C256" s="62"/>
      <x:c r="D256" s="62"/>
      <x:c r="E256" s="68"/>
      <x:c r="F256" s="75"/>
      <x:c r="G256" s="71" t="n">
        <x:f>IF(A256="",0,E256*F256)</x:f>
        <x:v>0</x:v>
      </x:c>
      <x:c r="H256" s="62"/>
      <x:c r="I256" s="62"/>
      <x:c r="J256" s="62"/>
      <x:c r="K256" s="62"/>
    </x:row>
    <x:row r="257">
      <x:c r="A257" s="66"/>
      <x:c r="B257" s="62"/>
      <x:c r="C257" s="62"/>
      <x:c r="D257" s="62"/>
      <x:c r="E257" s="68"/>
      <x:c r="F257" s="75"/>
      <x:c r="G257" s="71" t="n">
        <x:f>IF(A257="",0,E257*F257)</x:f>
        <x:v>0</x:v>
      </x:c>
      <x:c r="H257" s="62"/>
      <x:c r="I257" s="62"/>
      <x:c r="J257" s="62"/>
      <x:c r="K257" s="62"/>
    </x:row>
    <x:row r="258">
      <x:c r="A258" s="66"/>
      <x:c r="B258" s="62"/>
      <x:c r="C258" s="62"/>
      <x:c r="D258" s="62"/>
      <x:c r="E258" s="68"/>
      <x:c r="F258" s="75"/>
      <x:c r="G258" s="71" t="n">
        <x:f>IF(A258="",0,E258*F258)</x:f>
        <x:v>0</x:v>
      </x:c>
      <x:c r="H258" s="62"/>
      <x:c r="I258" s="62"/>
      <x:c r="J258" s="62"/>
      <x:c r="K258" s="62"/>
    </x:row>
    <x:row r="259">
      <x:c r="A259" s="66"/>
      <x:c r="B259" s="62"/>
      <x:c r="C259" s="62"/>
      <x:c r="D259" s="62"/>
      <x:c r="E259" s="68"/>
      <x:c r="F259" s="75"/>
      <x:c r="G259" s="71" t="n">
        <x:f>IF(A259="",0,E259*F259)</x:f>
        <x:v>0</x:v>
      </x:c>
      <x:c r="H259" s="62"/>
      <x:c r="I259" s="62"/>
      <x:c r="J259" s="62"/>
      <x:c r="K259" s="62"/>
    </x:row>
    <x:row r="260">
      <x:c r="A260" s="66"/>
      <x:c r="B260" s="62"/>
      <x:c r="C260" s="62"/>
      <x:c r="D260" s="62"/>
      <x:c r="E260" s="68"/>
      <x:c r="F260" s="75"/>
      <x:c r="G260" s="71" t="n">
        <x:f>IF(A260="",0,E260*F260)</x:f>
        <x:v>0</x:v>
      </x:c>
      <x:c r="H260" s="62"/>
      <x:c r="I260" s="62"/>
      <x:c r="J260" s="62"/>
      <x:c r="K260" s="62"/>
    </x:row>
    <x:row r="261">
      <x:c r="A261" s="66"/>
      <x:c r="B261" s="62"/>
      <x:c r="C261" s="62"/>
      <x:c r="D261" s="62"/>
      <x:c r="E261" s="68"/>
      <x:c r="F261" s="75"/>
      <x:c r="G261" s="71" t="n">
        <x:f>IF(A261="",0,E261*F261)</x:f>
        <x:v>0</x:v>
      </x:c>
      <x:c r="H261" s="62"/>
      <x:c r="I261" s="62"/>
      <x:c r="J261" s="62"/>
      <x:c r="K261" s="62"/>
    </x:row>
    <x:row r="262">
      <x:c r="A262" s="66"/>
      <x:c r="B262" s="62"/>
      <x:c r="C262" s="62"/>
      <x:c r="D262" s="62"/>
      <x:c r="E262" s="68"/>
      <x:c r="F262" s="75"/>
      <x:c r="G262" s="71" t="n">
        <x:f>IF(A262="",0,E262*F262)</x:f>
        <x:v>0</x:v>
      </x:c>
      <x:c r="H262" s="62"/>
      <x:c r="I262" s="62"/>
      <x:c r="J262" s="62"/>
      <x:c r="K262" s="62"/>
    </x:row>
    <x:row r="263">
      <x:c r="A263" s="66"/>
      <x:c r="B263" s="62"/>
      <x:c r="C263" s="62"/>
      <x:c r="D263" s="62"/>
      <x:c r="E263" s="68"/>
      <x:c r="F263" s="75"/>
      <x:c r="G263" s="71" t="n">
        <x:f>IF(A263="",0,E263*F263)</x:f>
        <x:v>0</x:v>
      </x:c>
      <x:c r="H263" s="62"/>
      <x:c r="I263" s="62"/>
      <x:c r="J263" s="62"/>
      <x:c r="K263" s="62"/>
    </x:row>
    <x:row r="264">
      <x:c r="A264" s="66"/>
      <x:c r="B264" s="62"/>
      <x:c r="C264" s="62"/>
      <x:c r="D264" s="62"/>
      <x:c r="E264" s="68"/>
      <x:c r="F264" s="75"/>
      <x:c r="G264" s="71" t="n">
        <x:f>IF(A264="",0,E264*F264)</x:f>
        <x:v>0</x:v>
      </x:c>
      <x:c r="H264" s="62"/>
      <x:c r="I264" s="62"/>
      <x:c r="J264" s="62"/>
      <x:c r="K264" s="62"/>
    </x:row>
    <x:row r="265">
      <x:c r="A265" s="66"/>
      <x:c r="B265" s="62"/>
      <x:c r="C265" s="62"/>
      <x:c r="D265" s="62"/>
      <x:c r="E265" s="68"/>
      <x:c r="F265" s="75"/>
      <x:c r="G265" s="71" t="n">
        <x:f>IF(A265="",0,E265*F265)</x:f>
        <x:v>0</x:v>
      </x:c>
      <x:c r="H265" s="62"/>
      <x:c r="I265" s="62"/>
      <x:c r="J265" s="62"/>
      <x:c r="K265" s="62"/>
    </x:row>
    <x:row r="266">
      <x:c r="A266" s="66"/>
      <x:c r="B266" s="62"/>
      <x:c r="C266" s="62"/>
      <x:c r="D266" s="62"/>
      <x:c r="E266" s="68"/>
      <x:c r="F266" s="75"/>
      <x:c r="G266" s="71" t="n">
        <x:f>IF(A266="",0,E266*F266)</x:f>
        <x:v>0</x:v>
      </x:c>
      <x:c r="H266" s="62"/>
      <x:c r="I266" s="62"/>
      <x:c r="J266" s="62"/>
      <x:c r="K266" s="62"/>
    </x:row>
    <x:row r="267">
      <x:c r="A267" s="66"/>
      <x:c r="B267" s="62"/>
      <x:c r="C267" s="62"/>
      <x:c r="D267" s="62"/>
      <x:c r="E267" s="68"/>
      <x:c r="F267" s="75"/>
      <x:c r="G267" s="71" t="n">
        <x:f>IF(A267="",0,E267*F267)</x:f>
        <x:v>0</x:v>
      </x:c>
      <x:c r="H267" s="62"/>
      <x:c r="I267" s="62"/>
      <x:c r="J267" s="62"/>
      <x:c r="K267" s="62"/>
    </x:row>
    <x:row r="268">
      <x:c r="A268" s="66"/>
      <x:c r="B268" s="62"/>
      <x:c r="C268" s="62"/>
      <x:c r="D268" s="62"/>
      <x:c r="E268" s="68"/>
      <x:c r="F268" s="75"/>
      <x:c r="G268" s="71" t="n">
        <x:f>IF(A268="",0,E268*F268)</x:f>
        <x:v>0</x:v>
      </x:c>
      <x:c r="H268" s="62"/>
      <x:c r="I268" s="62"/>
      <x:c r="J268" s="62"/>
      <x:c r="K268" s="62"/>
    </x:row>
    <x:row r="269">
      <x:c r="A269" s="66"/>
      <x:c r="B269" s="62"/>
      <x:c r="C269" s="62"/>
      <x:c r="D269" s="62"/>
      <x:c r="E269" s="68"/>
      <x:c r="F269" s="75"/>
      <x:c r="G269" s="71" t="n">
        <x:f>IF(A269="",0,E269*F269)</x:f>
        <x:v>0</x:v>
      </x:c>
      <x:c r="H269" s="62"/>
      <x:c r="I269" s="62"/>
      <x:c r="J269" s="62"/>
      <x:c r="K269" s="62"/>
    </x:row>
    <x:row r="270">
      <x:c r="A270" s="66"/>
      <x:c r="B270" s="62"/>
      <x:c r="C270" s="62"/>
      <x:c r="D270" s="62"/>
      <x:c r="E270" s="68"/>
      <x:c r="F270" s="75"/>
      <x:c r="G270" s="71" t="n">
        <x:f>IF(A270="",0,E270*F270)</x:f>
        <x:v>0</x:v>
      </x:c>
      <x:c r="H270" s="62"/>
      <x:c r="I270" s="62"/>
      <x:c r="J270" s="62"/>
      <x:c r="K270" s="62"/>
    </x:row>
    <x:row r="271">
      <x:c r="A271" s="66"/>
      <x:c r="B271" s="62"/>
      <x:c r="C271" s="62"/>
      <x:c r="D271" s="62"/>
      <x:c r="E271" s="68"/>
      <x:c r="F271" s="75"/>
      <x:c r="G271" s="71" t="n">
        <x:f>IF(A271="",0,E271*F271)</x:f>
        <x:v>0</x:v>
      </x:c>
      <x:c r="H271" s="62"/>
      <x:c r="I271" s="62"/>
      <x:c r="J271" s="62"/>
      <x:c r="K271" s="62"/>
    </x:row>
    <x:row r="272">
      <x:c r="A272" s="66"/>
      <x:c r="B272" s="62"/>
      <x:c r="C272" s="62"/>
      <x:c r="D272" s="62"/>
      <x:c r="E272" s="68"/>
      <x:c r="F272" s="75"/>
      <x:c r="G272" s="71" t="n">
        <x:f>IF(A272="",0,E272*F272)</x:f>
        <x:v>0</x:v>
      </x:c>
      <x:c r="H272" s="62"/>
      <x:c r="I272" s="62"/>
      <x:c r="J272" s="62"/>
      <x:c r="K272" s="62"/>
    </x:row>
    <x:row r="273">
      <x:c r="A273" s="66"/>
      <x:c r="B273" s="62"/>
      <x:c r="C273" s="62"/>
      <x:c r="D273" s="62"/>
      <x:c r="E273" s="68"/>
      <x:c r="F273" s="75"/>
      <x:c r="G273" s="71" t="n">
        <x:f>IF(A273="",0,E273*F273)</x:f>
        <x:v>0</x:v>
      </x:c>
      <x:c r="H273" s="62"/>
      <x:c r="I273" s="62"/>
      <x:c r="J273" s="62"/>
      <x:c r="K273" s="62"/>
    </x:row>
    <x:row r="274">
      <x:c r="A274" s="66"/>
      <x:c r="B274" s="62"/>
      <x:c r="C274" s="62"/>
      <x:c r="D274" s="62"/>
      <x:c r="E274" s="68"/>
      <x:c r="F274" s="75"/>
      <x:c r="G274" s="71" t="n">
        <x:f>IF(A274="",0,E274*F274)</x:f>
        <x:v>0</x:v>
      </x:c>
      <x:c r="H274" s="62"/>
      <x:c r="I274" s="62"/>
      <x:c r="J274" s="62"/>
      <x:c r="K274" s="62"/>
    </x:row>
    <x:row r="275">
      <x:c r="A275" s="66"/>
      <x:c r="B275" s="62"/>
      <x:c r="C275" s="62"/>
      <x:c r="D275" s="62"/>
      <x:c r="E275" s="68"/>
      <x:c r="F275" s="75"/>
      <x:c r="G275" s="71" t="n">
        <x:f>IF(A275="",0,E275*F275)</x:f>
        <x:v>0</x:v>
      </x:c>
      <x:c r="H275" s="62"/>
      <x:c r="I275" s="62"/>
      <x:c r="J275" s="62"/>
      <x:c r="K275" s="62"/>
    </x:row>
    <x:row r="276">
      <x:c r="A276" s="66"/>
      <x:c r="B276" s="62"/>
      <x:c r="C276" s="62"/>
      <x:c r="D276" s="62"/>
      <x:c r="E276" s="68"/>
      <x:c r="F276" s="75"/>
      <x:c r="G276" s="71" t="n">
        <x:f>IF(A276="",0,E276*F276)</x:f>
        <x:v>0</x:v>
      </x:c>
      <x:c r="H276" s="62"/>
      <x:c r="I276" s="62"/>
      <x:c r="J276" s="62"/>
      <x:c r="K276" s="62"/>
    </x:row>
    <x:row r="277">
      <x:c r="A277" s="66"/>
      <x:c r="B277" s="62"/>
      <x:c r="C277" s="62"/>
      <x:c r="D277" s="62"/>
      <x:c r="E277" s="68"/>
      <x:c r="F277" s="75"/>
      <x:c r="G277" s="71" t="n">
        <x:f>IF(A277="",0,E277*F277)</x:f>
        <x:v>0</x:v>
      </x:c>
      <x:c r="H277" s="62"/>
      <x:c r="I277" s="62"/>
      <x:c r="J277" s="62"/>
      <x:c r="K277" s="62"/>
    </x:row>
    <x:row r="278">
      <x:c r="A278" s="66"/>
      <x:c r="B278" s="62"/>
      <x:c r="C278" s="62"/>
      <x:c r="D278" s="62"/>
      <x:c r="E278" s="68"/>
      <x:c r="F278" s="75"/>
      <x:c r="G278" s="71" t="n">
        <x:f>IF(A278="",0,E278*F278)</x:f>
        <x:v>0</x:v>
      </x:c>
      <x:c r="H278" s="62"/>
      <x:c r="I278" s="62"/>
      <x:c r="J278" s="62"/>
      <x:c r="K278" s="62"/>
    </x:row>
    <x:row r="279">
      <x:c r="A279" s="66"/>
      <x:c r="B279" s="62"/>
      <x:c r="C279" s="62"/>
      <x:c r="D279" s="62"/>
      <x:c r="E279" s="68"/>
      <x:c r="F279" s="75"/>
      <x:c r="G279" s="71" t="n">
        <x:f>IF(A279="",0,E279*F279)</x:f>
        <x:v>0</x:v>
      </x:c>
      <x:c r="H279" s="62"/>
      <x:c r="I279" s="62"/>
      <x:c r="J279" s="62"/>
      <x:c r="K279" s="62"/>
    </x:row>
    <x:row r="280">
      <x:c r="A280" s="66"/>
      <x:c r="B280" s="62"/>
      <x:c r="C280" s="62"/>
      <x:c r="D280" s="62"/>
      <x:c r="E280" s="68"/>
      <x:c r="F280" s="75"/>
      <x:c r="G280" s="71" t="n">
        <x:f>IF(A280="",0,E280*F280)</x:f>
        <x:v>0</x:v>
      </x:c>
      <x:c r="H280" s="62"/>
      <x:c r="I280" s="62"/>
      <x:c r="J280" s="62"/>
      <x:c r="K280" s="62"/>
    </x:row>
    <x:row r="281">
      <x:c r="A281" s="66"/>
      <x:c r="B281" s="62"/>
      <x:c r="C281" s="62"/>
      <x:c r="D281" s="62"/>
      <x:c r="E281" s="68"/>
      <x:c r="F281" s="75"/>
      <x:c r="G281" s="71" t="n">
        <x:f>IF(A281="",0,E281*F281)</x:f>
        <x:v>0</x:v>
      </x:c>
      <x:c r="H281" s="62"/>
      <x:c r="I281" s="62"/>
      <x:c r="J281" s="62"/>
      <x:c r="K281" s="62"/>
    </x:row>
    <x:row r="282">
      <x:c r="A282" s="66"/>
      <x:c r="B282" s="62"/>
      <x:c r="C282" s="62"/>
      <x:c r="D282" s="62"/>
      <x:c r="E282" s="68"/>
      <x:c r="F282" s="75"/>
      <x:c r="G282" s="71" t="n">
        <x:f>IF(A282="",0,E282*F282)</x:f>
        <x:v>0</x:v>
      </x:c>
      <x:c r="H282" s="62"/>
      <x:c r="I282" s="62"/>
      <x:c r="J282" s="62"/>
      <x:c r="K282" s="62"/>
    </x:row>
    <x:row r="283">
      <x:c r="A283" s="66"/>
      <x:c r="B283" s="62"/>
      <x:c r="C283" s="62"/>
      <x:c r="D283" s="62"/>
      <x:c r="E283" s="68"/>
      <x:c r="F283" s="75"/>
      <x:c r="G283" s="71" t="n">
        <x:f>IF(A283="",0,E283*F283)</x:f>
        <x:v>0</x:v>
      </x:c>
      <x:c r="H283" s="62"/>
      <x:c r="I283" s="62"/>
      <x:c r="J283" s="62"/>
      <x:c r="K283" s="62"/>
    </x:row>
    <x:row r="284">
      <x:c r="A284" s="66"/>
      <x:c r="B284" s="62"/>
      <x:c r="C284" s="62"/>
      <x:c r="D284" s="62"/>
      <x:c r="E284" s="68"/>
      <x:c r="F284" s="75"/>
      <x:c r="G284" s="71" t="n">
        <x:f>IF(A284="",0,E284*F284)</x:f>
        <x:v>0</x:v>
      </x:c>
      <x:c r="H284" s="62"/>
      <x:c r="I284" s="62"/>
      <x:c r="J284" s="62"/>
      <x:c r="K284" s="62"/>
    </x:row>
    <x:row r="285">
      <x:c r="A285" s="66"/>
      <x:c r="B285" s="62"/>
      <x:c r="C285" s="62"/>
      <x:c r="D285" s="62"/>
      <x:c r="E285" s="68"/>
      <x:c r="F285" s="75"/>
      <x:c r="G285" s="71" t="n">
        <x:f>IF(A285="",0,E285*F285)</x:f>
        <x:v>0</x:v>
      </x:c>
      <x:c r="H285" s="62"/>
      <x:c r="I285" s="62"/>
      <x:c r="J285" s="62"/>
      <x:c r="K285" s="62"/>
    </x:row>
    <x:row r="286">
      <x:c r="A286" s="66"/>
      <x:c r="B286" s="62"/>
      <x:c r="C286" s="62"/>
      <x:c r="D286" s="62"/>
      <x:c r="E286" s="68"/>
      <x:c r="F286" s="75"/>
      <x:c r="G286" s="71" t="n">
        <x:f>IF(A286="",0,E286*F286)</x:f>
        <x:v>0</x:v>
      </x:c>
      <x:c r="H286" s="62"/>
      <x:c r="I286" s="62"/>
      <x:c r="J286" s="62"/>
      <x:c r="K286" s="62"/>
    </x:row>
    <x:row r="287">
      <x:c r="A287" s="66"/>
      <x:c r="B287" s="62"/>
      <x:c r="C287" s="62"/>
      <x:c r="D287" s="62"/>
      <x:c r="E287" s="68"/>
      <x:c r="F287" s="75"/>
      <x:c r="G287" s="71" t="n">
        <x:f>IF(A287="",0,E287*F287)</x:f>
        <x:v>0</x:v>
      </x:c>
      <x:c r="H287" s="62"/>
      <x:c r="I287" s="62"/>
      <x:c r="J287" s="62"/>
      <x:c r="K287" s="62"/>
    </x:row>
    <x:row r="288">
      <x:c r="A288" s="66"/>
      <x:c r="B288" s="62"/>
      <x:c r="C288" s="62"/>
      <x:c r="D288" s="62"/>
      <x:c r="E288" s="68"/>
      <x:c r="F288" s="75"/>
      <x:c r="G288" s="71" t="n">
        <x:f>IF(A288="",0,E288*F288)</x:f>
        <x:v>0</x:v>
      </x:c>
      <x:c r="H288" s="62"/>
      <x:c r="I288" s="62"/>
      <x:c r="J288" s="62"/>
      <x:c r="K288" s="62"/>
    </x:row>
    <x:row r="289">
      <x:c r="A289" s="66"/>
      <x:c r="B289" s="62"/>
      <x:c r="C289" s="62"/>
      <x:c r="D289" s="62"/>
      <x:c r="E289" s="68"/>
      <x:c r="F289" s="75"/>
      <x:c r="G289" s="71" t="n">
        <x:f>IF(A289="",0,E289*F289)</x:f>
        <x:v>0</x:v>
      </x:c>
      <x:c r="H289" s="62"/>
      <x:c r="I289" s="62"/>
      <x:c r="J289" s="62"/>
      <x:c r="K289" s="62"/>
    </x:row>
    <x:row r="290">
      <x:c r="A290" s="66"/>
      <x:c r="B290" s="62"/>
      <x:c r="C290" s="62"/>
      <x:c r="D290" s="62"/>
      <x:c r="E290" s="68"/>
      <x:c r="F290" s="75"/>
      <x:c r="G290" s="71" t="n">
        <x:f>IF(A290="",0,E290*F290)</x:f>
        <x:v>0</x:v>
      </x:c>
      <x:c r="H290" s="62"/>
      <x:c r="I290" s="62"/>
      <x:c r="J290" s="62"/>
      <x:c r="K290" s="62"/>
    </x:row>
    <x:row r="291">
      <x:c r="A291" s="66"/>
      <x:c r="B291" s="62"/>
      <x:c r="C291" s="62"/>
      <x:c r="D291" s="62"/>
      <x:c r="E291" s="68"/>
      <x:c r="F291" s="75"/>
      <x:c r="G291" s="71" t="n">
        <x:f>IF(A291="",0,E291*F291)</x:f>
        <x:v>0</x:v>
      </x:c>
      <x:c r="H291" s="62"/>
      <x:c r="I291" s="62"/>
      <x:c r="J291" s="62"/>
      <x:c r="K291" s="62"/>
    </x:row>
    <x:row r="292">
      <x:c r="A292" s="66"/>
      <x:c r="B292" s="62"/>
      <x:c r="C292" s="62"/>
      <x:c r="D292" s="62"/>
      <x:c r="E292" s="68"/>
      <x:c r="F292" s="75"/>
      <x:c r="G292" s="71" t="n">
        <x:f>IF(A292="",0,E292*F292)</x:f>
        <x:v>0</x:v>
      </x:c>
      <x:c r="H292" s="62"/>
      <x:c r="I292" s="62"/>
      <x:c r="J292" s="62"/>
      <x:c r="K292" s="62"/>
    </x:row>
    <x:row r="293">
      <x:c r="A293" s="66"/>
      <x:c r="B293" s="62"/>
      <x:c r="C293" s="62"/>
      <x:c r="D293" s="62"/>
      <x:c r="E293" s="68"/>
      <x:c r="F293" s="75"/>
      <x:c r="G293" s="71" t="n">
        <x:f>IF(A293="",0,E293*F293)</x:f>
        <x:v>0</x:v>
      </x:c>
      <x:c r="H293" s="62"/>
      <x:c r="I293" s="62"/>
      <x:c r="J293" s="62"/>
      <x:c r="K293" s="62"/>
    </x:row>
    <x:row r="294">
      <x:c r="A294" s="66"/>
      <x:c r="B294" s="62"/>
      <x:c r="C294" s="62"/>
      <x:c r="D294" s="62"/>
      <x:c r="E294" s="68"/>
      <x:c r="F294" s="75"/>
      <x:c r="G294" s="71" t="n">
        <x:f>IF(A294="",0,E294*F294)</x:f>
        <x:v>0</x:v>
      </x:c>
      <x:c r="H294" s="62"/>
      <x:c r="I294" s="62"/>
      <x:c r="J294" s="62"/>
      <x:c r="K294" s="62"/>
    </x:row>
    <x:row r="295">
      <x:c r="A295" s="66"/>
      <x:c r="B295" s="62"/>
      <x:c r="C295" s="62"/>
      <x:c r="D295" s="62"/>
      <x:c r="E295" s="68"/>
      <x:c r="F295" s="75"/>
      <x:c r="G295" s="71" t="n">
        <x:f>IF(A295="",0,E295*F295)</x:f>
        <x:v>0</x:v>
      </x:c>
      <x:c r="H295" s="62"/>
      <x:c r="I295" s="62"/>
      <x:c r="J295" s="62"/>
      <x:c r="K295" s="62"/>
    </x:row>
    <x:row r="296">
      <x:c r="A296" s="66"/>
      <x:c r="B296" s="62"/>
      <x:c r="C296" s="62"/>
      <x:c r="D296" s="62"/>
      <x:c r="E296" s="68"/>
      <x:c r="F296" s="75"/>
      <x:c r="G296" s="71" t="n">
        <x:f>IF(A296="",0,E296*F296)</x:f>
        <x:v>0</x:v>
      </x:c>
      <x:c r="H296" s="62"/>
      <x:c r="I296" s="62"/>
      <x:c r="J296" s="62"/>
      <x:c r="K296" s="62"/>
    </x:row>
    <x:row r="297">
      <x:c r="A297" s="66"/>
      <x:c r="B297" s="62"/>
      <x:c r="C297" s="62"/>
      <x:c r="D297" s="62"/>
      <x:c r="E297" s="68"/>
      <x:c r="F297" s="75"/>
      <x:c r="G297" s="71" t="n">
        <x:f>IF(A297="",0,E297*F297)</x:f>
        <x:v>0</x:v>
      </x:c>
      <x:c r="H297" s="62"/>
      <x:c r="I297" s="62"/>
      <x:c r="J297" s="62"/>
      <x:c r="K297" s="62"/>
    </x:row>
    <x:row r="298">
      <x:c r="A298" s="66"/>
      <x:c r="B298" s="62"/>
      <x:c r="C298" s="62"/>
      <x:c r="D298" s="62"/>
      <x:c r="E298" s="68"/>
      <x:c r="F298" s="75"/>
      <x:c r="G298" s="71" t="n">
        <x:f>IF(A298="",0,E298*F298)</x:f>
        <x:v>0</x:v>
      </x:c>
      <x:c r="H298" s="62"/>
      <x:c r="I298" s="62"/>
      <x:c r="J298" s="62"/>
      <x:c r="K298" s="62"/>
    </x:row>
    <x:row r="299">
      <x:c r="A299" s="66"/>
      <x:c r="B299" s="62"/>
      <x:c r="C299" s="62"/>
      <x:c r="D299" s="62"/>
      <x:c r="E299" s="68"/>
      <x:c r="F299" s="75"/>
      <x:c r="G299" s="71" t="n">
        <x:f>IF(A299="",0,E299*F299)</x:f>
        <x:v>0</x:v>
      </x:c>
      <x:c r="H299" s="62"/>
      <x:c r="I299" s="62"/>
      <x:c r="J299" s="62"/>
      <x:c r="K299" s="62"/>
    </x:row>
    <x:row r="300">
      <x:c r="A300" s="66"/>
      <x:c r="B300" s="62"/>
      <x:c r="C300" s="62"/>
      <x:c r="D300" s="62"/>
      <x:c r="E300" s="68"/>
      <x:c r="F300" s="75"/>
      <x:c r="G300" s="71" t="n">
        <x:f>IF(A300="",0,E300*F300)</x:f>
        <x:v>0</x:v>
      </x:c>
      <x:c r="H300" s="62"/>
      <x:c r="I300" s="62"/>
      <x:c r="J300" s="62"/>
      <x:c r="K300" s="62"/>
    </x:row>
    <x:row r="301">
      <x:c r="A301" s="66"/>
      <x:c r="B301" s="62"/>
      <x:c r="C301" s="62"/>
      <x:c r="D301" s="62"/>
      <x:c r="E301" s="68"/>
      <x:c r="F301" s="75"/>
      <x:c r="G301" s="71" t="n">
        <x:f>IF(A301="",0,E301*F301)</x:f>
        <x:v>0</x:v>
      </x:c>
      <x:c r="H301" s="62"/>
      <x:c r="I301" s="62"/>
      <x:c r="J301" s="62"/>
      <x:c r="K301" s="62"/>
    </x:row>
    <x:row r="302">
      <x:c r="A302" s="66"/>
      <x:c r="B302" s="62"/>
      <x:c r="C302" s="62"/>
      <x:c r="D302" s="62"/>
      <x:c r="E302" s="68"/>
      <x:c r="F302" s="75"/>
      <x:c r="G302" s="71" t="n">
        <x:f>IF(A302="",0,E302*F302)</x:f>
        <x:v>0</x:v>
      </x:c>
      <x:c r="H302" s="62"/>
      <x:c r="I302" s="62"/>
      <x:c r="J302" s="62"/>
      <x:c r="K302" s="62"/>
    </x:row>
    <x:row r="303">
      <x:c r="A303" s="66"/>
      <x:c r="B303" s="62"/>
      <x:c r="C303" s="62"/>
      <x:c r="D303" s="62"/>
      <x:c r="E303" s="68"/>
      <x:c r="F303" s="75"/>
      <x:c r="G303" s="71" t="n">
        <x:f>IF(A303="",0,E303*F303)</x:f>
        <x:v>0</x:v>
      </x:c>
      <x:c r="H303" s="62"/>
      <x:c r="I303" s="62"/>
      <x:c r="J303" s="62"/>
      <x:c r="K303" s="62"/>
    </x:row>
    <x:row r="304">
      <x:c r="A304" s="66"/>
      <x:c r="B304" s="62"/>
      <x:c r="C304" s="62"/>
      <x:c r="D304" s="62"/>
      <x:c r="E304" s="68"/>
      <x:c r="F304" s="75"/>
      <x:c r="G304" s="71" t="n">
        <x:f>IF(A304="",0,E304*F304)</x:f>
        <x:v>0</x:v>
      </x:c>
      <x:c r="H304" s="62"/>
      <x:c r="I304" s="62"/>
      <x:c r="J304" s="62"/>
      <x:c r="K304" s="62"/>
    </x:row>
    <x:row r="305">
      <x:c r="A305" s="66"/>
      <x:c r="B305" s="62"/>
      <x:c r="C305" s="62"/>
      <x:c r="D305" s="62"/>
      <x:c r="E305" s="68"/>
      <x:c r="F305" s="75"/>
      <x:c r="G305" s="71" t="n">
        <x:f>IF(A305="",0,E305*F305)</x:f>
        <x:v>0</x:v>
      </x:c>
      <x:c r="H305" s="62"/>
      <x:c r="I305" s="62"/>
      <x:c r="J305" s="62"/>
      <x:c r="K305" s="62"/>
    </x:row>
    <x:row r="306">
      <x:c r="A306" s="66"/>
      <x:c r="B306" s="62"/>
      <x:c r="C306" s="62"/>
      <x:c r="D306" s="62"/>
      <x:c r="E306" s="68"/>
      <x:c r="F306" s="75"/>
      <x:c r="G306" s="71" t="n">
        <x:f>IF(A306="",0,E306*F306)</x:f>
        <x:v>0</x:v>
      </x:c>
      <x:c r="H306" s="62"/>
      <x:c r="I306" s="62"/>
      <x:c r="J306" s="62"/>
      <x:c r="K306" s="62"/>
    </x:row>
    <x:row r="307">
      <x:c r="A307" s="66"/>
      <x:c r="B307" s="62"/>
      <x:c r="C307" s="62"/>
      <x:c r="D307" s="62"/>
      <x:c r="E307" s="68"/>
      <x:c r="F307" s="75"/>
      <x:c r="G307" s="71" t="n">
        <x:f>IF(A307="",0,E307*F307)</x:f>
        <x:v>0</x:v>
      </x:c>
      <x:c r="H307" s="62"/>
      <x:c r="I307" s="62"/>
      <x:c r="J307" s="62"/>
      <x:c r="K307" s="62"/>
    </x:row>
    <x:row r="308">
      <x:c r="A308" s="66"/>
      <x:c r="B308" s="62"/>
      <x:c r="C308" s="62"/>
      <x:c r="D308" s="62"/>
      <x:c r="E308" s="68"/>
      <x:c r="F308" s="75"/>
      <x:c r="G308" s="71" t="n">
        <x:f>IF(A308="",0,E308*F308)</x:f>
        <x:v>0</x:v>
      </x:c>
      <x:c r="H308" s="62"/>
      <x:c r="I308" s="62"/>
      <x:c r="J308" s="62"/>
      <x:c r="K308" s="62"/>
    </x:row>
    <x:row r="309">
      <x:c r="A309" s="66"/>
      <x:c r="B309" s="62"/>
      <x:c r="C309" s="62"/>
      <x:c r="D309" s="62"/>
      <x:c r="E309" s="68"/>
      <x:c r="F309" s="75"/>
      <x:c r="G309" s="71" t="n">
        <x:f>IF(A309="",0,E309*F309)</x:f>
        <x:v>0</x:v>
      </x:c>
      <x:c r="H309" s="62"/>
      <x:c r="I309" s="62"/>
      <x:c r="J309" s="62"/>
      <x:c r="K309" s="62"/>
    </x:row>
    <x:row r="310">
      <x:c r="A310" s="66"/>
      <x:c r="B310" s="62"/>
      <x:c r="C310" s="62"/>
      <x:c r="D310" s="62"/>
      <x:c r="E310" s="68"/>
      <x:c r="F310" s="75"/>
      <x:c r="G310" s="71" t="n">
        <x:f>IF(A310="",0,E310*F310)</x:f>
        <x:v>0</x:v>
      </x:c>
      <x:c r="H310" s="62"/>
      <x:c r="I310" s="62"/>
      <x:c r="J310" s="62"/>
      <x:c r="K310" s="62"/>
    </x:row>
    <x:row r="311">
      <x:c r="A311" s="66"/>
      <x:c r="B311" s="62"/>
      <x:c r="C311" s="62"/>
      <x:c r="D311" s="62"/>
      <x:c r="E311" s="68"/>
      <x:c r="F311" s="75"/>
      <x:c r="G311" s="71" t="n">
        <x:f>IF(A311="",0,E311*F311)</x:f>
        <x:v>0</x:v>
      </x:c>
      <x:c r="H311" s="62"/>
      <x:c r="I311" s="62"/>
      <x:c r="J311" s="62"/>
      <x:c r="K311" s="62"/>
    </x:row>
    <x:row r="312">
      <x:c r="A312" s="66"/>
      <x:c r="B312" s="62"/>
      <x:c r="C312" s="62"/>
      <x:c r="D312" s="62"/>
      <x:c r="E312" s="68"/>
      <x:c r="F312" s="75"/>
      <x:c r="G312" s="71" t="n">
        <x:f>IF(A312="",0,E312*F312)</x:f>
        <x:v>0</x:v>
      </x:c>
      <x:c r="H312" s="62"/>
      <x:c r="I312" s="62"/>
      <x:c r="J312" s="62"/>
      <x:c r="K312" s="62"/>
    </x:row>
    <x:row r="313">
      <x:c r="A313" s="66"/>
      <x:c r="B313" s="62"/>
      <x:c r="C313" s="62"/>
      <x:c r="D313" s="62"/>
      <x:c r="E313" s="68"/>
      <x:c r="F313" s="75"/>
      <x:c r="G313" s="71" t="n">
        <x:f>IF(A313="",0,E313*F313)</x:f>
        <x:v>0</x:v>
      </x:c>
      <x:c r="H313" s="62"/>
      <x:c r="I313" s="62"/>
      <x:c r="J313" s="62"/>
      <x:c r="K313" s="62"/>
    </x:row>
    <x:row r="314">
      <x:c r="A314" s="66"/>
      <x:c r="B314" s="62"/>
      <x:c r="C314" s="62"/>
      <x:c r="D314" s="62"/>
      <x:c r="E314" s="68"/>
      <x:c r="F314" s="75"/>
      <x:c r="G314" s="71" t="n">
        <x:f>IF(A314="",0,E314*F314)</x:f>
        <x:v>0</x:v>
      </x:c>
      <x:c r="H314" s="62"/>
      <x:c r="I314" s="62"/>
      <x:c r="J314" s="62"/>
      <x:c r="K314" s="62"/>
    </x:row>
    <x:row r="315">
      <x:c r="A315" s="66"/>
      <x:c r="B315" s="62"/>
      <x:c r="C315" s="62"/>
      <x:c r="D315" s="62"/>
      <x:c r="E315" s="68"/>
      <x:c r="F315" s="75"/>
      <x:c r="G315" s="71" t="n">
        <x:f>IF(A315="",0,E315*F315)</x:f>
        <x:v>0</x:v>
      </x:c>
      <x:c r="H315" s="62"/>
      <x:c r="I315" s="62"/>
      <x:c r="J315" s="62"/>
      <x:c r="K315" s="62"/>
    </x:row>
    <x:row r="316">
      <x:c r="A316" s="66"/>
      <x:c r="B316" s="62"/>
      <x:c r="C316" s="62"/>
      <x:c r="D316" s="62"/>
      <x:c r="E316" s="68"/>
      <x:c r="F316" s="75"/>
      <x:c r="G316" s="71" t="n">
        <x:f>IF(A316="",0,E316*F316)</x:f>
        <x:v>0</x:v>
      </x:c>
      <x:c r="H316" s="62"/>
      <x:c r="I316" s="62"/>
      <x:c r="J316" s="62"/>
      <x:c r="K316" s="62"/>
    </x:row>
    <x:row r="317">
      <x:c r="A317" s="66"/>
      <x:c r="B317" s="62"/>
      <x:c r="C317" s="62"/>
      <x:c r="D317" s="62"/>
      <x:c r="E317" s="68"/>
      <x:c r="F317" s="75"/>
      <x:c r="G317" s="71" t="n">
        <x:f>IF(A317="",0,E317*F317)</x:f>
        <x:v>0</x:v>
      </x:c>
      <x:c r="H317" s="62"/>
      <x:c r="I317" s="62"/>
      <x:c r="J317" s="62"/>
      <x:c r="K317" s="62"/>
    </x:row>
    <x:row r="318">
      <x:c r="A318" s="66"/>
      <x:c r="B318" s="62"/>
      <x:c r="C318" s="62"/>
      <x:c r="D318" s="62"/>
      <x:c r="E318" s="68"/>
      <x:c r="F318" s="75"/>
      <x:c r="G318" s="71" t="n">
        <x:f>IF(A318="",0,E318*F318)</x:f>
        <x:v>0</x:v>
      </x:c>
      <x:c r="H318" s="62"/>
      <x:c r="I318" s="62"/>
      <x:c r="J318" s="62"/>
      <x:c r="K318" s="62"/>
    </x:row>
    <x:row r="319">
      <x:c r="A319" s="66"/>
      <x:c r="B319" s="62"/>
      <x:c r="C319" s="62"/>
      <x:c r="D319" s="62"/>
      <x:c r="E319" s="68"/>
      <x:c r="F319" s="75"/>
      <x:c r="G319" s="71" t="n">
        <x:f>IF(A319="",0,E319*F319)</x:f>
        <x:v>0</x:v>
      </x:c>
      <x:c r="H319" s="62"/>
      <x:c r="I319" s="62"/>
      <x:c r="J319" s="62"/>
      <x:c r="K319" s="62"/>
    </x:row>
    <x:row r="320">
      <x:c r="A320" s="66"/>
      <x:c r="B320" s="62"/>
      <x:c r="C320" s="62"/>
      <x:c r="D320" s="62"/>
      <x:c r="E320" s="68"/>
      <x:c r="F320" s="75"/>
      <x:c r="G320" s="71" t="n">
        <x:f>IF(A320="",0,E320*F320)</x:f>
        <x:v>0</x:v>
      </x:c>
      <x:c r="H320" s="62"/>
      <x:c r="I320" s="62"/>
      <x:c r="J320" s="62"/>
      <x:c r="K320" s="62"/>
    </x:row>
    <x:row r="321">
      <x:c r="A321" s="66"/>
      <x:c r="B321" s="62"/>
      <x:c r="C321" s="62"/>
      <x:c r="D321" s="62"/>
      <x:c r="E321" s="68"/>
      <x:c r="F321" s="75"/>
      <x:c r="G321" s="71" t="n">
        <x:f>IF(A321="",0,E321*F321)</x:f>
        <x:v>0</x:v>
      </x:c>
      <x:c r="H321" s="62"/>
      <x:c r="I321" s="62"/>
      <x:c r="J321" s="62"/>
      <x:c r="K321" s="62"/>
    </x:row>
    <x:row r="322">
      <x:c r="A322" s="66"/>
      <x:c r="B322" s="62"/>
      <x:c r="C322" s="62"/>
      <x:c r="D322" s="62"/>
      <x:c r="E322" s="68"/>
      <x:c r="F322" s="75"/>
      <x:c r="G322" s="71" t="n">
        <x:f>IF(A322="",0,E322*F322)</x:f>
        <x:v>0</x:v>
      </x:c>
      <x:c r="H322" s="62"/>
      <x:c r="I322" s="62"/>
      <x:c r="J322" s="62"/>
      <x:c r="K322" s="62"/>
    </x:row>
    <x:row r="323">
      <x:c r="A323" s="66"/>
      <x:c r="B323" s="62"/>
      <x:c r="C323" s="62"/>
      <x:c r="D323" s="62"/>
      <x:c r="E323" s="68"/>
      <x:c r="F323" s="75"/>
      <x:c r="G323" s="71" t="n">
        <x:f>IF(A323="",0,E323*F323)</x:f>
        <x:v>0</x:v>
      </x:c>
      <x:c r="H323" s="62"/>
      <x:c r="I323" s="62"/>
      <x:c r="J323" s="62"/>
      <x:c r="K323" s="62"/>
    </x:row>
    <x:row r="324">
      <x:c r="A324" s="66"/>
      <x:c r="B324" s="62"/>
      <x:c r="C324" s="62"/>
      <x:c r="D324" s="62"/>
      <x:c r="E324" s="68"/>
      <x:c r="F324" s="75"/>
      <x:c r="G324" s="71" t="n">
        <x:f>IF(A324="",0,E324*F324)</x:f>
        <x:v>0</x:v>
      </x:c>
      <x:c r="H324" s="62"/>
      <x:c r="I324" s="62"/>
      <x:c r="J324" s="62"/>
      <x:c r="K324" s="62"/>
    </x:row>
    <x:row r="325">
      <x:c r="A325" s="66"/>
      <x:c r="B325" s="62"/>
      <x:c r="C325" s="62"/>
      <x:c r="D325" s="62"/>
      <x:c r="E325" s="68"/>
      <x:c r="F325" s="75"/>
      <x:c r="G325" s="71" t="n">
        <x:f>IF(A325="",0,E325*F325)</x:f>
        <x:v>0</x:v>
      </x:c>
      <x:c r="H325" s="62"/>
      <x:c r="I325" s="62"/>
      <x:c r="J325" s="62"/>
      <x:c r="K325" s="62"/>
    </x:row>
    <x:row r="326">
      <x:c r="A326" s="66"/>
      <x:c r="B326" s="62"/>
      <x:c r="C326" s="62"/>
      <x:c r="D326" s="62"/>
      <x:c r="E326" s="68"/>
      <x:c r="F326" s="75"/>
      <x:c r="G326" s="71" t="n">
        <x:f>IF(A326="",0,E326*F326)</x:f>
        <x:v>0</x:v>
      </x:c>
      <x:c r="H326" s="62"/>
      <x:c r="I326" s="62"/>
      <x:c r="J326" s="62"/>
      <x:c r="K326" s="62"/>
    </x:row>
    <x:row r="327">
      <x:c r="A327" s="66"/>
      <x:c r="B327" s="62"/>
      <x:c r="C327" s="62"/>
      <x:c r="D327" s="62"/>
      <x:c r="E327" s="68"/>
      <x:c r="F327" s="75"/>
      <x:c r="G327" s="71" t="n">
        <x:f>IF(A327="",0,E327*F327)</x:f>
        <x:v>0</x:v>
      </x:c>
      <x:c r="H327" s="62"/>
      <x:c r="I327" s="62"/>
      <x:c r="J327" s="62"/>
      <x:c r="K327" s="62"/>
    </x:row>
    <x:row r="328">
      <x:c r="A328" s="66"/>
      <x:c r="B328" s="62"/>
      <x:c r="C328" s="62"/>
      <x:c r="D328" s="62"/>
      <x:c r="E328" s="68"/>
      <x:c r="F328" s="75"/>
      <x:c r="G328" s="71" t="n">
        <x:f>IF(A328="",0,E328*F328)</x:f>
        <x:v>0</x:v>
      </x:c>
      <x:c r="H328" s="62"/>
      <x:c r="I328" s="62"/>
      <x:c r="J328" s="62"/>
      <x:c r="K328" s="62"/>
    </x:row>
    <x:row r="329">
      <x:c r="A329" s="66"/>
      <x:c r="B329" s="62"/>
      <x:c r="C329" s="62"/>
      <x:c r="D329" s="62"/>
      <x:c r="E329" s="68"/>
      <x:c r="F329" s="75"/>
      <x:c r="G329" s="71" t="n">
        <x:f>IF(A329="",0,E329*F329)</x:f>
        <x:v>0</x:v>
      </x:c>
      <x:c r="H329" s="62"/>
      <x:c r="I329" s="62"/>
      <x:c r="J329" s="62"/>
      <x:c r="K329" s="62"/>
    </x:row>
    <x:row r="330">
      <x:c r="A330" s="66"/>
      <x:c r="B330" s="62"/>
      <x:c r="C330" s="62"/>
      <x:c r="D330" s="62"/>
      <x:c r="E330" s="68"/>
      <x:c r="F330" s="75"/>
      <x:c r="G330" s="71" t="n">
        <x:f>IF(A330="",0,E330*F330)</x:f>
        <x:v>0</x:v>
      </x:c>
      <x:c r="H330" s="62"/>
      <x:c r="I330" s="62"/>
      <x:c r="J330" s="62"/>
      <x:c r="K330" s="62"/>
    </x:row>
    <x:row r="331">
      <x:c r="A331" s="66"/>
      <x:c r="B331" s="62"/>
      <x:c r="C331" s="62"/>
      <x:c r="D331" s="62"/>
      <x:c r="E331" s="68"/>
      <x:c r="F331" s="75"/>
      <x:c r="G331" s="71" t="n">
        <x:f>IF(A331="",0,E331*F331)</x:f>
        <x:v>0</x:v>
      </x:c>
      <x:c r="H331" s="62"/>
      <x:c r="I331" s="62"/>
      <x:c r="J331" s="62"/>
      <x:c r="K331" s="62"/>
    </x:row>
    <x:row r="332">
      <x:c r="A332" s="66"/>
      <x:c r="B332" s="62"/>
      <x:c r="C332" s="62"/>
      <x:c r="D332" s="62"/>
      <x:c r="E332" s="68"/>
      <x:c r="F332" s="75"/>
      <x:c r="G332" s="71" t="n">
        <x:f>IF(A332="",0,E332*F332)</x:f>
        <x:v>0</x:v>
      </x:c>
      <x:c r="H332" s="62"/>
      <x:c r="I332" s="62"/>
      <x:c r="J332" s="62"/>
      <x:c r="K332" s="62"/>
    </x:row>
    <x:row r="333">
      <x:c r="A333" s="66"/>
      <x:c r="B333" s="62"/>
      <x:c r="C333" s="62"/>
      <x:c r="D333" s="62"/>
      <x:c r="E333" s="68"/>
      <x:c r="F333" s="75"/>
      <x:c r="G333" s="71" t="n">
        <x:f>IF(A333="",0,E333*F333)</x:f>
        <x:v>0</x:v>
      </x:c>
      <x:c r="H333" s="62"/>
      <x:c r="I333" s="62"/>
      <x:c r="J333" s="62"/>
      <x:c r="K333" s="62"/>
    </x:row>
    <x:row r="334">
      <x:c r="A334" s="66"/>
      <x:c r="B334" s="62"/>
      <x:c r="C334" s="62"/>
      <x:c r="D334" s="62"/>
      <x:c r="E334" s="68"/>
      <x:c r="F334" s="75"/>
      <x:c r="G334" s="71" t="n">
        <x:f>IF(A334="",0,E334*F334)</x:f>
        <x:v>0</x:v>
      </x:c>
      <x:c r="H334" s="62"/>
      <x:c r="I334" s="62"/>
      <x:c r="J334" s="62"/>
      <x:c r="K334" s="62"/>
    </x:row>
    <x:row r="335">
      <x:c r="A335" s="66"/>
      <x:c r="B335" s="62"/>
      <x:c r="C335" s="62"/>
      <x:c r="D335" s="62"/>
      <x:c r="E335" s="68"/>
      <x:c r="F335" s="75"/>
      <x:c r="G335" s="71" t="n">
        <x:f>IF(A335="",0,E335*F335)</x:f>
        <x:v>0</x:v>
      </x:c>
      <x:c r="H335" s="62"/>
      <x:c r="I335" s="62"/>
      <x:c r="J335" s="62"/>
      <x:c r="K335" s="62"/>
    </x:row>
    <x:row r="336">
      <x:c r="A336" s="66"/>
      <x:c r="B336" s="62"/>
      <x:c r="C336" s="62"/>
      <x:c r="D336" s="62"/>
      <x:c r="E336" s="68"/>
      <x:c r="F336" s="75"/>
      <x:c r="G336" s="71" t="n">
        <x:f>IF(A336="",0,E336*F336)</x:f>
        <x:v>0</x:v>
      </x:c>
      <x:c r="H336" s="62"/>
      <x:c r="I336" s="62"/>
      <x:c r="J336" s="62"/>
      <x:c r="K336" s="62"/>
    </x:row>
    <x:row r="337">
      <x:c r="A337" s="66"/>
      <x:c r="B337" s="62"/>
      <x:c r="C337" s="62"/>
      <x:c r="D337" s="62"/>
      <x:c r="E337" s="68"/>
      <x:c r="F337" s="75"/>
      <x:c r="G337" s="71" t="n">
        <x:f>IF(A337="",0,E337*F337)</x:f>
        <x:v>0</x:v>
      </x:c>
      <x:c r="H337" s="62"/>
      <x:c r="I337" s="62"/>
      <x:c r="J337" s="62"/>
      <x:c r="K337" s="62"/>
    </x:row>
    <x:row r="338">
      <x:c r="A338" s="66"/>
      <x:c r="B338" s="62"/>
      <x:c r="C338" s="62"/>
      <x:c r="D338" s="62"/>
      <x:c r="E338" s="68"/>
      <x:c r="F338" s="75"/>
      <x:c r="G338" s="71" t="n">
        <x:f>IF(A338="",0,E338*F338)</x:f>
        <x:v>0</x:v>
      </x:c>
      <x:c r="H338" s="62"/>
      <x:c r="I338" s="62"/>
      <x:c r="J338" s="62"/>
      <x:c r="K338" s="62"/>
    </x:row>
    <x:row r="339">
      <x:c r="A339" s="66"/>
      <x:c r="B339" s="62"/>
      <x:c r="C339" s="62"/>
      <x:c r="D339" s="62"/>
      <x:c r="E339" s="68"/>
      <x:c r="F339" s="75"/>
      <x:c r="G339" s="71" t="n">
        <x:f>IF(A339="",0,E339*F339)</x:f>
        <x:v>0</x:v>
      </x:c>
      <x:c r="H339" s="62"/>
      <x:c r="I339" s="62"/>
      <x:c r="J339" s="62"/>
      <x:c r="K339" s="62"/>
    </x:row>
    <x:row r="340">
      <x:c r="A340" s="66"/>
      <x:c r="B340" s="62"/>
      <x:c r="C340" s="62"/>
      <x:c r="D340" s="62"/>
      <x:c r="E340" s="68"/>
      <x:c r="F340" s="75"/>
      <x:c r="G340" s="71" t="n">
        <x:f>IF(A340="",0,E340*F340)</x:f>
        <x:v>0</x:v>
      </x:c>
      <x:c r="H340" s="62"/>
      <x:c r="I340" s="62"/>
      <x:c r="J340" s="62"/>
      <x:c r="K340" s="62"/>
    </x:row>
    <x:row r="341">
      <x:c r="A341" s="66"/>
      <x:c r="B341" s="62"/>
      <x:c r="C341" s="62"/>
      <x:c r="D341" s="62"/>
      <x:c r="E341" s="68"/>
      <x:c r="F341" s="75"/>
      <x:c r="G341" s="71" t="n">
        <x:f>IF(A341="",0,E341*F341)</x:f>
        <x:v>0</x:v>
      </x:c>
      <x:c r="H341" s="62"/>
      <x:c r="I341" s="62"/>
      <x:c r="J341" s="62"/>
      <x:c r="K341" s="62"/>
    </x:row>
    <x:row r="342">
      <x:c r="A342" s="66"/>
      <x:c r="B342" s="62"/>
      <x:c r="C342" s="62"/>
      <x:c r="D342" s="62"/>
      <x:c r="E342" s="68"/>
      <x:c r="F342" s="75"/>
      <x:c r="G342" s="71" t="n">
        <x:f>IF(A342="",0,E342*F342)</x:f>
        <x:v>0</x:v>
      </x:c>
      <x:c r="H342" s="62"/>
      <x:c r="I342" s="62"/>
      <x:c r="J342" s="62"/>
      <x:c r="K342" s="62"/>
    </x:row>
    <x:row r="343">
      <x:c r="A343" s="66"/>
      <x:c r="B343" s="62"/>
      <x:c r="C343" s="62"/>
      <x:c r="D343" s="62"/>
      <x:c r="E343" s="68"/>
      <x:c r="F343" s="75"/>
      <x:c r="G343" s="71" t="n">
        <x:f>IF(A343="",0,E343*F343)</x:f>
        <x:v>0</x:v>
      </x:c>
      <x:c r="H343" s="62"/>
      <x:c r="I343" s="62"/>
      <x:c r="J343" s="62"/>
      <x:c r="K343" s="62"/>
    </x:row>
    <x:row r="344">
      <x:c r="A344" s="66"/>
      <x:c r="B344" s="62"/>
      <x:c r="C344" s="62"/>
      <x:c r="D344" s="62"/>
      <x:c r="E344" s="68"/>
      <x:c r="F344" s="75"/>
      <x:c r="G344" s="71" t="n">
        <x:f>IF(A344="",0,E344*F344)</x:f>
        <x:v>0</x:v>
      </x:c>
      <x:c r="H344" s="62"/>
      <x:c r="I344" s="62"/>
      <x:c r="J344" s="62"/>
      <x:c r="K344" s="62"/>
    </x:row>
    <x:row r="345">
      <x:c r="A345" s="66"/>
      <x:c r="B345" s="62"/>
      <x:c r="C345" s="62"/>
      <x:c r="D345" s="62"/>
      <x:c r="E345" s="68"/>
      <x:c r="F345" s="75"/>
      <x:c r="G345" s="71" t="n">
        <x:f>IF(A345="",0,E345*F345)</x:f>
        <x:v>0</x:v>
      </x:c>
      <x:c r="H345" s="62"/>
      <x:c r="I345" s="62"/>
      <x:c r="J345" s="62"/>
      <x:c r="K345" s="62"/>
    </x:row>
    <x:row r="346">
      <x:c r="A346" s="66"/>
      <x:c r="B346" s="62"/>
      <x:c r="C346" s="62"/>
      <x:c r="D346" s="62"/>
      <x:c r="E346" s="68"/>
      <x:c r="F346" s="75"/>
      <x:c r="G346" s="71" t="n">
        <x:f>IF(A346="",0,E346*F346)</x:f>
        <x:v>0</x:v>
      </x:c>
      <x:c r="H346" s="62"/>
      <x:c r="I346" s="62"/>
      <x:c r="J346" s="62"/>
      <x:c r="K346" s="62"/>
    </x:row>
    <x:row r="347">
      <x:c r="A347" s="66"/>
      <x:c r="B347" s="62"/>
      <x:c r="C347" s="62"/>
      <x:c r="D347" s="62"/>
      <x:c r="E347" s="68"/>
      <x:c r="F347" s="75"/>
      <x:c r="G347" s="71" t="n">
        <x:f>IF(A347="",0,E347*F347)</x:f>
        <x:v>0</x:v>
      </x:c>
      <x:c r="H347" s="62"/>
      <x:c r="I347" s="62"/>
      <x:c r="J347" s="62"/>
      <x:c r="K347" s="62"/>
    </x:row>
    <x:row r="348">
      <x:c r="A348" s="66"/>
      <x:c r="B348" s="62"/>
      <x:c r="C348" s="62"/>
      <x:c r="D348" s="62"/>
      <x:c r="E348" s="68"/>
      <x:c r="F348" s="75"/>
      <x:c r="G348" s="71" t="n">
        <x:f>IF(A348="",0,E348*F348)</x:f>
        <x:v>0</x:v>
      </x:c>
      <x:c r="H348" s="62"/>
      <x:c r="I348" s="62"/>
      <x:c r="J348" s="62"/>
      <x:c r="K348" s="62"/>
    </x:row>
    <x:row r="349">
      <x:c r="A349" s="66"/>
      <x:c r="B349" s="62"/>
      <x:c r="C349" s="62"/>
      <x:c r="D349" s="62"/>
      <x:c r="E349" s="68"/>
      <x:c r="F349" s="75"/>
      <x:c r="G349" s="71" t="n">
        <x:f>IF(A349="",0,E349*F349)</x:f>
        <x:v>0</x:v>
      </x:c>
      <x:c r="H349" s="62"/>
      <x:c r="I349" s="62"/>
      <x:c r="J349" s="62"/>
      <x:c r="K349" s="62"/>
    </x:row>
    <x:row r="350">
      <x:c r="A350" s="66"/>
      <x:c r="B350" s="62"/>
      <x:c r="C350" s="62"/>
      <x:c r="D350" s="62"/>
      <x:c r="E350" s="68"/>
      <x:c r="F350" s="75"/>
      <x:c r="G350" s="71" t="n">
        <x:f>IF(A350="",0,E350*F350)</x:f>
        <x:v>0</x:v>
      </x:c>
      <x:c r="H350" s="62"/>
      <x:c r="I350" s="62"/>
      <x:c r="J350" s="62"/>
      <x:c r="K350" s="62"/>
    </x:row>
    <x:row r="351">
      <x:c r="A351" s="66"/>
      <x:c r="B351" s="62"/>
      <x:c r="C351" s="62"/>
      <x:c r="D351" s="62"/>
      <x:c r="E351" s="68"/>
      <x:c r="F351" s="75"/>
      <x:c r="G351" s="71" t="n">
        <x:f>IF(A351="",0,E351*F351)</x:f>
        <x:v>0</x:v>
      </x:c>
      <x:c r="H351" s="62"/>
      <x:c r="I351" s="62"/>
      <x:c r="J351" s="62"/>
      <x:c r="K351" s="62"/>
    </x:row>
    <x:row r="352">
      <x:c r="A352" s="66"/>
      <x:c r="B352" s="62"/>
      <x:c r="C352" s="62"/>
      <x:c r="D352" s="62"/>
      <x:c r="E352" s="68"/>
      <x:c r="F352" s="75"/>
      <x:c r="G352" s="71" t="n">
        <x:f>IF(A352="",0,E352*F352)</x:f>
        <x:v>0</x:v>
      </x:c>
      <x:c r="H352" s="62"/>
      <x:c r="I352" s="62"/>
      <x:c r="J352" s="62"/>
      <x:c r="K352" s="62"/>
    </x:row>
    <x:row r="353">
      <x:c r="A353" s="66"/>
      <x:c r="B353" s="62"/>
      <x:c r="C353" s="62"/>
      <x:c r="D353" s="62"/>
      <x:c r="E353" s="68"/>
      <x:c r="F353" s="75"/>
      <x:c r="G353" s="71" t="n">
        <x:f>IF(A353="",0,E353*F353)</x:f>
        <x:v>0</x:v>
      </x:c>
      <x:c r="H353" s="62"/>
      <x:c r="I353" s="62"/>
      <x:c r="J353" s="62"/>
      <x:c r="K353" s="62"/>
    </x:row>
    <x:row r="354">
      <x:c r="A354" s="66"/>
      <x:c r="B354" s="62"/>
      <x:c r="C354" s="62"/>
      <x:c r="D354" s="62"/>
      <x:c r="E354" s="68"/>
      <x:c r="F354" s="75"/>
      <x:c r="G354" s="71" t="n">
        <x:f>IF(A354="",0,E354*F354)</x:f>
        <x:v>0</x:v>
      </x:c>
      <x:c r="H354" s="62"/>
      <x:c r="I354" s="62"/>
      <x:c r="J354" s="62"/>
      <x:c r="K354" s="62"/>
    </x:row>
    <x:row r="355">
      <x:c r="A355" s="66"/>
      <x:c r="B355" s="62"/>
      <x:c r="C355" s="62"/>
      <x:c r="D355" s="62"/>
      <x:c r="E355" s="68"/>
      <x:c r="F355" s="75"/>
      <x:c r="G355" s="71" t="n">
        <x:f>IF(A355="",0,E355*F355)</x:f>
        <x:v>0</x:v>
      </x:c>
      <x:c r="H355" s="62"/>
      <x:c r="I355" s="62"/>
      <x:c r="J355" s="62"/>
      <x:c r="K355" s="62"/>
    </x:row>
    <x:row r="356">
      <x:c r="A356" s="66"/>
      <x:c r="B356" s="62"/>
      <x:c r="C356" s="62"/>
      <x:c r="D356" s="62"/>
      <x:c r="E356" s="68"/>
      <x:c r="F356" s="75"/>
      <x:c r="G356" s="71" t="n">
        <x:f>IF(A356="",0,E356*F356)</x:f>
        <x:v>0</x:v>
      </x:c>
      <x:c r="H356" s="62"/>
      <x:c r="I356" s="62"/>
      <x:c r="J356" s="62"/>
      <x:c r="K356" s="62"/>
    </x:row>
    <x:row r="357">
      <x:c r="A357" s="66"/>
      <x:c r="B357" s="62"/>
      <x:c r="C357" s="62"/>
      <x:c r="D357" s="62"/>
      <x:c r="E357" s="68"/>
      <x:c r="F357" s="75"/>
      <x:c r="G357" s="71" t="n">
        <x:f>IF(A357="",0,E357*F357)</x:f>
        <x:v>0</x:v>
      </x:c>
      <x:c r="H357" s="62"/>
      <x:c r="I357" s="62"/>
      <x:c r="J357" s="62"/>
      <x:c r="K357" s="62"/>
    </x:row>
    <x:row r="358">
      <x:c r="A358" s="66"/>
      <x:c r="B358" s="62"/>
      <x:c r="C358" s="62"/>
      <x:c r="D358" s="62"/>
      <x:c r="E358" s="68"/>
      <x:c r="F358" s="75"/>
      <x:c r="G358" s="71" t="n">
        <x:f>IF(A358="",0,E358*F358)</x:f>
        <x:v>0</x:v>
      </x:c>
      <x:c r="H358" s="62"/>
      <x:c r="I358" s="62"/>
      <x:c r="J358" s="62"/>
      <x:c r="K358" s="62"/>
    </x:row>
    <x:row r="359">
      <x:c r="A359" s="66"/>
      <x:c r="B359" s="62"/>
      <x:c r="C359" s="62"/>
      <x:c r="D359" s="62"/>
      <x:c r="E359" s="68"/>
      <x:c r="F359" s="75"/>
      <x:c r="G359" s="71" t="n">
        <x:f>IF(A359="",0,E359*F359)</x:f>
        <x:v>0</x:v>
      </x:c>
      <x:c r="H359" s="62"/>
      <x:c r="I359" s="62"/>
      <x:c r="J359" s="62"/>
      <x:c r="K359" s="62"/>
    </x:row>
    <x:row r="360">
      <x:c r="A360" s="66"/>
      <x:c r="B360" s="62"/>
      <x:c r="C360" s="62"/>
      <x:c r="D360" s="62"/>
      <x:c r="E360" s="68"/>
      <x:c r="F360" s="75"/>
      <x:c r="G360" s="71" t="n">
        <x:f>IF(A360="",0,E360*F360)</x:f>
        <x:v>0</x:v>
      </x:c>
      <x:c r="H360" s="62"/>
      <x:c r="I360" s="62"/>
      <x:c r="J360" s="62"/>
      <x:c r="K360" s="62"/>
    </x:row>
    <x:row r="361">
      <x:c r="A361" s="66"/>
      <x:c r="B361" s="62"/>
      <x:c r="C361" s="62"/>
      <x:c r="D361" s="62"/>
      <x:c r="E361" s="68"/>
      <x:c r="F361" s="75"/>
      <x:c r="G361" s="71" t="n">
        <x:f>IF(A361="",0,E361*F361)</x:f>
        <x:v>0</x:v>
      </x:c>
      <x:c r="H361" s="62"/>
      <x:c r="I361" s="62"/>
      <x:c r="J361" s="62"/>
      <x:c r="K361" s="62"/>
    </x:row>
    <x:row r="362">
      <x:c r="A362" s="66"/>
      <x:c r="B362" s="62"/>
      <x:c r="C362" s="62"/>
      <x:c r="D362" s="62"/>
      <x:c r="E362" s="68"/>
      <x:c r="F362" s="75"/>
      <x:c r="G362" s="71" t="n">
        <x:f>IF(A362="",0,E362*F362)</x:f>
        <x:v>0</x:v>
      </x:c>
      <x:c r="H362" s="62"/>
      <x:c r="I362" s="62"/>
      <x:c r="J362" s="62"/>
      <x:c r="K362" s="62"/>
    </x:row>
    <x:row r="363">
      <x:c r="A363" s="66"/>
      <x:c r="B363" s="62"/>
      <x:c r="C363" s="62"/>
      <x:c r="D363" s="62"/>
      <x:c r="E363" s="68"/>
      <x:c r="F363" s="75"/>
      <x:c r="G363" s="71" t="n">
        <x:f>IF(A363="",0,E363*F363)</x:f>
        <x:v>0</x:v>
      </x:c>
      <x:c r="H363" s="62"/>
      <x:c r="I363" s="62"/>
      <x:c r="J363" s="62"/>
      <x:c r="K363" s="62"/>
    </x:row>
    <x:row r="364">
      <x:c r="A364" s="66"/>
      <x:c r="B364" s="62"/>
      <x:c r="C364" s="62"/>
      <x:c r="D364" s="62"/>
      <x:c r="E364" s="68"/>
      <x:c r="F364" s="75"/>
      <x:c r="G364" s="71" t="n">
        <x:f>IF(A364="",0,E364*F364)</x:f>
        <x:v>0</x:v>
      </x:c>
      <x:c r="H364" s="62"/>
      <x:c r="I364" s="62"/>
      <x:c r="J364" s="62"/>
      <x:c r="K364" s="62"/>
    </x:row>
    <x:row r="365">
      <x:c r="A365" s="66"/>
      <x:c r="B365" s="62"/>
      <x:c r="C365" s="62"/>
      <x:c r="D365" s="62"/>
      <x:c r="E365" s="68"/>
      <x:c r="F365" s="75"/>
      <x:c r="G365" s="71" t="n">
        <x:f>IF(A365="",0,E365*F365)</x:f>
        <x:v>0</x:v>
      </x:c>
      <x:c r="H365" s="62"/>
      <x:c r="I365" s="62"/>
      <x:c r="J365" s="62"/>
      <x:c r="K365" s="62"/>
    </x:row>
    <x:row r="366">
      <x:c r="A366" s="66"/>
      <x:c r="B366" s="62"/>
      <x:c r="C366" s="62"/>
      <x:c r="D366" s="62"/>
      <x:c r="E366" s="68"/>
      <x:c r="F366" s="75"/>
      <x:c r="G366" s="71" t="n">
        <x:f>IF(A366="",0,E366*F366)</x:f>
        <x:v>0</x:v>
      </x:c>
      <x:c r="H366" s="62"/>
      <x:c r="I366" s="62"/>
      <x:c r="J366" s="62"/>
      <x:c r="K366" s="62"/>
    </x:row>
    <x:row r="367">
      <x:c r="A367" s="66"/>
      <x:c r="B367" s="62"/>
      <x:c r="C367" s="62"/>
      <x:c r="D367" s="62"/>
      <x:c r="E367" s="68"/>
      <x:c r="F367" s="75"/>
      <x:c r="G367" s="71" t="n">
        <x:f>IF(A367="",0,E367*F367)</x:f>
        <x:v>0</x:v>
      </x:c>
      <x:c r="H367" s="62"/>
      <x:c r="I367" s="62"/>
      <x:c r="J367" s="62"/>
      <x:c r="K367" s="62"/>
    </x:row>
    <x:row r="368">
      <x:c r="A368" s="66"/>
      <x:c r="B368" s="62"/>
      <x:c r="C368" s="62"/>
      <x:c r="D368" s="62"/>
      <x:c r="E368" s="68"/>
      <x:c r="F368" s="75"/>
      <x:c r="G368" s="71" t="n">
        <x:f>IF(A368="",0,E368*F368)</x:f>
        <x:v>0</x:v>
      </x:c>
      <x:c r="H368" s="62"/>
      <x:c r="I368" s="62"/>
      <x:c r="J368" s="62"/>
      <x:c r="K368" s="62"/>
    </x:row>
    <x:row r="369">
      <x:c r="A369" s="66"/>
      <x:c r="B369" s="62"/>
      <x:c r="C369" s="62"/>
      <x:c r="D369" s="62"/>
      <x:c r="E369" s="68"/>
      <x:c r="F369" s="75"/>
      <x:c r="G369" s="71" t="n">
        <x:f>IF(A369="",0,E369*F369)</x:f>
        <x:v>0</x:v>
      </x:c>
      <x:c r="H369" s="62"/>
      <x:c r="I369" s="62"/>
      <x:c r="J369" s="62"/>
      <x:c r="K369" s="62"/>
    </x:row>
    <x:row r="370">
      <x:c r="A370" s="66"/>
      <x:c r="B370" s="62"/>
      <x:c r="C370" s="62"/>
      <x:c r="D370" s="62"/>
      <x:c r="E370" s="68"/>
      <x:c r="F370" s="75"/>
      <x:c r="G370" s="71" t="n">
        <x:f>IF(A370="",0,E370*F370)</x:f>
        <x:v>0</x:v>
      </x:c>
      <x:c r="H370" s="62"/>
      <x:c r="I370" s="62"/>
      <x:c r="J370" s="62"/>
      <x:c r="K370" s="62"/>
    </x:row>
    <x:row r="371">
      <x:c r="A371" s="66"/>
      <x:c r="B371" s="62"/>
      <x:c r="C371" s="62"/>
      <x:c r="D371" s="62"/>
      <x:c r="E371" s="68"/>
      <x:c r="F371" s="75"/>
      <x:c r="G371" s="71" t="n">
        <x:f>IF(A371="",0,E371*F371)</x:f>
        <x:v>0</x:v>
      </x:c>
      <x:c r="H371" s="62"/>
      <x:c r="I371" s="62"/>
      <x:c r="J371" s="62"/>
      <x:c r="K371" s="62"/>
    </x:row>
    <x:row r="372">
      <x:c r="A372" s="66"/>
      <x:c r="B372" s="62"/>
      <x:c r="C372" s="62"/>
      <x:c r="D372" s="62"/>
      <x:c r="E372" s="68"/>
      <x:c r="F372" s="75"/>
      <x:c r="G372" s="71" t="n">
        <x:f>IF(A372="",0,E372*F372)</x:f>
        <x:v>0</x:v>
      </x:c>
      <x:c r="H372" s="62"/>
      <x:c r="I372" s="62"/>
      <x:c r="J372" s="62"/>
      <x:c r="K372" s="62"/>
    </x:row>
    <x:row r="373">
      <x:c r="A373" s="66"/>
      <x:c r="B373" s="62"/>
      <x:c r="C373" s="62"/>
      <x:c r="D373" s="62"/>
      <x:c r="E373" s="68"/>
      <x:c r="F373" s="75"/>
      <x:c r="G373" s="71" t="n">
        <x:f>IF(A373="",0,E373*F373)</x:f>
        <x:v>0</x:v>
      </x:c>
      <x:c r="H373" s="62"/>
      <x:c r="I373" s="62"/>
      <x:c r="J373" s="62"/>
      <x:c r="K373" s="62"/>
    </x:row>
    <x:row r="374">
      <x:c r="A374" s="66"/>
      <x:c r="B374" s="62"/>
      <x:c r="C374" s="62"/>
      <x:c r="D374" s="62"/>
      <x:c r="E374" s="68"/>
      <x:c r="F374" s="75"/>
      <x:c r="G374" s="71" t="n">
        <x:f>IF(A374="",0,E374*F374)</x:f>
        <x:v>0</x:v>
      </x:c>
      <x:c r="H374" s="62"/>
      <x:c r="I374" s="62"/>
      <x:c r="J374" s="62"/>
      <x:c r="K374" s="62"/>
    </x:row>
    <x:row r="375">
      <x:c r="A375" s="66"/>
      <x:c r="B375" s="62"/>
      <x:c r="C375" s="62"/>
      <x:c r="D375" s="62"/>
      <x:c r="E375" s="68"/>
      <x:c r="F375" s="75"/>
      <x:c r="G375" s="71" t="n">
        <x:f>IF(A375="",0,E375*F375)</x:f>
        <x:v>0</x:v>
      </x:c>
      <x:c r="H375" s="62"/>
      <x:c r="I375" s="62"/>
      <x:c r="J375" s="62"/>
      <x:c r="K375" s="62"/>
    </x:row>
    <x:row r="376">
      <x:c r="A376" s="66"/>
      <x:c r="B376" s="62"/>
      <x:c r="C376" s="62"/>
      <x:c r="D376" s="62"/>
      <x:c r="E376" s="68"/>
      <x:c r="F376" s="75"/>
      <x:c r="G376" s="71" t="n">
        <x:f>IF(A376="",0,E376*F376)</x:f>
        <x:v>0</x:v>
      </x:c>
      <x:c r="H376" s="62"/>
      <x:c r="I376" s="62"/>
      <x:c r="J376" s="62"/>
      <x:c r="K376" s="62"/>
    </x:row>
    <x:row r="377">
      <x:c r="A377" s="66"/>
      <x:c r="B377" s="62"/>
      <x:c r="C377" s="62"/>
      <x:c r="D377" s="62"/>
      <x:c r="E377" s="68"/>
      <x:c r="F377" s="75"/>
      <x:c r="G377" s="71" t="n">
        <x:f>IF(A377="",0,E377*F377)</x:f>
        <x:v>0</x:v>
      </x:c>
      <x:c r="H377" s="62"/>
      <x:c r="I377" s="62"/>
      <x:c r="J377" s="62"/>
      <x:c r="K377" s="62"/>
    </x:row>
    <x:row r="378">
      <x:c r="A378" s="66"/>
      <x:c r="B378" s="62"/>
      <x:c r="C378" s="62"/>
      <x:c r="D378" s="62"/>
      <x:c r="E378" s="68"/>
      <x:c r="F378" s="75"/>
      <x:c r="G378" s="71" t="n">
        <x:f>IF(A378="",0,E378*F378)</x:f>
        <x:v>0</x:v>
      </x:c>
      <x:c r="H378" s="62"/>
      <x:c r="I378" s="62"/>
      <x:c r="J378" s="62"/>
      <x:c r="K378" s="62"/>
    </x:row>
    <x:row r="379">
      <x:c r="A379" s="66"/>
      <x:c r="B379" s="62"/>
      <x:c r="C379" s="62"/>
      <x:c r="D379" s="62"/>
      <x:c r="E379" s="68"/>
      <x:c r="F379" s="75"/>
      <x:c r="G379" s="71" t="n">
        <x:f>IF(A379="",0,E379*F379)</x:f>
        <x:v>0</x:v>
      </x:c>
      <x:c r="H379" s="62"/>
      <x:c r="I379" s="62"/>
      <x:c r="J379" s="62"/>
      <x:c r="K379" s="62"/>
    </x:row>
    <x:row r="380">
      <x:c r="A380" s="66"/>
      <x:c r="B380" s="62"/>
      <x:c r="C380" s="62"/>
      <x:c r="D380" s="62"/>
      <x:c r="E380" s="68"/>
      <x:c r="F380" s="75"/>
      <x:c r="G380" s="71" t="n">
        <x:f>IF(A380="",0,E380*F380)</x:f>
        <x:v>0</x:v>
      </x:c>
      <x:c r="H380" s="62"/>
      <x:c r="I380" s="62"/>
      <x:c r="J380" s="62"/>
      <x:c r="K380" s="62"/>
    </x:row>
    <x:row r="381">
      <x:c r="A381" s="66"/>
      <x:c r="B381" s="62"/>
      <x:c r="C381" s="62"/>
      <x:c r="D381" s="62"/>
      <x:c r="E381" s="68"/>
      <x:c r="F381" s="75"/>
      <x:c r="G381" s="71" t="n">
        <x:f>IF(A381="",0,E381*F381)</x:f>
        <x:v>0</x:v>
      </x:c>
      <x:c r="H381" s="62"/>
      <x:c r="I381" s="62"/>
      <x:c r="J381" s="62"/>
      <x:c r="K381" s="62"/>
    </x:row>
    <x:row r="382">
      <x:c r="A382" s="66"/>
      <x:c r="B382" s="62"/>
      <x:c r="C382" s="62"/>
      <x:c r="D382" s="62"/>
      <x:c r="E382" s="68"/>
      <x:c r="F382" s="75"/>
      <x:c r="G382" s="71" t="n">
        <x:f>IF(A382="",0,E382*F382)</x:f>
        <x:v>0</x:v>
      </x:c>
      <x:c r="H382" s="62"/>
      <x:c r="I382" s="62"/>
      <x:c r="J382" s="62"/>
      <x:c r="K382" s="62"/>
    </x:row>
    <x:row r="383">
      <x:c r="A383" s="66"/>
      <x:c r="B383" s="62"/>
      <x:c r="C383" s="62"/>
      <x:c r="D383" s="62"/>
      <x:c r="E383" s="68"/>
      <x:c r="F383" s="75"/>
      <x:c r="G383" s="71" t="n">
        <x:f>IF(A383="",0,E383*F383)</x:f>
        <x:v>0</x:v>
      </x:c>
      <x:c r="H383" s="62"/>
      <x:c r="I383" s="62"/>
      <x:c r="J383" s="62"/>
      <x:c r="K383" s="62"/>
    </x:row>
    <x:row r="384">
      <x:c r="A384" s="66"/>
      <x:c r="B384" s="62"/>
      <x:c r="C384" s="62"/>
      <x:c r="D384" s="62"/>
      <x:c r="E384" s="68"/>
      <x:c r="F384" s="75"/>
      <x:c r="G384" s="71" t="n">
        <x:f>IF(A384="",0,E384*F384)</x:f>
        <x:v>0</x:v>
      </x:c>
      <x:c r="H384" s="62"/>
      <x:c r="I384" s="62"/>
      <x:c r="J384" s="62"/>
      <x:c r="K384" s="62"/>
    </x:row>
    <x:row r="385">
      <x:c r="A385" s="66"/>
      <x:c r="B385" s="62"/>
      <x:c r="C385" s="62"/>
      <x:c r="D385" s="62"/>
      <x:c r="E385" s="68"/>
      <x:c r="F385" s="75"/>
      <x:c r="G385" s="71" t="n">
        <x:f>IF(A385="",0,E385*F385)</x:f>
        <x:v>0</x:v>
      </x:c>
      <x:c r="H385" s="62"/>
      <x:c r="I385" s="62"/>
      <x:c r="J385" s="62"/>
      <x:c r="K385" s="62"/>
    </x:row>
    <x:row r="386">
      <x:c r="A386" s="66"/>
      <x:c r="B386" s="62"/>
      <x:c r="C386" s="62"/>
      <x:c r="D386" s="62"/>
      <x:c r="E386" s="68"/>
      <x:c r="F386" s="75"/>
      <x:c r="G386" s="71" t="n">
        <x:f>IF(A386="",0,E386*F386)</x:f>
        <x:v>0</x:v>
      </x:c>
      <x:c r="H386" s="62"/>
      <x:c r="I386" s="62"/>
      <x:c r="J386" s="62"/>
      <x:c r="K386" s="62"/>
    </x:row>
    <x:row r="387">
      <x:c r="A387" s="66"/>
      <x:c r="B387" s="62"/>
      <x:c r="C387" s="62"/>
      <x:c r="D387" s="62"/>
      <x:c r="E387" s="68"/>
      <x:c r="F387" s="75"/>
      <x:c r="G387" s="71" t="n">
        <x:f>IF(A387="",0,E387*F387)</x:f>
        <x:v>0</x:v>
      </x:c>
      <x:c r="H387" s="62"/>
      <x:c r="I387" s="62"/>
      <x:c r="J387" s="62"/>
      <x:c r="K387" s="62"/>
    </x:row>
    <x:row r="388">
      <x:c r="A388" s="66"/>
      <x:c r="B388" s="62"/>
      <x:c r="C388" s="62"/>
      <x:c r="D388" s="62"/>
      <x:c r="E388" s="68"/>
      <x:c r="F388" s="75"/>
      <x:c r="G388" s="71" t="n">
        <x:f>IF(A388="",0,E388*F388)</x:f>
        <x:v>0</x:v>
      </x:c>
      <x:c r="H388" s="62"/>
      <x:c r="I388" s="62"/>
      <x:c r="J388" s="62"/>
      <x:c r="K388" s="62"/>
    </x:row>
    <x:row r="389">
      <x:c r="A389" s="66"/>
      <x:c r="B389" s="62"/>
      <x:c r="C389" s="62"/>
      <x:c r="D389" s="62"/>
      <x:c r="E389" s="68"/>
      <x:c r="F389" s="75"/>
      <x:c r="G389" s="71" t="n">
        <x:f>IF(A389="",0,E389*F389)</x:f>
        <x:v>0</x:v>
      </x:c>
      <x:c r="H389" s="62"/>
      <x:c r="I389" s="62"/>
      <x:c r="J389" s="62"/>
      <x:c r="K389" s="62"/>
    </x:row>
    <x:row r="390">
      <x:c r="A390" s="66"/>
      <x:c r="B390" s="62"/>
      <x:c r="C390" s="62"/>
      <x:c r="D390" s="62"/>
      <x:c r="E390" s="68"/>
      <x:c r="F390" s="75"/>
      <x:c r="G390" s="71" t="n">
        <x:f>IF(A390="",0,E390*F390)</x:f>
        <x:v>0</x:v>
      </x:c>
      <x:c r="H390" s="62"/>
      <x:c r="I390" s="62"/>
      <x:c r="J390" s="62"/>
      <x:c r="K390" s="62"/>
    </x:row>
    <x:row r="391">
      <x:c r="A391" s="66"/>
      <x:c r="B391" s="62"/>
      <x:c r="C391" s="62"/>
      <x:c r="D391" s="62"/>
      <x:c r="E391" s="68"/>
      <x:c r="F391" s="75"/>
      <x:c r="G391" s="71" t="n">
        <x:f>IF(A391="",0,E391*F391)</x:f>
        <x:v>0</x:v>
      </x:c>
      <x:c r="H391" s="62"/>
      <x:c r="I391" s="62"/>
      <x:c r="J391" s="62"/>
      <x:c r="K391" s="62"/>
    </x:row>
    <x:row r="392">
      <x:c r="A392" s="66"/>
      <x:c r="B392" s="62"/>
      <x:c r="C392" s="62"/>
      <x:c r="D392" s="62"/>
      <x:c r="E392" s="68"/>
      <x:c r="F392" s="75"/>
      <x:c r="G392" s="71" t="n">
        <x:f>IF(A392="",0,E392*F392)</x:f>
        <x:v>0</x:v>
      </x:c>
      <x:c r="H392" s="62"/>
      <x:c r="I392" s="62"/>
      <x:c r="J392" s="62"/>
      <x:c r="K392" s="62"/>
    </x:row>
    <x:row r="393">
      <x:c r="A393" s="66"/>
      <x:c r="B393" s="62"/>
      <x:c r="C393" s="62"/>
      <x:c r="D393" s="62"/>
      <x:c r="E393" s="68"/>
      <x:c r="F393" s="75"/>
      <x:c r="G393" s="71" t="n">
        <x:f>IF(A393="",0,E393*F393)</x:f>
        <x:v>0</x:v>
      </x:c>
      <x:c r="H393" s="62"/>
      <x:c r="I393" s="62"/>
      <x:c r="J393" s="62"/>
      <x:c r="K393" s="62"/>
    </x:row>
    <x:row r="394">
      <x:c r="A394" s="66"/>
      <x:c r="B394" s="62"/>
      <x:c r="C394" s="62"/>
      <x:c r="D394" s="62"/>
      <x:c r="E394" s="68"/>
      <x:c r="F394" s="75"/>
      <x:c r="G394" s="71" t="n">
        <x:f>IF(A394="",0,E394*F394)</x:f>
        <x:v>0</x:v>
      </x:c>
      <x:c r="H394" s="62"/>
      <x:c r="I394" s="62"/>
      <x:c r="J394" s="62"/>
      <x:c r="K394" s="62"/>
    </x:row>
    <x:row r="395">
      <x:c r="A395" s="66"/>
      <x:c r="B395" s="62"/>
      <x:c r="C395" s="62"/>
      <x:c r="D395" s="62"/>
      <x:c r="E395" s="68"/>
      <x:c r="F395" s="75"/>
      <x:c r="G395" s="71" t="n">
        <x:f>IF(A395="",0,E395*F395)</x:f>
        <x:v>0</x:v>
      </x:c>
      <x:c r="H395" s="62"/>
      <x:c r="I395" s="62"/>
      <x:c r="J395" s="62"/>
      <x:c r="K395" s="62"/>
    </x:row>
    <x:row r="396">
      <x:c r="A396" s="66"/>
      <x:c r="B396" s="62"/>
      <x:c r="C396" s="62"/>
      <x:c r="D396" s="62"/>
      <x:c r="E396" s="68"/>
      <x:c r="F396" s="75"/>
      <x:c r="G396" s="71" t="n">
        <x:f>IF(A396="",0,E396*F396)</x:f>
        <x:v>0</x:v>
      </x:c>
      <x:c r="H396" s="62"/>
      <x:c r="I396" s="62"/>
      <x:c r="J396" s="62"/>
      <x:c r="K396" s="62"/>
    </x:row>
    <x:row r="397">
      <x:c r="A397" s="66"/>
      <x:c r="B397" s="62"/>
      <x:c r="C397" s="62"/>
      <x:c r="D397" s="62"/>
      <x:c r="E397" s="68"/>
      <x:c r="F397" s="75"/>
      <x:c r="G397" s="71" t="n">
        <x:f>IF(A397="",0,E397*F397)</x:f>
        <x:v>0</x:v>
      </x:c>
      <x:c r="H397" s="62"/>
      <x:c r="I397" s="62"/>
      <x:c r="J397" s="62"/>
      <x:c r="K397" s="62"/>
    </x:row>
    <x:row r="398">
      <x:c r="A398" s="66"/>
      <x:c r="B398" s="62"/>
      <x:c r="C398" s="62"/>
      <x:c r="D398" s="62"/>
      <x:c r="E398" s="68"/>
      <x:c r="F398" s="75"/>
      <x:c r="G398" s="71" t="n">
        <x:f>IF(A398="",0,E398*F398)</x:f>
        <x:v>0</x:v>
      </x:c>
      <x:c r="H398" s="62"/>
      <x:c r="I398" s="62"/>
      <x:c r="J398" s="62"/>
      <x:c r="K398" s="62"/>
    </x:row>
    <x:row r="399">
      <x:c r="A399" s="66"/>
      <x:c r="B399" s="62"/>
      <x:c r="C399" s="62"/>
      <x:c r="D399" s="62"/>
      <x:c r="E399" s="68"/>
      <x:c r="F399" s="75"/>
      <x:c r="G399" s="71" t="n">
        <x:f>IF(A399="",0,E399*F399)</x:f>
        <x:v>0</x:v>
      </x:c>
      <x:c r="H399" s="62"/>
      <x:c r="I399" s="62"/>
      <x:c r="J399" s="62"/>
      <x:c r="K399" s="62"/>
    </x:row>
    <x:row r="400">
      <x:c r="A400" s="66"/>
      <x:c r="B400" s="62"/>
      <x:c r="C400" s="62"/>
      <x:c r="D400" s="62"/>
      <x:c r="E400" s="68"/>
      <x:c r="F400" s="75"/>
      <x:c r="G400" s="71" t="n">
        <x:f>IF(A400="",0,E400*F400)</x:f>
        <x:v>0</x:v>
      </x:c>
      <x:c r="H400" s="62"/>
      <x:c r="I400" s="62"/>
      <x:c r="J400" s="62"/>
      <x:c r="K400" s="62"/>
    </x:row>
    <x:row r="401">
      <x:c r="A401" s="66"/>
      <x:c r="B401" s="62"/>
      <x:c r="C401" s="62"/>
      <x:c r="D401" s="62"/>
      <x:c r="E401" s="68"/>
      <x:c r="F401" s="75"/>
      <x:c r="G401" s="71" t="n">
        <x:f>IF(A401="",0,E401*F401)</x:f>
        <x:v>0</x:v>
      </x:c>
      <x:c r="H401" s="62"/>
      <x:c r="I401" s="62"/>
      <x:c r="J401" s="62"/>
      <x:c r="K401" s="62"/>
    </x:row>
    <x:row r="402">
      <x:c r="A402" s="66"/>
      <x:c r="B402" s="62"/>
      <x:c r="C402" s="62"/>
      <x:c r="D402" s="62"/>
      <x:c r="E402" s="68"/>
      <x:c r="F402" s="75"/>
      <x:c r="G402" s="71" t="n">
        <x:f>IF(A402="",0,E402*F402)</x:f>
        <x:v>0</x:v>
      </x:c>
      <x:c r="H402" s="62"/>
      <x:c r="I402" s="62"/>
      <x:c r="J402" s="62"/>
      <x:c r="K402" s="62"/>
    </x:row>
    <x:row r="403">
      <x:c r="A403" s="66"/>
      <x:c r="B403" s="62"/>
      <x:c r="C403" s="62"/>
      <x:c r="D403" s="62"/>
      <x:c r="E403" s="68"/>
      <x:c r="F403" s="75"/>
      <x:c r="G403" s="71" t="n">
        <x:f>IF(A403="",0,E403*F403)</x:f>
        <x:v>0</x:v>
      </x:c>
      <x:c r="H403" s="62"/>
      <x:c r="I403" s="62"/>
      <x:c r="J403" s="62"/>
      <x:c r="K403" s="62"/>
    </x:row>
    <x:row r="404">
      <x:c r="A404" s="66"/>
      <x:c r="B404" s="62"/>
      <x:c r="C404" s="62"/>
      <x:c r="D404" s="62"/>
      <x:c r="E404" s="68"/>
      <x:c r="F404" s="75"/>
      <x:c r="G404" s="71" t="n">
        <x:f>IF(A404="",0,E404*F404)</x:f>
        <x:v>0</x:v>
      </x:c>
      <x:c r="H404" s="62"/>
      <x:c r="I404" s="62"/>
      <x:c r="J404" s="62"/>
      <x:c r="K404" s="62"/>
    </x:row>
    <x:row r="405">
      <x:c r="A405" s="66"/>
      <x:c r="B405" s="62"/>
      <x:c r="C405" s="62"/>
      <x:c r="D405" s="62"/>
      <x:c r="E405" s="68"/>
      <x:c r="F405" s="75"/>
      <x:c r="G405" s="71" t="n">
        <x:f>IF(A405="",0,E405*F405)</x:f>
        <x:v>0</x:v>
      </x:c>
      <x:c r="H405" s="62"/>
      <x:c r="I405" s="62"/>
      <x:c r="J405" s="62"/>
      <x:c r="K405" s="62"/>
    </x:row>
    <x:row r="406">
      <x:c r="A406" s="66"/>
      <x:c r="B406" s="62"/>
      <x:c r="C406" s="62"/>
      <x:c r="D406" s="62"/>
      <x:c r="E406" s="68"/>
      <x:c r="F406" s="75"/>
      <x:c r="G406" s="71" t="n">
        <x:f>IF(A406="",0,E406*F406)</x:f>
        <x:v>0</x:v>
      </x:c>
      <x:c r="H406" s="62"/>
      <x:c r="I406" s="62"/>
      <x:c r="J406" s="62"/>
      <x:c r="K406" s="62"/>
    </x:row>
    <x:row r="407">
      <x:c r="A407" s="66"/>
      <x:c r="B407" s="62"/>
      <x:c r="C407" s="62"/>
      <x:c r="D407" s="62"/>
      <x:c r="E407" s="68"/>
      <x:c r="F407" s="75"/>
      <x:c r="G407" s="71" t="n">
        <x:f>IF(A407="",0,E407*F407)</x:f>
        <x:v>0</x:v>
      </x:c>
      <x:c r="H407" s="62"/>
      <x:c r="I407" s="62"/>
      <x:c r="J407" s="62"/>
      <x:c r="K407" s="62"/>
    </x:row>
    <x:row r="408">
      <x:c r="A408" s="66"/>
      <x:c r="B408" s="62"/>
      <x:c r="C408" s="62"/>
      <x:c r="D408" s="62"/>
      <x:c r="E408" s="68"/>
      <x:c r="F408" s="75"/>
      <x:c r="G408" s="71" t="n">
        <x:f>IF(A408="",0,E408*F408)</x:f>
        <x:v>0</x:v>
      </x:c>
      <x:c r="H408" s="62"/>
      <x:c r="I408" s="62"/>
      <x:c r="J408" s="62"/>
      <x:c r="K408" s="62"/>
    </x:row>
    <x:row r="409">
      <x:c r="A409" s="66"/>
      <x:c r="B409" s="62"/>
      <x:c r="C409" s="62"/>
      <x:c r="D409" s="62"/>
      <x:c r="E409" s="68"/>
      <x:c r="F409" s="75"/>
      <x:c r="G409" s="71" t="n">
        <x:f>IF(A409="",0,E409*F409)</x:f>
        <x:v>0</x:v>
      </x:c>
      <x:c r="H409" s="62"/>
      <x:c r="I409" s="62"/>
      <x:c r="J409" s="62"/>
      <x:c r="K409" s="62"/>
    </x:row>
    <x:row r="410">
      <x:c r="A410" s="66"/>
      <x:c r="B410" s="62"/>
      <x:c r="C410" s="62"/>
      <x:c r="D410" s="62"/>
      <x:c r="E410" s="68"/>
      <x:c r="F410" s="75"/>
      <x:c r="G410" s="71" t="n">
        <x:f>IF(A410="",0,E410*F410)</x:f>
        <x:v>0</x:v>
      </x:c>
      <x:c r="H410" s="62"/>
      <x:c r="I410" s="62"/>
      <x:c r="J410" s="62"/>
      <x:c r="K410" s="62"/>
    </x:row>
    <x:row r="411">
      <x:c r="A411" s="66"/>
      <x:c r="B411" s="62"/>
      <x:c r="C411" s="62"/>
      <x:c r="D411" s="62"/>
      <x:c r="E411" s="68"/>
      <x:c r="F411" s="75"/>
      <x:c r="G411" s="71" t="n">
        <x:f>IF(A411="",0,E411*F411)</x:f>
        <x:v>0</x:v>
      </x:c>
      <x:c r="H411" s="62"/>
      <x:c r="I411" s="62"/>
      <x:c r="J411" s="62"/>
      <x:c r="K411" s="62"/>
    </x:row>
    <x:row r="412">
      <x:c r="A412" s="66"/>
      <x:c r="B412" s="62"/>
      <x:c r="C412" s="62"/>
      <x:c r="D412" s="62"/>
      <x:c r="E412" s="68"/>
      <x:c r="F412" s="75"/>
      <x:c r="G412" s="71" t="n">
        <x:f>IF(A412="",0,E412*F412)</x:f>
        <x:v>0</x:v>
      </x:c>
      <x:c r="H412" s="62"/>
      <x:c r="I412" s="62"/>
      <x:c r="J412" s="62"/>
      <x:c r="K412" s="62"/>
    </x:row>
    <x:row r="413">
      <x:c r="A413" s="66"/>
      <x:c r="B413" s="62"/>
      <x:c r="C413" s="62"/>
      <x:c r="D413" s="62"/>
      <x:c r="E413" s="68"/>
      <x:c r="F413" s="75"/>
      <x:c r="G413" s="71" t="n">
        <x:f>IF(A413="",0,E413*F413)</x:f>
        <x:v>0</x:v>
      </x:c>
      <x:c r="H413" s="62"/>
      <x:c r="I413" s="62"/>
      <x:c r="J413" s="62"/>
      <x:c r="K413" s="62"/>
    </x:row>
    <x:row r="414">
      <x:c r="A414" s="66"/>
      <x:c r="B414" s="62"/>
      <x:c r="C414" s="62"/>
      <x:c r="D414" s="62"/>
      <x:c r="E414" s="68"/>
      <x:c r="F414" s="75"/>
      <x:c r="G414" s="71" t="n">
        <x:f>IF(A414="",0,E414*F414)</x:f>
        <x:v>0</x:v>
      </x:c>
      <x:c r="H414" s="62"/>
      <x:c r="I414" s="62"/>
      <x:c r="J414" s="62"/>
      <x:c r="K414" s="62"/>
    </x:row>
    <x:row r="415">
      <x:c r="A415" s="66"/>
      <x:c r="B415" s="62"/>
      <x:c r="C415" s="62"/>
      <x:c r="D415" s="62"/>
      <x:c r="E415" s="68"/>
      <x:c r="F415" s="75"/>
      <x:c r="G415" s="71" t="n">
        <x:f>IF(A415="",0,E415*F415)</x:f>
        <x:v>0</x:v>
      </x:c>
      <x:c r="H415" s="62"/>
      <x:c r="I415" s="62"/>
      <x:c r="J415" s="62"/>
      <x:c r="K415" s="62"/>
    </x:row>
    <x:row r="416">
      <x:c r="A416" s="66"/>
      <x:c r="B416" s="62"/>
      <x:c r="C416" s="62"/>
      <x:c r="D416" s="62"/>
      <x:c r="E416" s="68"/>
      <x:c r="F416" s="75"/>
      <x:c r="G416" s="71" t="n">
        <x:f>IF(A416="",0,E416*F416)</x:f>
        <x:v>0</x:v>
      </x:c>
      <x:c r="H416" s="62"/>
      <x:c r="I416" s="62"/>
      <x:c r="J416" s="62"/>
      <x:c r="K416" s="62"/>
    </x:row>
    <x:row r="417">
      <x:c r="A417" s="66"/>
      <x:c r="B417" s="62"/>
      <x:c r="C417" s="62"/>
      <x:c r="D417" s="62"/>
      <x:c r="E417" s="68"/>
      <x:c r="F417" s="75"/>
      <x:c r="G417" s="71" t="n">
        <x:f>IF(A417="",0,E417*F417)</x:f>
        <x:v>0</x:v>
      </x:c>
      <x:c r="H417" s="62"/>
      <x:c r="I417" s="62"/>
      <x:c r="J417" s="62"/>
      <x:c r="K417" s="62"/>
    </x:row>
    <x:row r="418">
      <x:c r="A418" s="66"/>
      <x:c r="B418" s="62"/>
      <x:c r="C418" s="62"/>
      <x:c r="D418" s="62"/>
      <x:c r="E418" s="68"/>
      <x:c r="F418" s="75"/>
      <x:c r="G418" s="71" t="n">
        <x:f>IF(A418="",0,E418*F418)</x:f>
        <x:v>0</x:v>
      </x:c>
      <x:c r="H418" s="62"/>
      <x:c r="I418" s="62"/>
      <x:c r="J418" s="62"/>
      <x:c r="K418" s="62"/>
    </x:row>
    <x:row r="419">
      <x:c r="A419" s="66"/>
      <x:c r="B419" s="62"/>
      <x:c r="C419" s="62"/>
      <x:c r="D419" s="62"/>
      <x:c r="E419" s="68"/>
      <x:c r="F419" s="75"/>
      <x:c r="G419" s="71" t="n">
        <x:f>IF(A419="",0,E419*F419)</x:f>
        <x:v>0</x:v>
      </x:c>
      <x:c r="H419" s="62"/>
      <x:c r="I419" s="62"/>
      <x:c r="J419" s="62"/>
      <x:c r="K419" s="62"/>
    </x:row>
    <x:row r="420">
      <x:c r="A420" s="66"/>
      <x:c r="B420" s="62"/>
      <x:c r="C420" s="62"/>
      <x:c r="D420" s="62"/>
      <x:c r="E420" s="68"/>
      <x:c r="F420" s="75"/>
      <x:c r="G420" s="71" t="n">
        <x:f>IF(A420="",0,E420*F420)</x:f>
        <x:v>0</x:v>
      </x:c>
      <x:c r="H420" s="62"/>
      <x:c r="I420" s="62"/>
      <x:c r="J420" s="62"/>
      <x:c r="K420" s="62"/>
    </x:row>
    <x:row r="421">
      <x:c r="A421" s="66"/>
      <x:c r="B421" s="62"/>
      <x:c r="C421" s="62"/>
      <x:c r="D421" s="62"/>
      <x:c r="E421" s="68"/>
      <x:c r="F421" s="75"/>
      <x:c r="G421" s="71" t="n">
        <x:f>IF(A421="",0,E421*F421)</x:f>
        <x:v>0</x:v>
      </x:c>
      <x:c r="H421" s="62"/>
      <x:c r="I421" s="62"/>
      <x:c r="J421" s="62"/>
      <x:c r="K421" s="62"/>
    </x:row>
    <x:row r="422">
      <x:c r="A422" s="66"/>
      <x:c r="B422" s="62"/>
      <x:c r="C422" s="62"/>
      <x:c r="D422" s="62"/>
      <x:c r="E422" s="68"/>
      <x:c r="F422" s="75"/>
      <x:c r="G422" s="71" t="n">
        <x:f>IF(A422="",0,E422*F422)</x:f>
        <x:v>0</x:v>
      </x:c>
      <x:c r="H422" s="62"/>
      <x:c r="I422" s="62"/>
      <x:c r="J422" s="62"/>
      <x:c r="K422" s="62"/>
    </x:row>
    <x:row r="423">
      <x:c r="A423" s="66"/>
      <x:c r="B423" s="62"/>
      <x:c r="C423" s="62"/>
      <x:c r="D423" s="62"/>
      <x:c r="E423" s="68"/>
      <x:c r="F423" s="75"/>
      <x:c r="G423" s="71" t="n">
        <x:f>IF(A423="",0,E423*F423)</x:f>
        <x:v>0</x:v>
      </x:c>
      <x:c r="H423" s="62"/>
      <x:c r="I423" s="62"/>
      <x:c r="J423" s="62"/>
      <x:c r="K423" s="62"/>
    </x:row>
    <x:row r="424">
      <x:c r="A424" s="66"/>
      <x:c r="B424" s="62"/>
      <x:c r="C424" s="62"/>
      <x:c r="D424" s="62"/>
      <x:c r="E424" s="68"/>
      <x:c r="F424" s="75"/>
      <x:c r="G424" s="71" t="n">
        <x:f>IF(A424="",0,E424*F424)</x:f>
        <x:v>0</x:v>
      </x:c>
      <x:c r="H424" s="62"/>
      <x:c r="I424" s="62"/>
      <x:c r="J424" s="62"/>
      <x:c r="K424" s="62"/>
    </x:row>
    <x:row r="425">
      <x:c r="A425" s="66"/>
      <x:c r="B425" s="62"/>
      <x:c r="C425" s="62"/>
      <x:c r="D425" s="62"/>
      <x:c r="E425" s="68"/>
      <x:c r="F425" s="75"/>
      <x:c r="G425" s="71" t="n">
        <x:f>IF(A425="",0,E425*F425)</x:f>
        <x:v>0</x:v>
      </x:c>
      <x:c r="H425" s="62"/>
      <x:c r="I425" s="62"/>
      <x:c r="J425" s="62"/>
      <x:c r="K425" s="62"/>
    </x:row>
    <x:row r="426">
      <x:c r="A426" s="66"/>
      <x:c r="B426" s="62"/>
      <x:c r="C426" s="62"/>
      <x:c r="D426" s="62"/>
      <x:c r="E426" s="68"/>
      <x:c r="F426" s="75"/>
      <x:c r="G426" s="71" t="n">
        <x:f>IF(A426="",0,E426*F426)</x:f>
        <x:v>0</x:v>
      </x:c>
      <x:c r="H426" s="62"/>
      <x:c r="I426" s="62"/>
      <x:c r="J426" s="62"/>
      <x:c r="K426" s="62"/>
    </x:row>
    <x:row r="427">
      <x:c r="A427" s="66"/>
      <x:c r="B427" s="62"/>
      <x:c r="C427" s="62"/>
      <x:c r="D427" s="62"/>
      <x:c r="E427" s="68"/>
      <x:c r="F427" s="75"/>
      <x:c r="G427" s="71" t="n">
        <x:f>IF(A427="",0,E427*F427)</x:f>
        <x:v>0</x:v>
      </x:c>
      <x:c r="H427" s="62"/>
      <x:c r="I427" s="62"/>
      <x:c r="J427" s="62"/>
      <x:c r="K427" s="62"/>
    </x:row>
    <x:row r="428">
      <x:c r="A428" s="66"/>
      <x:c r="B428" s="62"/>
      <x:c r="C428" s="62"/>
      <x:c r="D428" s="62"/>
      <x:c r="E428" s="68"/>
      <x:c r="F428" s="75"/>
      <x:c r="G428" s="71" t="n">
        <x:f>IF(A428="",0,E428*F428)</x:f>
        <x:v>0</x:v>
      </x:c>
      <x:c r="H428" s="62"/>
      <x:c r="I428" s="62"/>
      <x:c r="J428" s="62"/>
      <x:c r="K428" s="62"/>
    </x:row>
    <x:row r="429">
      <x:c r="A429" s="66"/>
      <x:c r="B429" s="62"/>
      <x:c r="C429" s="62"/>
      <x:c r="D429" s="62"/>
      <x:c r="E429" s="68"/>
      <x:c r="F429" s="75"/>
      <x:c r="G429" s="71" t="n">
        <x:f>IF(A429="",0,E429*F429)</x:f>
        <x:v>0</x:v>
      </x:c>
      <x:c r="H429" s="62"/>
      <x:c r="I429" s="62"/>
      <x:c r="J429" s="62"/>
      <x:c r="K429" s="62"/>
    </x:row>
    <x:row r="430">
      <x:c r="A430" s="66"/>
      <x:c r="B430" s="62"/>
      <x:c r="C430" s="62"/>
      <x:c r="D430" s="62"/>
      <x:c r="E430" s="68"/>
      <x:c r="F430" s="75"/>
      <x:c r="G430" s="71" t="n">
        <x:f>IF(A430="",0,E430*F430)</x:f>
        <x:v>0</x:v>
      </x:c>
      <x:c r="H430" s="62"/>
      <x:c r="I430" s="62"/>
      <x:c r="J430" s="62"/>
      <x:c r="K430" s="62"/>
    </x:row>
    <x:row r="431">
      <x:c r="A431" s="66"/>
      <x:c r="B431" s="62"/>
      <x:c r="C431" s="62"/>
      <x:c r="D431" s="62"/>
      <x:c r="E431" s="68"/>
      <x:c r="F431" s="75"/>
      <x:c r="G431" s="71" t="n">
        <x:f>IF(A431="",0,E431*F431)</x:f>
        <x:v>0</x:v>
      </x:c>
      <x:c r="H431" s="62"/>
      <x:c r="I431" s="62"/>
      <x:c r="J431" s="62"/>
      <x:c r="K431" s="62"/>
    </x:row>
    <x:row r="432">
      <x:c r="A432" s="66"/>
      <x:c r="B432" s="62"/>
      <x:c r="C432" s="62"/>
      <x:c r="D432" s="62"/>
      <x:c r="E432" s="68"/>
      <x:c r="F432" s="75"/>
      <x:c r="G432" s="71" t="n">
        <x:f>IF(A432="",0,E432*F432)</x:f>
        <x:v>0</x:v>
      </x:c>
      <x:c r="H432" s="62"/>
      <x:c r="I432" s="62"/>
      <x:c r="J432" s="62"/>
      <x:c r="K432" s="62"/>
    </x:row>
    <x:row r="433">
      <x:c r="A433" s="66"/>
      <x:c r="B433" s="62"/>
      <x:c r="C433" s="62"/>
      <x:c r="D433" s="62"/>
      <x:c r="E433" s="68"/>
      <x:c r="F433" s="75"/>
      <x:c r="G433" s="71" t="n">
        <x:f>IF(A433="",0,E433*F433)</x:f>
        <x:v>0</x:v>
      </x:c>
      <x:c r="H433" s="62"/>
      <x:c r="I433" s="62"/>
      <x:c r="J433" s="62"/>
      <x:c r="K433" s="62"/>
    </x:row>
    <x:row r="434">
      <x:c r="A434" s="66"/>
      <x:c r="B434" s="62"/>
      <x:c r="C434" s="62"/>
      <x:c r="D434" s="62"/>
      <x:c r="E434" s="68"/>
      <x:c r="F434" s="75"/>
      <x:c r="G434" s="71" t="n">
        <x:f>IF(A434="",0,E434*F434)</x:f>
        <x:v>0</x:v>
      </x:c>
      <x:c r="H434" s="62"/>
      <x:c r="I434" s="62"/>
      <x:c r="J434" s="62"/>
      <x:c r="K434" s="62"/>
    </x:row>
    <x:row r="435">
      <x:c r="A435" s="66"/>
      <x:c r="B435" s="62"/>
      <x:c r="C435" s="62"/>
      <x:c r="D435" s="62"/>
      <x:c r="E435" s="68"/>
      <x:c r="F435" s="75"/>
      <x:c r="G435" s="71" t="n">
        <x:f>IF(A435="",0,E435*F435)</x:f>
        <x:v>0</x:v>
      </x:c>
      <x:c r="H435" s="62"/>
      <x:c r="I435" s="62"/>
      <x:c r="J435" s="62"/>
      <x:c r="K435" s="62"/>
    </x:row>
    <x:row r="436">
      <x:c r="A436" s="66"/>
      <x:c r="B436" s="62"/>
      <x:c r="C436" s="62"/>
      <x:c r="D436" s="62"/>
      <x:c r="E436" s="68"/>
      <x:c r="F436" s="75"/>
      <x:c r="G436" s="71" t="n">
        <x:f>IF(A436="",0,E436*F436)</x:f>
        <x:v>0</x:v>
      </x:c>
      <x:c r="H436" s="62"/>
      <x:c r="I436" s="62"/>
      <x:c r="J436" s="62"/>
      <x:c r="K436" s="62"/>
    </x:row>
    <x:row r="437">
      <x:c r="A437" s="66"/>
      <x:c r="B437" s="62"/>
      <x:c r="C437" s="62"/>
      <x:c r="D437" s="62"/>
      <x:c r="E437" s="68"/>
      <x:c r="F437" s="75"/>
      <x:c r="G437" s="71" t="n">
        <x:f>IF(A437="",0,E437*F437)</x:f>
        <x:v>0</x:v>
      </x:c>
      <x:c r="H437" s="62"/>
      <x:c r="I437" s="62"/>
      <x:c r="J437" s="62"/>
      <x:c r="K437" s="62"/>
    </x:row>
    <x:row r="438">
      <x:c r="A438" s="66"/>
      <x:c r="B438" s="62"/>
      <x:c r="C438" s="62"/>
      <x:c r="D438" s="62"/>
      <x:c r="E438" s="68"/>
      <x:c r="F438" s="75"/>
      <x:c r="G438" s="71" t="n">
        <x:f>IF(A438="",0,E438*F438)</x:f>
        <x:v>0</x:v>
      </x:c>
      <x:c r="H438" s="62"/>
      <x:c r="I438" s="62"/>
      <x:c r="J438" s="62"/>
      <x:c r="K438" s="62"/>
    </x:row>
    <x:row r="439">
      <x:c r="A439" s="66"/>
      <x:c r="B439" s="62"/>
      <x:c r="C439" s="62"/>
      <x:c r="D439" s="62"/>
      <x:c r="E439" s="68"/>
      <x:c r="F439" s="75"/>
      <x:c r="G439" s="71" t="n">
        <x:f>IF(A439="",0,E439*F439)</x:f>
        <x:v>0</x:v>
      </x:c>
      <x:c r="H439" s="62"/>
      <x:c r="I439" s="62"/>
      <x:c r="J439" s="62"/>
      <x:c r="K439" s="62"/>
    </x:row>
    <x:row r="440">
      <x:c r="A440" s="66"/>
      <x:c r="B440" s="62"/>
      <x:c r="C440" s="62"/>
      <x:c r="D440" s="62"/>
      <x:c r="E440" s="68"/>
      <x:c r="F440" s="75"/>
      <x:c r="G440" s="71" t="n">
        <x:f>IF(A440="",0,E440*F440)</x:f>
        <x:v>0</x:v>
      </x:c>
      <x:c r="H440" s="62"/>
      <x:c r="I440" s="62"/>
      <x:c r="J440" s="62"/>
      <x:c r="K440" s="62"/>
    </x:row>
    <x:row r="441">
      <x:c r="A441" s="66"/>
      <x:c r="B441" s="62"/>
      <x:c r="C441" s="62"/>
      <x:c r="D441" s="62"/>
      <x:c r="E441" s="68"/>
      <x:c r="F441" s="75"/>
      <x:c r="G441" s="71" t="n">
        <x:f>IF(A441="",0,E441*F441)</x:f>
        <x:v>0</x:v>
      </x:c>
      <x:c r="H441" s="62"/>
      <x:c r="I441" s="62"/>
      <x:c r="J441" s="62"/>
      <x:c r="K441" s="62"/>
    </x:row>
    <x:row r="442">
      <x:c r="A442" s="66"/>
      <x:c r="B442" s="62"/>
      <x:c r="C442" s="62"/>
      <x:c r="D442" s="62"/>
      <x:c r="E442" s="68"/>
      <x:c r="F442" s="75"/>
      <x:c r="G442" s="71" t="n">
        <x:f>IF(A442="",0,E442*F442)</x:f>
        <x:v>0</x:v>
      </x:c>
      <x:c r="H442" s="62"/>
      <x:c r="I442" s="62"/>
      <x:c r="J442" s="62"/>
      <x:c r="K442" s="62"/>
    </x:row>
    <x:row r="443">
      <x:c r="A443" s="66"/>
      <x:c r="B443" s="62"/>
      <x:c r="C443" s="62"/>
      <x:c r="D443" s="62"/>
      <x:c r="E443" s="68"/>
      <x:c r="F443" s="75"/>
      <x:c r="G443" s="71" t="n">
        <x:f>IF(A443="",0,E443*F443)</x:f>
        <x:v>0</x:v>
      </x:c>
      <x:c r="H443" s="62"/>
      <x:c r="I443" s="62"/>
      <x:c r="J443" s="62"/>
      <x:c r="K443" s="62"/>
    </x:row>
    <x:row r="444">
      <x:c r="A444" s="66"/>
      <x:c r="B444" s="62"/>
      <x:c r="C444" s="62"/>
      <x:c r="D444" s="62"/>
      <x:c r="E444" s="68"/>
      <x:c r="F444" s="75"/>
      <x:c r="G444" s="71" t="n">
        <x:f>IF(A444="",0,E444*F444)</x:f>
        <x:v>0</x:v>
      </x:c>
      <x:c r="H444" s="62"/>
      <x:c r="I444" s="62"/>
      <x:c r="J444" s="62"/>
      <x:c r="K444" s="62"/>
    </x:row>
    <x:row r="445">
      <x:c r="A445" s="66"/>
      <x:c r="B445" s="62"/>
      <x:c r="C445" s="62"/>
      <x:c r="D445" s="62"/>
      <x:c r="E445" s="68"/>
      <x:c r="F445" s="75"/>
      <x:c r="G445" s="71" t="n">
        <x:f>IF(A445="",0,E445*F445)</x:f>
        <x:v>0</x:v>
      </x:c>
      <x:c r="H445" s="62"/>
      <x:c r="I445" s="62"/>
      <x:c r="J445" s="62"/>
      <x:c r="K445" s="62"/>
    </x:row>
    <x:row r="446">
      <x:c r="A446" s="66"/>
      <x:c r="B446" s="62"/>
      <x:c r="C446" s="62"/>
      <x:c r="D446" s="62"/>
      <x:c r="E446" s="68"/>
      <x:c r="F446" s="75"/>
      <x:c r="G446" s="71" t="n">
        <x:f>IF(A446="",0,E446*F446)</x:f>
        <x:v>0</x:v>
      </x:c>
      <x:c r="H446" s="62"/>
      <x:c r="I446" s="62"/>
      <x:c r="J446" s="62"/>
      <x:c r="K446" s="62"/>
    </x:row>
    <x:row r="447">
      <x:c r="A447" s="66"/>
      <x:c r="B447" s="62"/>
      <x:c r="C447" s="62"/>
      <x:c r="D447" s="62"/>
      <x:c r="E447" s="68"/>
      <x:c r="F447" s="75"/>
      <x:c r="G447" s="71" t="n">
        <x:f>IF(A447="",0,E447*F447)</x:f>
        <x:v>0</x:v>
      </x:c>
      <x:c r="H447" s="62"/>
      <x:c r="I447" s="62"/>
      <x:c r="J447" s="62"/>
      <x:c r="K447" s="62"/>
    </x:row>
    <x:row r="448">
      <x:c r="A448" s="66"/>
      <x:c r="B448" s="62"/>
      <x:c r="C448" s="62"/>
      <x:c r="D448" s="62"/>
      <x:c r="E448" s="68"/>
      <x:c r="F448" s="75"/>
      <x:c r="G448" s="71" t="n">
        <x:f>IF(A448="",0,E448*F448)</x:f>
        <x:v>0</x:v>
      </x:c>
      <x:c r="H448" s="62"/>
      <x:c r="I448" s="62"/>
      <x:c r="J448" s="62"/>
      <x:c r="K448" s="62"/>
    </x:row>
    <x:row r="449">
      <x:c r="A449" s="66"/>
      <x:c r="B449" s="62"/>
      <x:c r="C449" s="62"/>
      <x:c r="D449" s="62"/>
      <x:c r="E449" s="68"/>
      <x:c r="F449" s="75"/>
      <x:c r="G449" s="71" t="n">
        <x:f>IF(A449="",0,E449*F449)</x:f>
        <x:v>0</x:v>
      </x:c>
      <x:c r="H449" s="62"/>
      <x:c r="I449" s="62"/>
      <x:c r="J449" s="62"/>
      <x:c r="K449" s="62"/>
    </x:row>
    <x:row r="450">
      <x:c r="A450" s="66"/>
      <x:c r="B450" s="62"/>
      <x:c r="C450" s="62"/>
      <x:c r="D450" s="62"/>
      <x:c r="E450" s="68"/>
      <x:c r="F450" s="75"/>
      <x:c r="G450" s="71" t="n">
        <x:f>IF(A450="",0,E450*F450)</x:f>
        <x:v>0</x:v>
      </x:c>
      <x:c r="H450" s="62"/>
      <x:c r="I450" s="62"/>
      <x:c r="J450" s="62"/>
      <x:c r="K450" s="62"/>
    </x:row>
    <x:row r="451">
      <x:c r="A451" s="66"/>
      <x:c r="B451" s="62"/>
      <x:c r="C451" s="62"/>
      <x:c r="D451" s="62"/>
      <x:c r="E451" s="68"/>
      <x:c r="F451" s="75"/>
      <x:c r="G451" s="71" t="n">
        <x:f>IF(A451="",0,E451*F451)</x:f>
        <x:v>0</x:v>
      </x:c>
      <x:c r="H451" s="62"/>
      <x:c r="I451" s="62"/>
      <x:c r="J451" s="62"/>
      <x:c r="K451" s="62"/>
    </x:row>
    <x:row r="452">
      <x:c r="A452" s="66"/>
      <x:c r="B452" s="62"/>
      <x:c r="C452" s="62"/>
      <x:c r="D452" s="62"/>
      <x:c r="E452" s="68"/>
      <x:c r="F452" s="75"/>
      <x:c r="G452" s="71" t="n">
        <x:f>IF(A452="",0,E452*F452)</x:f>
        <x:v>0</x:v>
      </x:c>
      <x:c r="H452" s="62"/>
      <x:c r="I452" s="62"/>
      <x:c r="J452" s="62"/>
      <x:c r="K452" s="62"/>
    </x:row>
    <x:row r="453">
      <x:c r="A453" s="66"/>
      <x:c r="B453" s="62"/>
      <x:c r="C453" s="62"/>
      <x:c r="D453" s="62"/>
      <x:c r="E453" s="68"/>
      <x:c r="F453" s="75"/>
      <x:c r="G453" s="71" t="n">
        <x:f>IF(A453="",0,E453*F453)</x:f>
        <x:v>0</x:v>
      </x:c>
      <x:c r="H453" s="62"/>
      <x:c r="I453" s="62"/>
      <x:c r="J453" s="62"/>
      <x:c r="K453" s="62"/>
    </x:row>
    <x:row r="454">
      <x:c r="A454" s="66"/>
      <x:c r="B454" s="62"/>
      <x:c r="C454" s="62"/>
      <x:c r="D454" s="62"/>
      <x:c r="E454" s="68"/>
      <x:c r="F454" s="75"/>
      <x:c r="G454" s="71" t="n">
        <x:f>IF(A454="",0,E454*F454)</x:f>
        <x:v>0</x:v>
      </x:c>
      <x:c r="H454" s="62"/>
      <x:c r="I454" s="62"/>
      <x:c r="J454" s="62"/>
      <x:c r="K454" s="62"/>
    </x:row>
    <x:row r="455">
      <x:c r="A455" s="66"/>
      <x:c r="B455" s="62"/>
      <x:c r="C455" s="62"/>
      <x:c r="D455" s="62"/>
      <x:c r="E455" s="68"/>
      <x:c r="F455" s="75"/>
      <x:c r="G455" s="71" t="n">
        <x:f>IF(A455="",0,E455*F455)</x:f>
        <x:v>0</x:v>
      </x:c>
      <x:c r="H455" s="62"/>
      <x:c r="I455" s="62"/>
      <x:c r="J455" s="62"/>
      <x:c r="K455" s="62"/>
    </x:row>
    <x:row r="456">
      <x:c r="A456" s="66"/>
      <x:c r="B456" s="62"/>
      <x:c r="C456" s="62"/>
      <x:c r="D456" s="62"/>
      <x:c r="E456" s="68"/>
      <x:c r="F456" s="75"/>
      <x:c r="G456" s="71" t="n">
        <x:f>IF(A456="",0,E456*F456)</x:f>
        <x:v>0</x:v>
      </x:c>
      <x:c r="H456" s="62"/>
      <x:c r="I456" s="62"/>
      <x:c r="J456" s="62"/>
      <x:c r="K456" s="62"/>
    </x:row>
    <x:row r="457">
      <x:c r="A457" s="66"/>
      <x:c r="B457" s="62"/>
      <x:c r="C457" s="62"/>
      <x:c r="D457" s="62"/>
      <x:c r="E457" s="68"/>
      <x:c r="F457" s="75"/>
      <x:c r="G457" s="71" t="n">
        <x:f>IF(A457="",0,E457*F457)</x:f>
        <x:v>0</x:v>
      </x:c>
      <x:c r="H457" s="62"/>
      <x:c r="I457" s="62"/>
      <x:c r="J457" s="62"/>
      <x:c r="K457" s="62"/>
    </x:row>
    <x:row r="458">
      <x:c r="A458" s="66"/>
      <x:c r="B458" s="62"/>
      <x:c r="C458" s="62"/>
      <x:c r="D458" s="62"/>
      <x:c r="E458" s="68"/>
      <x:c r="F458" s="75"/>
      <x:c r="G458" s="71" t="n">
        <x:f>IF(A458="",0,E458*F458)</x:f>
        <x:v>0</x:v>
      </x:c>
      <x:c r="H458" s="62"/>
      <x:c r="I458" s="62"/>
      <x:c r="J458" s="62"/>
      <x:c r="K458" s="62"/>
    </x:row>
    <x:row r="459">
      <x:c r="A459" s="66"/>
      <x:c r="B459" s="62"/>
      <x:c r="C459" s="62"/>
      <x:c r="D459" s="62"/>
      <x:c r="E459" s="68"/>
      <x:c r="F459" s="75"/>
      <x:c r="G459" s="71" t="n">
        <x:f>IF(A459="",0,E459*F459)</x:f>
        <x:v>0</x:v>
      </x:c>
      <x:c r="H459" s="62"/>
      <x:c r="I459" s="62"/>
      <x:c r="J459" s="62"/>
      <x:c r="K459" s="62"/>
    </x:row>
    <x:row r="460">
      <x:c r="A460" s="66"/>
      <x:c r="B460" s="62"/>
      <x:c r="C460" s="62"/>
      <x:c r="D460" s="62"/>
      <x:c r="E460" s="68"/>
      <x:c r="F460" s="75"/>
      <x:c r="G460" s="71" t="n">
        <x:f>IF(A460="",0,E460*F460)</x:f>
        <x:v>0</x:v>
      </x:c>
      <x:c r="H460" s="62"/>
      <x:c r="I460" s="62"/>
      <x:c r="J460" s="62"/>
      <x:c r="K460" s="62"/>
    </x:row>
    <x:row r="461">
      <x:c r="A461" s="66"/>
      <x:c r="B461" s="62"/>
      <x:c r="C461" s="62"/>
      <x:c r="D461" s="62"/>
      <x:c r="E461" s="68"/>
      <x:c r="F461" s="75"/>
      <x:c r="G461" s="71" t="n">
        <x:f>IF(A461="",0,E461*F461)</x:f>
        <x:v>0</x:v>
      </x:c>
      <x:c r="H461" s="62"/>
      <x:c r="I461" s="62"/>
      <x:c r="J461" s="62"/>
      <x:c r="K461" s="62"/>
    </x:row>
    <x:row r="462">
      <x:c r="A462" s="66"/>
      <x:c r="B462" s="62"/>
      <x:c r="C462" s="62"/>
      <x:c r="D462" s="62"/>
      <x:c r="E462" s="68"/>
      <x:c r="F462" s="75"/>
      <x:c r="G462" s="71" t="n">
        <x:f>IF(A462="",0,E462*F462)</x:f>
        <x:v>0</x:v>
      </x:c>
      <x:c r="H462" s="62"/>
      <x:c r="I462" s="62"/>
      <x:c r="J462" s="62"/>
      <x:c r="K462" s="62"/>
    </x:row>
    <x:row r="463">
      <x:c r="A463" s="66"/>
      <x:c r="B463" s="62"/>
      <x:c r="C463" s="62"/>
      <x:c r="D463" s="62"/>
      <x:c r="E463" s="68"/>
      <x:c r="F463" s="75"/>
      <x:c r="G463" s="71" t="n">
        <x:f>IF(A463="",0,E463*F463)</x:f>
        <x:v>0</x:v>
      </x:c>
      <x:c r="H463" s="62"/>
      <x:c r="I463" s="62"/>
      <x:c r="J463" s="62"/>
      <x:c r="K463" s="62"/>
    </x:row>
    <x:row r="464">
      <x:c r="A464" s="66"/>
      <x:c r="B464" s="62"/>
      <x:c r="C464" s="62"/>
      <x:c r="D464" s="62"/>
      <x:c r="E464" s="68"/>
      <x:c r="F464" s="75"/>
      <x:c r="G464" s="71" t="n">
        <x:f>IF(A464="",0,E464*F464)</x:f>
        <x:v>0</x:v>
      </x:c>
      <x:c r="H464" s="62"/>
      <x:c r="I464" s="62"/>
      <x:c r="J464" s="62"/>
      <x:c r="K464" s="62"/>
    </x:row>
    <x:row r="465">
      <x:c r="A465" s="66"/>
      <x:c r="B465" s="62"/>
      <x:c r="C465" s="62"/>
      <x:c r="D465" s="62"/>
      <x:c r="E465" s="68"/>
      <x:c r="F465" s="75"/>
      <x:c r="G465" s="71" t="n">
        <x:f>IF(A465="",0,E465*F465)</x:f>
        <x:v>0</x:v>
      </x:c>
      <x:c r="H465" s="62"/>
      <x:c r="I465" s="62"/>
      <x:c r="J465" s="62"/>
      <x:c r="K465" s="62"/>
    </x:row>
    <x:row r="466">
      <x:c r="A466" s="66"/>
      <x:c r="B466" s="62"/>
      <x:c r="C466" s="62"/>
      <x:c r="D466" s="62"/>
      <x:c r="E466" s="68"/>
      <x:c r="F466" s="75"/>
      <x:c r="G466" s="71" t="n">
        <x:f>IF(A466="",0,E466*F466)</x:f>
        <x:v>0</x:v>
      </x:c>
      <x:c r="H466" s="62"/>
      <x:c r="I466" s="62"/>
      <x:c r="J466" s="62"/>
      <x:c r="K466" s="62"/>
    </x:row>
    <x:row r="467">
      <x:c r="A467" s="66"/>
      <x:c r="B467" s="62"/>
      <x:c r="C467" s="62"/>
      <x:c r="D467" s="62"/>
      <x:c r="E467" s="68"/>
      <x:c r="F467" s="75"/>
      <x:c r="G467" s="71" t="n">
        <x:f>IF(A467="",0,E467*F467)</x:f>
        <x:v>0</x:v>
      </x:c>
      <x:c r="H467" s="62"/>
      <x:c r="I467" s="62"/>
      <x:c r="J467" s="62"/>
      <x:c r="K467" s="62"/>
    </x:row>
    <x:row r="468">
      <x:c r="A468" s="66"/>
      <x:c r="B468" s="62"/>
      <x:c r="C468" s="62"/>
      <x:c r="D468" s="62"/>
      <x:c r="E468" s="68"/>
      <x:c r="F468" s="75"/>
      <x:c r="G468" s="71" t="n">
        <x:f>IF(A468="",0,E468*F468)</x:f>
        <x:v>0</x:v>
      </x:c>
      <x:c r="H468" s="62"/>
      <x:c r="I468" s="62"/>
      <x:c r="J468" s="62"/>
      <x:c r="K468" s="62"/>
    </x:row>
    <x:row r="469">
      <x:c r="A469" s="66"/>
      <x:c r="B469" s="62"/>
      <x:c r="C469" s="62"/>
      <x:c r="D469" s="62"/>
      <x:c r="E469" s="68"/>
      <x:c r="F469" s="75"/>
      <x:c r="G469" s="71" t="n">
        <x:f>IF(A469="",0,E469*F469)</x:f>
        <x:v>0</x:v>
      </x:c>
      <x:c r="H469" s="62"/>
      <x:c r="I469" s="62"/>
      <x:c r="J469" s="62"/>
      <x:c r="K469" s="62"/>
    </x:row>
    <x:row r="470">
      <x:c r="A470" s="66"/>
      <x:c r="B470" s="62"/>
      <x:c r="C470" s="62"/>
      <x:c r="D470" s="62"/>
      <x:c r="E470" s="68"/>
      <x:c r="F470" s="75"/>
      <x:c r="G470" s="71" t="n">
        <x:f>IF(A470="",0,E470*F470)</x:f>
        <x:v>0</x:v>
      </x:c>
      <x:c r="H470" s="62"/>
      <x:c r="I470" s="62"/>
      <x:c r="J470" s="62"/>
      <x:c r="K470" s="62"/>
    </x:row>
    <x:row r="471">
      <x:c r="A471" s="66"/>
      <x:c r="B471" s="62"/>
      <x:c r="C471" s="62"/>
      <x:c r="D471" s="62"/>
      <x:c r="E471" s="68"/>
      <x:c r="F471" s="75"/>
      <x:c r="G471" s="71" t="n">
        <x:f>IF(A471="",0,E471*F471)</x:f>
        <x:v>0</x:v>
      </x:c>
      <x:c r="H471" s="62"/>
      <x:c r="I471" s="62"/>
      <x:c r="J471" s="62"/>
      <x:c r="K471" s="62"/>
    </x:row>
    <x:row r="472">
      <x:c r="A472" s="66"/>
      <x:c r="B472" s="62"/>
      <x:c r="C472" s="62"/>
      <x:c r="D472" s="62"/>
      <x:c r="E472" s="68"/>
      <x:c r="F472" s="75"/>
      <x:c r="G472" s="71" t="n">
        <x:f>IF(A472="",0,E472*F472)</x:f>
        <x:v>0</x:v>
      </x:c>
      <x:c r="H472" s="62"/>
      <x:c r="I472" s="62"/>
      <x:c r="J472" s="62"/>
      <x:c r="K472" s="62"/>
    </x:row>
    <x:row r="473">
      <x:c r="A473" s="66"/>
      <x:c r="B473" s="62"/>
      <x:c r="C473" s="62"/>
      <x:c r="D473" s="62"/>
      <x:c r="E473" s="68"/>
      <x:c r="F473" s="75"/>
      <x:c r="G473" s="71" t="n">
        <x:f>IF(A473="",0,E473*F473)</x:f>
        <x:v>0</x:v>
      </x:c>
      <x:c r="H473" s="62"/>
      <x:c r="I473" s="62"/>
      <x:c r="J473" s="62"/>
      <x:c r="K473" s="62"/>
    </x:row>
    <x:row r="474">
      <x:c r="A474" s="66"/>
      <x:c r="B474" s="62"/>
      <x:c r="C474" s="62"/>
      <x:c r="D474" s="62"/>
      <x:c r="E474" s="68"/>
      <x:c r="F474" s="75"/>
      <x:c r="G474" s="71" t="n">
        <x:f>IF(A474="",0,E474*F474)</x:f>
        <x:v>0</x:v>
      </x:c>
      <x:c r="H474" s="62"/>
      <x:c r="I474" s="62"/>
      <x:c r="J474" s="62"/>
      <x:c r="K474" s="62"/>
    </x:row>
    <x:row r="475">
      <x:c r="A475" s="66"/>
      <x:c r="B475" s="62"/>
      <x:c r="C475" s="62"/>
      <x:c r="D475" s="62"/>
      <x:c r="E475" s="68"/>
      <x:c r="F475" s="75"/>
      <x:c r="G475" s="71" t="n">
        <x:f>IF(A475="",0,E475*F475)</x:f>
        <x:v>0</x:v>
      </x:c>
      <x:c r="H475" s="62"/>
      <x:c r="I475" s="62"/>
      <x:c r="J475" s="62"/>
      <x:c r="K475" s="62"/>
    </x:row>
    <x:row r="476">
      <x:c r="A476" s="66"/>
      <x:c r="B476" s="62"/>
      <x:c r="C476" s="62"/>
      <x:c r="D476" s="62"/>
      <x:c r="E476" s="68"/>
      <x:c r="F476" s="75"/>
      <x:c r="G476" s="71" t="n">
        <x:f>IF(A476="",0,E476*F476)</x:f>
        <x:v>0</x:v>
      </x:c>
      <x:c r="H476" s="62"/>
      <x:c r="I476" s="62"/>
      <x:c r="J476" s="62"/>
      <x:c r="K476" s="62"/>
    </x:row>
    <x:row r="477">
      <x:c r="A477" s="66"/>
      <x:c r="B477" s="62"/>
      <x:c r="C477" s="62"/>
      <x:c r="D477" s="62"/>
      <x:c r="E477" s="68"/>
      <x:c r="F477" s="75"/>
      <x:c r="G477" s="71" t="n">
        <x:f>IF(A477="",0,E477*F477)</x:f>
        <x:v>0</x:v>
      </x:c>
      <x:c r="H477" s="62"/>
      <x:c r="I477" s="62"/>
      <x:c r="J477" s="62"/>
      <x:c r="K477" s="62"/>
    </x:row>
    <x:row r="478">
      <x:c r="A478" s="66"/>
      <x:c r="B478" s="62"/>
      <x:c r="C478" s="62"/>
      <x:c r="D478" s="62"/>
      <x:c r="E478" s="68"/>
      <x:c r="F478" s="75"/>
      <x:c r="G478" s="71" t="n">
        <x:f>IF(A478="",0,E478*F478)</x:f>
        <x:v>0</x:v>
      </x:c>
      <x:c r="H478" s="62"/>
      <x:c r="I478" s="62"/>
      <x:c r="J478" s="62"/>
      <x:c r="K478" s="62"/>
    </x:row>
    <x:row r="479">
      <x:c r="A479" s="66"/>
      <x:c r="B479" s="62"/>
      <x:c r="C479" s="62"/>
      <x:c r="D479" s="62"/>
      <x:c r="E479" s="68"/>
      <x:c r="F479" s="75"/>
      <x:c r="G479" s="71" t="n">
        <x:f>IF(A479="",0,E479*F479)</x:f>
        <x:v>0</x:v>
      </x:c>
      <x:c r="H479" s="62"/>
      <x:c r="I479" s="62"/>
      <x:c r="J479" s="62"/>
      <x:c r="K479" s="62"/>
    </x:row>
    <x:row r="480">
      <x:c r="A480" s="66"/>
      <x:c r="B480" s="62"/>
      <x:c r="C480" s="62"/>
      <x:c r="D480" s="62"/>
      <x:c r="E480" s="68"/>
      <x:c r="F480" s="75"/>
      <x:c r="G480" s="71" t="n">
        <x:f>IF(A480="",0,E480*F480)</x:f>
        <x:v>0</x:v>
      </x:c>
      <x:c r="H480" s="62"/>
      <x:c r="I480" s="62"/>
      <x:c r="J480" s="62"/>
      <x:c r="K480" s="62"/>
    </x:row>
    <x:row r="481">
      <x:c r="A481" s="66"/>
      <x:c r="B481" s="62"/>
      <x:c r="C481" s="62"/>
      <x:c r="D481" s="62"/>
      <x:c r="E481" s="68"/>
      <x:c r="F481" s="75"/>
      <x:c r="G481" s="71" t="n">
        <x:f>IF(A481="",0,E481*F481)</x:f>
        <x:v>0</x:v>
      </x:c>
      <x:c r="H481" s="62"/>
      <x:c r="I481" s="62"/>
      <x:c r="J481" s="62"/>
      <x:c r="K481" s="62"/>
    </x:row>
    <x:row r="482">
      <x:c r="A482" s="66"/>
      <x:c r="B482" s="62"/>
      <x:c r="C482" s="62"/>
      <x:c r="D482" s="62"/>
      <x:c r="E482" s="68"/>
      <x:c r="F482" s="75"/>
      <x:c r="G482" s="71" t="n">
        <x:f>IF(A482="",0,E482*F482)</x:f>
        <x:v>0</x:v>
      </x:c>
      <x:c r="H482" s="62"/>
      <x:c r="I482" s="62"/>
      <x:c r="J482" s="62"/>
      <x:c r="K482" s="62"/>
    </x:row>
    <x:row r="483">
      <x:c r="A483" s="66"/>
      <x:c r="B483" s="62"/>
      <x:c r="C483" s="62"/>
      <x:c r="D483" s="62"/>
      <x:c r="E483" s="68"/>
      <x:c r="F483" s="75"/>
      <x:c r="G483" s="71" t="n">
        <x:f>IF(A483="",0,E483*F483)</x:f>
        <x:v>0</x:v>
      </x:c>
      <x:c r="H483" s="62"/>
      <x:c r="I483" s="62"/>
      <x:c r="J483" s="62"/>
      <x:c r="K483" s="62"/>
    </x:row>
    <x:row r="484">
      <x:c r="A484" s="66"/>
      <x:c r="B484" s="62"/>
      <x:c r="C484" s="62"/>
      <x:c r="D484" s="62"/>
      <x:c r="E484" s="68"/>
      <x:c r="F484" s="75"/>
      <x:c r="G484" s="71" t="n">
        <x:f>IF(A484="",0,E484*F484)</x:f>
        <x:v>0</x:v>
      </x:c>
      <x:c r="H484" s="62"/>
      <x:c r="I484" s="62"/>
      <x:c r="J484" s="62"/>
      <x:c r="K484" s="62"/>
    </x:row>
    <x:row r="485">
      <x:c r="A485" s="66"/>
      <x:c r="B485" s="62"/>
      <x:c r="C485" s="62"/>
      <x:c r="D485" s="62"/>
      <x:c r="E485" s="68"/>
      <x:c r="F485" s="75"/>
      <x:c r="G485" s="71" t="n">
        <x:f>IF(A485="",0,E485*F485)</x:f>
        <x:v>0</x:v>
      </x:c>
      <x:c r="H485" s="62"/>
      <x:c r="I485" s="62"/>
      <x:c r="J485" s="62"/>
      <x:c r="K485" s="62"/>
    </x:row>
    <x:row r="486">
      <x:c r="A486" s="66"/>
      <x:c r="B486" s="62"/>
      <x:c r="C486" s="62"/>
      <x:c r="D486" s="62"/>
      <x:c r="E486" s="68"/>
      <x:c r="F486" s="75"/>
      <x:c r="G486" s="71" t="n">
        <x:f>IF(A486="",0,E486*F486)</x:f>
        <x:v>0</x:v>
      </x:c>
      <x:c r="H486" s="62"/>
      <x:c r="I486" s="62"/>
      <x:c r="J486" s="62"/>
      <x:c r="K486" s="62"/>
    </x:row>
    <x:row r="487">
      <x:c r="A487" s="66"/>
      <x:c r="B487" s="62"/>
      <x:c r="C487" s="62"/>
      <x:c r="D487" s="62"/>
      <x:c r="E487" s="68"/>
      <x:c r="F487" s="75"/>
      <x:c r="G487" s="71" t="n">
        <x:f>IF(A487="",0,E487*F487)</x:f>
        <x:v>0</x:v>
      </x:c>
      <x:c r="H487" s="62"/>
      <x:c r="I487" s="62"/>
      <x:c r="J487" s="62"/>
      <x:c r="K487" s="62"/>
    </x:row>
    <x:row r="488">
      <x:c r="A488" s="66"/>
      <x:c r="B488" s="62"/>
      <x:c r="C488" s="62"/>
      <x:c r="D488" s="62"/>
      <x:c r="E488" s="68"/>
      <x:c r="F488" s="75"/>
      <x:c r="G488" s="71" t="n">
        <x:f>IF(A488="",0,E488*F488)</x:f>
        <x:v>0</x:v>
      </x:c>
      <x:c r="H488" s="62"/>
      <x:c r="I488" s="62"/>
      <x:c r="J488" s="62"/>
      <x:c r="K488" s="62"/>
    </x:row>
    <x:row r="489">
      <x:c r="A489" s="66"/>
      <x:c r="B489" s="62"/>
      <x:c r="C489" s="62"/>
      <x:c r="D489" s="62"/>
      <x:c r="E489" s="68"/>
      <x:c r="F489" s="75"/>
      <x:c r="G489" s="71" t="n">
        <x:f>IF(A489="",0,E489*F489)</x:f>
        <x:v>0</x:v>
      </x:c>
      <x:c r="H489" s="62"/>
      <x:c r="I489" s="62"/>
      <x:c r="J489" s="62"/>
      <x:c r="K489" s="62"/>
    </x:row>
    <x:row r="490">
      <x:c r="A490" s="66"/>
      <x:c r="B490" s="62"/>
      <x:c r="C490" s="62"/>
      <x:c r="D490" s="62"/>
      <x:c r="E490" s="68"/>
      <x:c r="F490" s="75"/>
      <x:c r="G490" s="71" t="n">
        <x:f>IF(A490="",0,E490*F490)</x:f>
        <x:v>0</x:v>
      </x:c>
      <x:c r="H490" s="62"/>
      <x:c r="I490" s="62"/>
      <x:c r="J490" s="62"/>
      <x:c r="K490" s="62"/>
    </x:row>
    <x:row r="491">
      <x:c r="A491" s="66"/>
      <x:c r="B491" s="62"/>
      <x:c r="C491" s="62"/>
      <x:c r="D491" s="62"/>
      <x:c r="E491" s="68"/>
      <x:c r="F491" s="75"/>
      <x:c r="G491" s="71" t="n">
        <x:f>IF(A491="",0,E491*F491)</x:f>
        <x:v>0</x:v>
      </x:c>
      <x:c r="H491" s="62"/>
      <x:c r="I491" s="62"/>
      <x:c r="J491" s="62"/>
      <x:c r="K491" s="62"/>
    </x:row>
    <x:row r="492">
      <x:c r="A492" s="66"/>
      <x:c r="B492" s="62"/>
      <x:c r="C492" s="62"/>
      <x:c r="D492" s="62"/>
      <x:c r="E492" s="68"/>
      <x:c r="F492" s="75"/>
      <x:c r="G492" s="71" t="n">
        <x:f>IF(A492="",0,E492*F492)</x:f>
        <x:v>0</x:v>
      </x:c>
      <x:c r="H492" s="62"/>
      <x:c r="I492" s="62"/>
      <x:c r="J492" s="62"/>
      <x:c r="K492" s="62"/>
    </x:row>
    <x:row r="493">
      <x:c r="A493" s="66"/>
      <x:c r="B493" s="62"/>
      <x:c r="C493" s="62"/>
      <x:c r="D493" s="62"/>
      <x:c r="E493" s="68"/>
      <x:c r="F493" s="75"/>
      <x:c r="G493" s="71" t="n">
        <x:f>IF(A493="",0,E493*F493)</x:f>
        <x:v>0</x:v>
      </x:c>
      <x:c r="H493" s="62"/>
      <x:c r="I493" s="62"/>
      <x:c r="J493" s="62"/>
      <x:c r="K493" s="62"/>
    </x:row>
    <x:row r="494">
      <x:c r="A494" s="66"/>
      <x:c r="B494" s="62"/>
      <x:c r="C494" s="62"/>
      <x:c r="D494" s="62"/>
      <x:c r="E494" s="68"/>
      <x:c r="F494" s="75"/>
      <x:c r="G494" s="71" t="n">
        <x:f>IF(A494="",0,E494*F494)</x:f>
        <x:v>0</x:v>
      </x:c>
      <x:c r="H494" s="62"/>
      <x:c r="I494" s="62"/>
      <x:c r="J494" s="62"/>
      <x:c r="K494" s="62"/>
    </x:row>
    <x:row r="495">
      <x:c r="A495" s="66"/>
      <x:c r="B495" s="62"/>
      <x:c r="C495" s="62"/>
      <x:c r="D495" s="62"/>
      <x:c r="E495" s="68"/>
      <x:c r="F495" s="75"/>
      <x:c r="G495" s="71" t="n">
        <x:f>IF(A495="",0,E495*F495)</x:f>
        <x:v>0</x:v>
      </x:c>
      <x:c r="H495" s="62"/>
      <x:c r="I495" s="62"/>
      <x:c r="J495" s="62"/>
      <x:c r="K495" s="62"/>
    </x:row>
    <x:row r="496">
      <x:c r="A496" s="66"/>
      <x:c r="B496" s="62"/>
      <x:c r="C496" s="62"/>
      <x:c r="D496" s="62"/>
      <x:c r="E496" s="68"/>
      <x:c r="F496" s="75"/>
      <x:c r="G496" s="71" t="n">
        <x:f>IF(A496="",0,E496*F496)</x:f>
        <x:v>0</x:v>
      </x:c>
      <x:c r="H496" s="62"/>
      <x:c r="I496" s="62"/>
      <x:c r="J496" s="62"/>
      <x:c r="K496" s="62"/>
    </x:row>
    <x:row r="497">
      <x:c r="A497" s="66"/>
      <x:c r="B497" s="62"/>
      <x:c r="C497" s="62"/>
      <x:c r="D497" s="62"/>
      <x:c r="E497" s="68"/>
      <x:c r="F497" s="75"/>
      <x:c r="G497" s="71" t="n">
        <x:f>IF(A497="",0,E497*F497)</x:f>
        <x:v>0</x:v>
      </x:c>
      <x:c r="H497" s="62"/>
      <x:c r="I497" s="62"/>
      <x:c r="J497" s="62"/>
      <x:c r="K497" s="62"/>
    </x:row>
    <x:row r="498">
      <x:c r="A498" s="66"/>
      <x:c r="B498" s="62"/>
      <x:c r="C498" s="62"/>
      <x:c r="D498" s="62"/>
      <x:c r="E498" s="68"/>
      <x:c r="F498" s="75"/>
      <x:c r="G498" s="71" t="n">
        <x:f>IF(A498="",0,E498*F498)</x:f>
        <x:v>0</x:v>
      </x:c>
      <x:c r="H498" s="62"/>
      <x:c r="I498" s="62"/>
      <x:c r="J498" s="62"/>
      <x:c r="K498" s="62"/>
    </x:row>
    <x:row r="499">
      <x:c r="A499" s="66"/>
      <x:c r="B499" s="62"/>
      <x:c r="C499" s="62"/>
      <x:c r="D499" s="62"/>
      <x:c r="E499" s="68"/>
      <x:c r="F499" s="75"/>
      <x:c r="G499" s="71" t="n">
        <x:f>IF(A499="",0,E499*F499)</x:f>
        <x:v>0</x:v>
      </x:c>
      <x:c r="H499" s="62"/>
      <x:c r="I499" s="62"/>
      <x:c r="J499" s="62"/>
      <x:c r="K499" s="62"/>
    </x:row>
    <x:row r="500">
      <x:c r="A500" s="66"/>
      <x:c r="B500" s="62"/>
      <x:c r="C500" s="62"/>
      <x:c r="D500" s="62"/>
      <x:c r="E500" s="68"/>
      <x:c r="F500" s="75"/>
      <x:c r="G500" s="71" t="n">
        <x:f>IF(A500="",0,E500*F500)</x:f>
        <x:v>0</x:v>
      </x:c>
      <x:c r="H500" s="62"/>
      <x:c r="I500" s="62"/>
      <x:c r="J500" s="62"/>
      <x:c r="K500" s="62"/>
    </x:row>
    <x:row r="501">
      <x:c r="A501" s="66"/>
      <x:c r="B501" s="62"/>
      <x:c r="C501" s="62"/>
      <x:c r="D501" s="62"/>
      <x:c r="E501" s="68"/>
      <x:c r="F501" s="75"/>
      <x:c r="G501" s="71" t="n">
        <x:f>IF(A501="",0,E501*F501)</x:f>
        <x:v>0</x:v>
      </x:c>
      <x:c r="H501" s="62"/>
      <x:c r="I501" s="62"/>
      <x:c r="J501" s="62"/>
      <x:c r="K501" s="62"/>
    </x:row>
    <x:row r="502">
      <x:c r="A502" s="66"/>
      <x:c r="B502" s="62"/>
      <x:c r="C502" s="62"/>
      <x:c r="D502" s="62"/>
      <x:c r="E502" s="68"/>
      <x:c r="F502" s="75"/>
      <x:c r="G502" s="71" t="n">
        <x:f>IF(A502="",0,E502*F502)</x:f>
        <x:v>0</x:v>
      </x:c>
      <x:c r="H502" s="62"/>
      <x:c r="I502" s="62"/>
      <x:c r="J502" s="62"/>
      <x:c r="K502" s="62"/>
    </x:row>
    <x:row r="503">
      <x:c r="A503" s="66"/>
      <x:c r="B503" s="62"/>
      <x:c r="C503" s="62"/>
      <x:c r="D503" s="62"/>
      <x:c r="E503" s="68"/>
      <x:c r="F503" s="75"/>
      <x:c r="G503" s="71" t="n">
        <x:f>IF(A503="",0,E503*F503)</x:f>
        <x:v>0</x:v>
      </x:c>
      <x:c r="H503" s="62"/>
      <x:c r="I503" s="62"/>
      <x:c r="J503" s="62"/>
      <x:c r="K503" s="62"/>
    </x:row>
    <x:row r="504">
      <x:c r="A504" s="66"/>
      <x:c r="B504" s="62"/>
      <x:c r="C504" s="62"/>
      <x:c r="D504" s="62"/>
      <x:c r="E504" s="68"/>
      <x:c r="F504" s="75"/>
      <x:c r="G504" s="71" t="n">
        <x:f>IF(A504="",0,E504*F504)</x:f>
        <x:v>0</x:v>
      </x:c>
      <x:c r="H504" s="62"/>
      <x:c r="I504" s="62"/>
      <x:c r="J504" s="62"/>
      <x:c r="K504" s="62"/>
    </x:row>
    <x:row r="505">
      <x:c r="A505" s="66"/>
      <x:c r="B505" s="62"/>
      <x:c r="C505" s="62"/>
      <x:c r="D505" s="62"/>
      <x:c r="E505" s="68"/>
      <x:c r="F505" s="75"/>
      <x:c r="G505" s="71" t="n">
        <x:f>IF(A505="",0,E505*F505)</x:f>
        <x:v>0</x:v>
      </x:c>
      <x:c r="H505" s="62"/>
      <x:c r="I505" s="62"/>
      <x:c r="J505" s="62"/>
      <x:c r="K505" s="62"/>
    </x:row>
    <x:row r="506">
      <x:c r="A506" s="66"/>
      <x:c r="B506" s="62"/>
      <x:c r="C506" s="62"/>
      <x:c r="D506" s="62"/>
      <x:c r="E506" s="68"/>
      <x:c r="F506" s="75"/>
      <x:c r="G506" s="71" t="n">
        <x:f>IF(A506="",0,E506*F506)</x:f>
        <x:v>0</x:v>
      </x:c>
      <x:c r="H506" s="62"/>
      <x:c r="I506" s="62"/>
      <x:c r="J506" s="62"/>
      <x:c r="K506" s="62"/>
    </x:row>
    <x:row r="507">
      <x:c r="A507" s="66"/>
      <x:c r="B507" s="62"/>
      <x:c r="C507" s="62"/>
      <x:c r="D507" s="62"/>
      <x:c r="E507" s="68"/>
      <x:c r="F507" s="75"/>
      <x:c r="G507" s="71" t="n">
        <x:f>IF(A507="",0,E507*F507)</x:f>
        <x:v>0</x:v>
      </x:c>
      <x:c r="H507" s="62"/>
      <x:c r="I507" s="62"/>
      <x:c r="J507" s="62"/>
      <x:c r="K507" s="62"/>
    </x:row>
    <x:row r="508">
      <x:c r="A508" s="66"/>
      <x:c r="B508" s="62"/>
      <x:c r="C508" s="62"/>
      <x:c r="D508" s="62"/>
      <x:c r="E508" s="68"/>
      <x:c r="F508" s="75"/>
      <x:c r="G508" s="71" t="n">
        <x:f>IF(A508="",0,E508*F508)</x:f>
        <x:v>0</x:v>
      </x:c>
      <x:c r="H508" s="62"/>
      <x:c r="I508" s="62"/>
      <x:c r="J508" s="62"/>
      <x:c r="K508" s="62"/>
    </x:row>
    <x:row r="509">
      <x:c r="A509" s="66"/>
      <x:c r="B509" s="62"/>
      <x:c r="C509" s="62"/>
      <x:c r="D509" s="62"/>
      <x:c r="E509" s="68"/>
      <x:c r="F509" s="75"/>
      <x:c r="G509" s="71" t="n">
        <x:f>IF(A509="",0,E509*F509)</x:f>
        <x:v>0</x:v>
      </x:c>
      <x:c r="H509" s="62"/>
      <x:c r="I509" s="62"/>
      <x:c r="J509" s="62"/>
      <x:c r="K509" s="62"/>
    </x:row>
    <x:row r="510">
      <x:c r="A510" s="66"/>
      <x:c r="B510" s="62"/>
      <x:c r="C510" s="62"/>
      <x:c r="D510" s="62"/>
      <x:c r="E510" s="68"/>
      <x:c r="F510" s="75"/>
      <x:c r="G510" s="71" t="n">
        <x:f>IF(A510="",0,E510*F510)</x:f>
        <x:v>0</x:v>
      </x:c>
      <x:c r="H510" s="62"/>
      <x:c r="I510" s="62"/>
      <x:c r="J510" s="62"/>
      <x:c r="K510" s="62"/>
    </x:row>
    <x:row r="511">
      <x:c r="A511" s="66"/>
      <x:c r="B511" s="62"/>
      <x:c r="C511" s="62"/>
      <x:c r="D511" s="62"/>
      <x:c r="E511" s="68"/>
      <x:c r="F511" s="75"/>
      <x:c r="G511" s="71" t="n">
        <x:f>IF(A511="",0,E511*F511)</x:f>
        <x:v>0</x:v>
      </x:c>
      <x:c r="H511" s="62"/>
      <x:c r="I511" s="62"/>
      <x:c r="J511" s="62"/>
      <x:c r="K511" s="62"/>
    </x:row>
    <x:row r="512">
      <x:c r="A512" s="66"/>
      <x:c r="B512" s="62"/>
      <x:c r="C512" s="62"/>
      <x:c r="D512" s="62"/>
      <x:c r="E512" s="68"/>
      <x:c r="F512" s="75"/>
      <x:c r="G512" s="71" t="n">
        <x:f>IF(A512="",0,E512*F512)</x:f>
        <x:v>0</x:v>
      </x:c>
      <x:c r="H512" s="62"/>
      <x:c r="I512" s="62"/>
      <x:c r="J512" s="62"/>
      <x:c r="K512" s="62"/>
    </x:row>
    <x:row r="513">
      <x:c r="A513" s="66"/>
      <x:c r="B513" s="62"/>
      <x:c r="C513" s="62"/>
      <x:c r="D513" s="62"/>
      <x:c r="E513" s="68"/>
      <x:c r="F513" s="75"/>
      <x:c r="G513" s="71" t="n">
        <x:f>IF(A513="",0,E513*F513)</x:f>
        <x:v>0</x:v>
      </x:c>
      <x:c r="H513" s="62"/>
      <x:c r="I513" s="62"/>
      <x:c r="J513" s="62"/>
      <x:c r="K513" s="62"/>
    </x:row>
    <x:row r="514">
      <x:c r="A514" s="66"/>
      <x:c r="B514" s="62"/>
      <x:c r="C514" s="62"/>
      <x:c r="D514" s="62"/>
      <x:c r="E514" s="68"/>
      <x:c r="F514" s="75"/>
      <x:c r="G514" s="71" t="n">
        <x:f>IF(A514="",0,E514*F514)</x:f>
        <x:v>0</x:v>
      </x:c>
      <x:c r="H514" s="62"/>
      <x:c r="I514" s="62"/>
      <x:c r="J514" s="62"/>
      <x:c r="K514" s="62"/>
    </x:row>
    <x:row r="515">
      <x:c r="A515" s="66"/>
      <x:c r="B515" s="62"/>
      <x:c r="C515" s="62"/>
      <x:c r="D515" s="62"/>
      <x:c r="E515" s="68"/>
      <x:c r="F515" s="75"/>
      <x:c r="G515" s="71" t="n">
        <x:f>IF(A515="",0,E515*F515)</x:f>
        <x:v>0</x:v>
      </x:c>
      <x:c r="H515" s="62"/>
      <x:c r="I515" s="62"/>
      <x:c r="J515" s="62"/>
      <x:c r="K515" s="62"/>
    </x:row>
    <x:row r="516">
      <x:c r="A516" s="66"/>
      <x:c r="B516" s="62"/>
      <x:c r="C516" s="62"/>
      <x:c r="D516" s="62"/>
      <x:c r="E516" s="68"/>
      <x:c r="F516" s="75"/>
      <x:c r="G516" s="71" t="n">
        <x:f>IF(A516="",0,E516*F516)</x:f>
        <x:v>0</x:v>
      </x:c>
      <x:c r="H516" s="62"/>
      <x:c r="I516" s="62"/>
      <x:c r="J516" s="62"/>
      <x:c r="K516" s="62"/>
    </x:row>
    <x:row r="517">
      <x:c r="A517" s="66"/>
      <x:c r="B517" s="62"/>
      <x:c r="C517" s="62"/>
      <x:c r="D517" s="62"/>
      <x:c r="E517" s="68"/>
      <x:c r="F517" s="75"/>
      <x:c r="G517" s="71" t="n">
        <x:f>IF(A517="",0,E517*F517)</x:f>
        <x:v>0</x:v>
      </x:c>
      <x:c r="H517" s="62"/>
      <x:c r="I517" s="62"/>
      <x:c r="J517" s="62"/>
      <x:c r="K517" s="62"/>
    </x:row>
    <x:row r="518">
      <x:c r="A518" s="66"/>
      <x:c r="B518" s="62"/>
      <x:c r="C518" s="62"/>
      <x:c r="D518" s="62"/>
      <x:c r="E518" s="68"/>
      <x:c r="F518" s="75"/>
      <x:c r="G518" s="71" t="n">
        <x:f>IF(A518="",0,E518*F518)</x:f>
        <x:v>0</x:v>
      </x:c>
      <x:c r="H518" s="62"/>
      <x:c r="I518" s="62"/>
      <x:c r="J518" s="62"/>
      <x:c r="K518" s="62"/>
    </x:row>
    <x:row r="519">
      <x:c r="A519" s="66"/>
      <x:c r="B519" s="62"/>
      <x:c r="C519" s="62"/>
      <x:c r="D519" s="62"/>
      <x:c r="E519" s="68"/>
      <x:c r="F519" s="75"/>
      <x:c r="G519" s="71" t="n">
        <x:f>IF(A519="",0,E519*F519)</x:f>
        <x:v>0</x:v>
      </x:c>
      <x:c r="H519" s="62"/>
      <x:c r="I519" s="62"/>
      <x:c r="J519" s="62"/>
      <x:c r="K519" s="62"/>
    </x:row>
    <x:row r="520">
      <x:c r="A520" s="66"/>
      <x:c r="B520" s="62"/>
      <x:c r="C520" s="62"/>
      <x:c r="D520" s="62"/>
      <x:c r="E520" s="68"/>
      <x:c r="F520" s="75"/>
      <x:c r="G520" s="71" t="n">
        <x:f>IF(A520="",0,E520*F520)</x:f>
        <x:v>0</x:v>
      </x:c>
      <x:c r="H520" s="62"/>
      <x:c r="I520" s="62"/>
      <x:c r="J520" s="62"/>
      <x:c r="K520" s="62"/>
    </x:row>
    <x:row r="521">
      <x:c r="A521" s="66"/>
      <x:c r="B521" s="62"/>
      <x:c r="C521" s="62"/>
      <x:c r="D521" s="62"/>
      <x:c r="E521" s="68"/>
      <x:c r="F521" s="75"/>
      <x:c r="G521" s="71" t="n">
        <x:f>IF(A521="",0,E521*F521)</x:f>
        <x:v>0</x:v>
      </x:c>
      <x:c r="H521" s="62"/>
      <x:c r="I521" s="62"/>
      <x:c r="J521" s="62"/>
      <x:c r="K521" s="62"/>
    </x:row>
    <x:row r="522">
      <x:c r="A522" s="66"/>
      <x:c r="B522" s="62"/>
      <x:c r="C522" s="62"/>
      <x:c r="D522" s="62"/>
      <x:c r="E522" s="68"/>
      <x:c r="F522" s="75"/>
      <x:c r="G522" s="71" t="n">
        <x:f>IF(A522="",0,E522*F522)</x:f>
        <x:v>0</x:v>
      </x:c>
      <x:c r="H522" s="62"/>
      <x:c r="I522" s="62"/>
      <x:c r="J522" s="62"/>
      <x:c r="K522" s="62"/>
    </x:row>
    <x:row r="523">
      <x:c r="A523" s="66"/>
      <x:c r="B523" s="62"/>
      <x:c r="C523" s="62"/>
      <x:c r="D523" s="62"/>
      <x:c r="E523" s="68"/>
      <x:c r="F523" s="75"/>
      <x:c r="G523" s="71" t="n">
        <x:f>IF(A523="",0,E523*F523)</x:f>
        <x:v>0</x:v>
      </x:c>
      <x:c r="H523" s="62"/>
      <x:c r="I523" s="62"/>
      <x:c r="J523" s="62"/>
      <x:c r="K523" s="62"/>
    </x:row>
    <x:row r="524">
      <x:c r="A524" s="66"/>
      <x:c r="B524" s="62"/>
      <x:c r="C524" s="62"/>
      <x:c r="D524" s="62"/>
      <x:c r="E524" s="68"/>
      <x:c r="F524" s="75"/>
      <x:c r="G524" s="71" t="n">
        <x:f>IF(A524="",0,E524*F524)</x:f>
        <x:v>0</x:v>
      </x:c>
      <x:c r="H524" s="62"/>
      <x:c r="I524" s="62"/>
      <x:c r="J524" s="62"/>
      <x:c r="K524" s="62"/>
    </x:row>
    <x:row r="525">
      <x:c r="A525" s="66"/>
      <x:c r="B525" s="62"/>
      <x:c r="C525" s="62"/>
      <x:c r="D525" s="62"/>
      <x:c r="E525" s="68"/>
      <x:c r="F525" s="75"/>
      <x:c r="G525" s="71" t="n">
        <x:f>IF(A525="",0,E525*F525)</x:f>
        <x:v>0</x:v>
      </x:c>
      <x:c r="H525" s="62"/>
      <x:c r="I525" s="62"/>
      <x:c r="J525" s="62"/>
      <x:c r="K525" s="62"/>
    </x:row>
    <x:row r="526">
      <x:c r="A526" s="66"/>
      <x:c r="B526" s="62"/>
      <x:c r="C526" s="62"/>
      <x:c r="D526" s="62"/>
      <x:c r="E526" s="68"/>
      <x:c r="F526" s="75"/>
      <x:c r="G526" s="71" t="n">
        <x:f>IF(A526="",0,E526*F526)</x:f>
        <x:v>0</x:v>
      </x:c>
      <x:c r="H526" s="62"/>
      <x:c r="I526" s="62"/>
      <x:c r="J526" s="62"/>
      <x:c r="K526" s="62"/>
    </x:row>
    <x:row r="527">
      <x:c r="A527" s="66"/>
      <x:c r="B527" s="62"/>
      <x:c r="C527" s="62"/>
      <x:c r="D527" s="62"/>
      <x:c r="E527" s="68"/>
      <x:c r="F527" s="75"/>
      <x:c r="G527" s="71" t="n">
        <x:f>IF(A527="",0,E527*F527)</x:f>
        <x:v>0</x:v>
      </x:c>
      <x:c r="H527" s="62"/>
      <x:c r="I527" s="62"/>
      <x:c r="J527" s="62"/>
      <x:c r="K527" s="62"/>
    </x:row>
    <x:row r="528">
      <x:c r="A528" s="66"/>
      <x:c r="B528" s="62"/>
      <x:c r="C528" s="62"/>
      <x:c r="D528" s="62"/>
      <x:c r="E528" s="68"/>
      <x:c r="F528" s="75"/>
      <x:c r="G528" s="71" t="n">
        <x:f>IF(A528="",0,E528*F528)</x:f>
        <x:v>0</x:v>
      </x:c>
      <x:c r="H528" s="62"/>
      <x:c r="I528" s="62"/>
      <x:c r="J528" s="62"/>
      <x:c r="K528" s="62"/>
    </x:row>
    <x:row r="529">
      <x:c r="A529" s="66"/>
      <x:c r="B529" s="62"/>
      <x:c r="C529" s="62"/>
      <x:c r="D529" s="62"/>
      <x:c r="E529" s="68"/>
      <x:c r="F529" s="75"/>
      <x:c r="G529" s="71" t="n">
        <x:f>IF(A529="",0,E529*F529)</x:f>
        <x:v>0</x:v>
      </x:c>
      <x:c r="H529" s="62"/>
      <x:c r="I529" s="62"/>
      <x:c r="J529" s="62"/>
      <x:c r="K529" s="62"/>
    </x:row>
    <x:row r="530">
      <x:c r="A530" s="66"/>
      <x:c r="B530" s="62"/>
      <x:c r="C530" s="62"/>
      <x:c r="D530" s="62"/>
      <x:c r="E530" s="68"/>
      <x:c r="F530" s="75"/>
      <x:c r="G530" s="71" t="n">
        <x:f>IF(A530="",0,E530*F530)</x:f>
        <x:v>0</x:v>
      </x:c>
      <x:c r="H530" s="62"/>
      <x:c r="I530" s="62"/>
      <x:c r="J530" s="62"/>
      <x:c r="K530" s="62"/>
    </x:row>
    <x:row r="531">
      <x:c r="A531" s="66"/>
      <x:c r="B531" s="62"/>
      <x:c r="C531" s="62"/>
      <x:c r="D531" s="62"/>
      <x:c r="E531" s="68"/>
      <x:c r="F531" s="75"/>
      <x:c r="G531" s="71" t="n">
        <x:f>IF(A531="",0,E531*F531)</x:f>
        <x:v>0</x:v>
      </x:c>
      <x:c r="H531" s="62"/>
      <x:c r="I531" s="62"/>
      <x:c r="J531" s="62"/>
      <x:c r="K531" s="62"/>
    </x:row>
    <x:row r="532">
      <x:c r="A532" s="66"/>
      <x:c r="B532" s="62"/>
      <x:c r="C532" s="62"/>
      <x:c r="D532" s="62"/>
      <x:c r="E532" s="68"/>
      <x:c r="F532" s="75"/>
      <x:c r="G532" s="71" t="n">
        <x:f>IF(A532="",0,E532*F532)</x:f>
        <x:v>0</x:v>
      </x:c>
      <x:c r="H532" s="62"/>
      <x:c r="I532" s="62"/>
      <x:c r="J532" s="62"/>
      <x:c r="K532" s="62"/>
    </x:row>
    <x:row r="533">
      <x:c r="A533" s="66"/>
      <x:c r="B533" s="62"/>
      <x:c r="C533" s="62"/>
      <x:c r="D533" s="62"/>
      <x:c r="E533" s="68"/>
      <x:c r="F533" s="75"/>
      <x:c r="G533" s="71" t="n">
        <x:f>IF(A533="",0,E533*F533)</x:f>
        <x:v>0</x:v>
      </x:c>
      <x:c r="H533" s="62"/>
      <x:c r="I533" s="62"/>
      <x:c r="J533" s="62"/>
      <x:c r="K533" s="62"/>
    </x:row>
    <x:row r="534">
      <x:c r="A534" s="66"/>
      <x:c r="B534" s="62"/>
      <x:c r="C534" s="62"/>
      <x:c r="D534" s="62"/>
      <x:c r="E534" s="68"/>
      <x:c r="F534" s="75"/>
      <x:c r="G534" s="71" t="n">
        <x:f>IF(A534="",0,E534*F534)</x:f>
        <x:v>0</x:v>
      </x:c>
      <x:c r="H534" s="62"/>
      <x:c r="I534" s="62"/>
      <x:c r="J534" s="62"/>
      <x:c r="K534" s="62"/>
    </x:row>
    <x:row r="535">
      <x:c r="A535" s="66"/>
      <x:c r="B535" s="62"/>
      <x:c r="C535" s="62"/>
      <x:c r="D535" s="62"/>
      <x:c r="E535" s="68"/>
      <x:c r="F535" s="75"/>
      <x:c r="G535" s="71" t="n">
        <x:f>IF(A535="",0,E535*F535)</x:f>
        <x:v>0</x:v>
      </x:c>
      <x:c r="H535" s="62"/>
      <x:c r="I535" s="62"/>
      <x:c r="J535" s="62"/>
      <x:c r="K535" s="62"/>
    </x:row>
    <x:row r="536">
      <x:c r="A536" s="66"/>
      <x:c r="B536" s="62"/>
      <x:c r="C536" s="62"/>
      <x:c r="D536" s="62"/>
      <x:c r="E536" s="68"/>
      <x:c r="F536" s="75"/>
      <x:c r="G536" s="71" t="n">
        <x:f>IF(A536="",0,E536*F536)</x:f>
        <x:v>0</x:v>
      </x:c>
      <x:c r="H536" s="62"/>
      <x:c r="I536" s="62"/>
      <x:c r="J536" s="62"/>
      <x:c r="K536" s="62"/>
    </x:row>
    <x:row r="537">
      <x:c r="A537" s="66"/>
      <x:c r="B537" s="62"/>
      <x:c r="C537" s="62"/>
      <x:c r="D537" s="62"/>
      <x:c r="E537" s="68"/>
      <x:c r="F537" s="75"/>
      <x:c r="G537" s="71" t="n">
        <x:f>IF(A537="",0,E537*F537)</x:f>
        <x:v>0</x:v>
      </x:c>
      <x:c r="H537" s="62"/>
      <x:c r="I537" s="62"/>
      <x:c r="J537" s="62"/>
      <x:c r="K537" s="62"/>
    </x:row>
    <x:row r="538">
      <x:c r="A538" s="66"/>
      <x:c r="B538" s="62"/>
      <x:c r="C538" s="62"/>
      <x:c r="D538" s="62"/>
      <x:c r="E538" s="68"/>
      <x:c r="F538" s="75"/>
      <x:c r="G538" s="71" t="n">
        <x:f>IF(A538="",0,E538*F538)</x:f>
        <x:v>0</x:v>
      </x:c>
      <x:c r="H538" s="62"/>
      <x:c r="I538" s="62"/>
      <x:c r="J538" s="62"/>
      <x:c r="K538" s="62"/>
    </x:row>
    <x:row r="539">
      <x:c r="A539" s="66"/>
      <x:c r="B539" s="62"/>
      <x:c r="C539" s="62"/>
      <x:c r="D539" s="62"/>
      <x:c r="E539" s="68"/>
      <x:c r="F539" s="75"/>
      <x:c r="G539" s="71" t="n">
        <x:f>IF(A539="",0,E539*F539)</x:f>
        <x:v>0</x:v>
      </x:c>
      <x:c r="H539" s="62"/>
      <x:c r="I539" s="62"/>
      <x:c r="J539" s="62"/>
      <x:c r="K539" s="62"/>
    </x:row>
    <x:row r="540">
      <x:c r="A540" s="66"/>
      <x:c r="B540" s="62"/>
      <x:c r="C540" s="62"/>
      <x:c r="D540" s="62"/>
      <x:c r="E540" s="68"/>
      <x:c r="F540" s="75"/>
      <x:c r="G540" s="71" t="n">
        <x:f>IF(A540="",0,E540*F540)</x:f>
        <x:v>0</x:v>
      </x:c>
      <x:c r="H540" s="62"/>
      <x:c r="I540" s="62"/>
      <x:c r="J540" s="62"/>
      <x:c r="K540" s="62"/>
    </x:row>
    <x:row r="541">
      <x:c r="A541" s="66"/>
      <x:c r="B541" s="62"/>
      <x:c r="C541" s="62"/>
      <x:c r="D541" s="62"/>
      <x:c r="E541" s="68"/>
      <x:c r="F541" s="75"/>
      <x:c r="G541" s="71" t="n">
        <x:f>IF(A541="",0,E541*F541)</x:f>
        <x:v>0</x:v>
      </x:c>
      <x:c r="H541" s="62"/>
      <x:c r="I541" s="62"/>
      <x:c r="J541" s="62"/>
      <x:c r="K541" s="62"/>
    </x:row>
    <x:row r="542">
      <x:c r="A542" s="66"/>
      <x:c r="B542" s="62"/>
      <x:c r="C542" s="62"/>
      <x:c r="D542" s="62"/>
      <x:c r="E542" s="68"/>
      <x:c r="F542" s="75"/>
      <x:c r="G542" s="71" t="n">
        <x:f>IF(A542="",0,E542*F542)</x:f>
        <x:v>0</x:v>
      </x:c>
      <x:c r="H542" s="62"/>
      <x:c r="I542" s="62"/>
      <x:c r="J542" s="62"/>
      <x:c r="K542" s="62"/>
    </x:row>
    <x:row r="543">
      <x:c r="A543" s="66"/>
      <x:c r="B543" s="62"/>
      <x:c r="C543" s="62"/>
      <x:c r="D543" s="62"/>
      <x:c r="E543" s="68"/>
      <x:c r="F543" s="75"/>
      <x:c r="G543" s="71" t="n">
        <x:f>IF(A543="",0,E543*F543)</x:f>
        <x:v>0</x:v>
      </x:c>
      <x:c r="H543" s="62"/>
      <x:c r="I543" s="62"/>
      <x:c r="J543" s="62"/>
      <x:c r="K543" s="62"/>
    </x:row>
    <x:row r="544">
      <x:c r="A544" s="66"/>
      <x:c r="B544" s="62"/>
      <x:c r="C544" s="62"/>
      <x:c r="D544" s="62"/>
      <x:c r="E544" s="68"/>
      <x:c r="F544" s="75"/>
      <x:c r="G544" s="71" t="n">
        <x:f>IF(A544="",0,E544*F544)</x:f>
        <x:v>0</x:v>
      </x:c>
      <x:c r="H544" s="62"/>
      <x:c r="I544" s="62"/>
      <x:c r="J544" s="62"/>
      <x:c r="K544" s="62"/>
    </x:row>
    <x:row r="545">
      <x:c r="A545" s="66"/>
      <x:c r="B545" s="62"/>
      <x:c r="C545" s="62"/>
      <x:c r="D545" s="62"/>
      <x:c r="E545" s="68"/>
      <x:c r="F545" s="75"/>
      <x:c r="G545" s="71" t="n">
        <x:f>IF(A545="",0,E545*F545)</x:f>
        <x:v>0</x:v>
      </x:c>
      <x:c r="H545" s="62"/>
      <x:c r="I545" s="62"/>
      <x:c r="J545" s="62"/>
      <x:c r="K545" s="62"/>
    </x:row>
    <x:row r="546">
      <x:c r="A546" s="66"/>
      <x:c r="B546" s="62"/>
      <x:c r="C546" s="62"/>
      <x:c r="D546" s="62"/>
      <x:c r="E546" s="68"/>
      <x:c r="F546" s="75"/>
      <x:c r="G546" s="71" t="n">
        <x:f>IF(A546="",0,E546*F546)</x:f>
        <x:v>0</x:v>
      </x:c>
      <x:c r="H546" s="62"/>
      <x:c r="I546" s="62"/>
      <x:c r="J546" s="62"/>
      <x:c r="K546" s="62"/>
    </x:row>
    <x:row r="547">
      <x:c r="A547" s="66"/>
      <x:c r="B547" s="62"/>
      <x:c r="C547" s="62"/>
      <x:c r="D547" s="62"/>
      <x:c r="E547" s="68"/>
      <x:c r="F547" s="75"/>
      <x:c r="G547" s="71" t="n">
        <x:f>IF(A547="",0,E547*F547)</x:f>
        <x:v>0</x:v>
      </x:c>
      <x:c r="H547" s="62"/>
      <x:c r="I547" s="62"/>
      <x:c r="J547" s="62"/>
      <x:c r="K547" s="62"/>
    </x:row>
    <x:row r="548">
      <x:c r="A548" s="66"/>
      <x:c r="B548" s="62"/>
      <x:c r="C548" s="62"/>
      <x:c r="D548" s="62"/>
      <x:c r="E548" s="68"/>
      <x:c r="F548" s="75"/>
      <x:c r="G548" s="71" t="n">
        <x:f>IF(A548="",0,E548*F548)</x:f>
        <x:v>0</x:v>
      </x:c>
      <x:c r="H548" s="62"/>
      <x:c r="I548" s="62"/>
      <x:c r="J548" s="62"/>
      <x:c r="K548" s="62"/>
    </x:row>
    <x:row r="549">
      <x:c r="A549" s="66"/>
      <x:c r="B549" s="62"/>
      <x:c r="C549" s="62"/>
      <x:c r="D549" s="62"/>
      <x:c r="E549" s="68"/>
      <x:c r="F549" s="75"/>
      <x:c r="G549" s="71" t="n">
        <x:f>IF(A549="",0,E549*F549)</x:f>
        <x:v>0</x:v>
      </x:c>
      <x:c r="H549" s="62"/>
      <x:c r="I549" s="62"/>
      <x:c r="J549" s="62"/>
      <x:c r="K549" s="62"/>
    </x:row>
    <x:row r="550">
      <x:c r="A550" s="66"/>
      <x:c r="B550" s="62"/>
      <x:c r="C550" s="62"/>
      <x:c r="D550" s="62"/>
      <x:c r="E550" s="68"/>
      <x:c r="F550" s="75"/>
      <x:c r="G550" s="71" t="n">
        <x:f>IF(A550="",0,E550*F550)</x:f>
        <x:v>0</x:v>
      </x:c>
      <x:c r="H550" s="62"/>
      <x:c r="I550" s="62"/>
      <x:c r="J550" s="62"/>
      <x:c r="K550" s="62"/>
    </x:row>
    <x:row r="551">
      <x:c r="A551" s="66"/>
      <x:c r="B551" s="62"/>
      <x:c r="C551" s="62"/>
      <x:c r="D551" s="62"/>
      <x:c r="E551" s="68"/>
      <x:c r="F551" s="75"/>
      <x:c r="G551" s="71" t="n">
        <x:f>IF(A551="",0,E551*F551)</x:f>
        <x:v>0</x:v>
      </x:c>
      <x:c r="H551" s="62"/>
      <x:c r="I551" s="62"/>
      <x:c r="J551" s="62"/>
      <x:c r="K551" s="62"/>
    </x:row>
    <x:row r="552">
      <x:c r="A552" s="66"/>
      <x:c r="B552" s="62"/>
      <x:c r="C552" s="62"/>
      <x:c r="D552" s="62"/>
      <x:c r="E552" s="68"/>
      <x:c r="F552" s="75"/>
      <x:c r="G552" s="71" t="n">
        <x:f>IF(A552="",0,E552*F552)</x:f>
        <x:v>0</x:v>
      </x:c>
      <x:c r="H552" s="62"/>
      <x:c r="I552" s="62"/>
      <x:c r="J552" s="62"/>
      <x:c r="K552" s="62"/>
    </x:row>
    <x:row r="553">
      <x:c r="A553" s="66"/>
      <x:c r="B553" s="62"/>
      <x:c r="C553" s="62"/>
      <x:c r="D553" s="62"/>
      <x:c r="E553" s="68"/>
      <x:c r="F553" s="75"/>
      <x:c r="G553" s="71" t="n">
        <x:f>IF(A553="",0,E553*F553)</x:f>
        <x:v>0</x:v>
      </x:c>
      <x:c r="H553" s="62"/>
      <x:c r="I553" s="62"/>
      <x:c r="J553" s="62"/>
      <x:c r="K553" s="62"/>
    </x:row>
    <x:row r="554">
      <x:c r="A554" s="66"/>
      <x:c r="B554" s="62"/>
      <x:c r="C554" s="62"/>
      <x:c r="D554" s="62"/>
      <x:c r="E554" s="68"/>
      <x:c r="F554" s="75"/>
      <x:c r="G554" s="71" t="n">
        <x:f>IF(A554="",0,E554*F554)</x:f>
        <x:v>0</x:v>
      </x:c>
      <x:c r="H554" s="62"/>
      <x:c r="I554" s="62"/>
      <x:c r="J554" s="62"/>
      <x:c r="K554" s="62"/>
    </x:row>
    <x:row r="555">
      <x:c r="A555" s="66"/>
      <x:c r="B555" s="62"/>
      <x:c r="C555" s="62"/>
      <x:c r="D555" s="62"/>
      <x:c r="E555" s="68"/>
      <x:c r="F555" s="75"/>
      <x:c r="G555" s="71" t="n">
        <x:f>IF(A555="",0,E555*F555)</x:f>
        <x:v>0</x:v>
      </x:c>
      <x:c r="H555" s="62"/>
      <x:c r="I555" s="62"/>
      <x:c r="J555" s="62"/>
      <x:c r="K555" s="62"/>
    </x:row>
    <x:row r="556">
      <x:c r="A556" s="66"/>
      <x:c r="B556" s="62"/>
      <x:c r="C556" s="62"/>
      <x:c r="D556" s="62"/>
      <x:c r="E556" s="68"/>
      <x:c r="F556" s="75"/>
      <x:c r="G556" s="71" t="n">
        <x:f>IF(A556="",0,E556*F556)</x:f>
        <x:v>0</x:v>
      </x:c>
      <x:c r="H556" s="62"/>
      <x:c r="I556" s="62"/>
      <x:c r="J556" s="62"/>
      <x:c r="K556" s="62"/>
    </x:row>
    <x:row r="557">
      <x:c r="A557" s="66"/>
      <x:c r="B557" s="62"/>
      <x:c r="C557" s="62"/>
      <x:c r="D557" s="62"/>
      <x:c r="E557" s="68"/>
      <x:c r="F557" s="75"/>
      <x:c r="G557" s="71" t="n">
        <x:f>IF(A557="",0,E557*F557)</x:f>
        <x:v>0</x:v>
      </x:c>
      <x:c r="H557" s="62"/>
      <x:c r="I557" s="62"/>
      <x:c r="J557" s="62"/>
      <x:c r="K557" s="62"/>
    </x:row>
    <x:row r="558">
      <x:c r="A558" s="66"/>
      <x:c r="B558" s="62"/>
      <x:c r="C558" s="62"/>
      <x:c r="D558" s="62"/>
      <x:c r="E558" s="68"/>
      <x:c r="F558" s="75"/>
      <x:c r="G558" s="71" t="n">
        <x:f>IF(A558="",0,E558*F558)</x:f>
        <x:v>0</x:v>
      </x:c>
      <x:c r="H558" s="62"/>
      <x:c r="I558" s="62"/>
      <x:c r="J558" s="62"/>
      <x:c r="K558" s="62"/>
    </x:row>
    <x:row r="559">
      <x:c r="A559" s="66"/>
      <x:c r="B559" s="62"/>
      <x:c r="C559" s="62"/>
      <x:c r="D559" s="62"/>
      <x:c r="E559" s="68"/>
      <x:c r="F559" s="75"/>
      <x:c r="G559" s="71" t="n">
        <x:f>IF(A559="",0,E559*F559)</x:f>
        <x:v>0</x:v>
      </x:c>
      <x:c r="H559" s="62"/>
      <x:c r="I559" s="62"/>
      <x:c r="J559" s="62"/>
      <x:c r="K559" s="62"/>
    </x:row>
    <x:row r="560">
      <x:c r="A560" s="66"/>
      <x:c r="B560" s="62"/>
      <x:c r="C560" s="62"/>
      <x:c r="D560" s="62"/>
      <x:c r="E560" s="68"/>
      <x:c r="F560" s="75"/>
      <x:c r="G560" s="71" t="n">
        <x:f>IF(A560="",0,E560*F560)</x:f>
        <x:v>0</x:v>
      </x:c>
      <x:c r="H560" s="62"/>
      <x:c r="I560" s="62"/>
      <x:c r="J560" s="62"/>
      <x:c r="K560" s="62"/>
    </x:row>
    <x:row r="561">
      <x:c r="A561" s="66"/>
      <x:c r="B561" s="62"/>
      <x:c r="C561" s="62"/>
      <x:c r="D561" s="62"/>
      <x:c r="E561" s="68"/>
      <x:c r="F561" s="75"/>
      <x:c r="G561" s="71" t="n">
        <x:f>IF(A561="",0,E561*F561)</x:f>
        <x:v>0</x:v>
      </x:c>
      <x:c r="H561" s="62"/>
      <x:c r="I561" s="62"/>
      <x:c r="J561" s="62"/>
      <x:c r="K561" s="62"/>
    </x:row>
    <x:row r="562">
      <x:c r="A562" s="66"/>
      <x:c r="B562" s="62"/>
      <x:c r="C562" s="62"/>
      <x:c r="D562" s="62"/>
      <x:c r="E562" s="68"/>
      <x:c r="F562" s="75"/>
      <x:c r="G562" s="71" t="n">
        <x:f>IF(A562="",0,E562*F562)</x:f>
        <x:v>0</x:v>
      </x:c>
      <x:c r="H562" s="62"/>
      <x:c r="I562" s="62"/>
      <x:c r="J562" s="62"/>
      <x:c r="K562" s="62"/>
    </x:row>
    <x:row r="563">
      <x:c r="A563" s="66"/>
      <x:c r="B563" s="62"/>
      <x:c r="C563" s="62"/>
      <x:c r="D563" s="62"/>
      <x:c r="E563" s="68"/>
      <x:c r="F563" s="75"/>
      <x:c r="G563" s="71" t="n">
        <x:f>IF(A563="",0,E563*F563)</x:f>
        <x:v>0</x:v>
      </x:c>
      <x:c r="H563" s="62"/>
      <x:c r="I563" s="62"/>
      <x:c r="J563" s="62"/>
      <x:c r="K563" s="62"/>
    </x:row>
    <x:row r="564">
      <x:c r="A564" s="66"/>
      <x:c r="B564" s="62"/>
      <x:c r="C564" s="62"/>
      <x:c r="D564" s="62"/>
      <x:c r="E564" s="68"/>
      <x:c r="F564" s="75"/>
      <x:c r="G564" s="71" t="n">
        <x:f>IF(A564="",0,E564*F564)</x:f>
        <x:v>0</x:v>
      </x:c>
      <x:c r="H564" s="62"/>
      <x:c r="I564" s="62"/>
      <x:c r="J564" s="62"/>
      <x:c r="K564" s="62"/>
    </x:row>
    <x:row r="565">
      <x:c r="A565" s="66"/>
      <x:c r="B565" s="62"/>
      <x:c r="C565" s="62"/>
      <x:c r="D565" s="62"/>
      <x:c r="E565" s="68"/>
      <x:c r="F565" s="75"/>
      <x:c r="G565" s="71" t="n">
        <x:f>IF(A565="",0,E565*F565)</x:f>
        <x:v>0</x:v>
      </x:c>
      <x:c r="H565" s="62"/>
      <x:c r="I565" s="62"/>
      <x:c r="J565" s="62"/>
      <x:c r="K565" s="62"/>
    </x:row>
    <x:row r="566">
      <x:c r="A566" s="66"/>
      <x:c r="B566" s="62"/>
      <x:c r="C566" s="62"/>
      <x:c r="D566" s="62"/>
      <x:c r="E566" s="68"/>
      <x:c r="F566" s="75"/>
      <x:c r="G566" s="71" t="n">
        <x:f>IF(A566="",0,E566*F566)</x:f>
        <x:v>0</x:v>
      </x:c>
      <x:c r="H566" s="62"/>
      <x:c r="I566" s="62"/>
      <x:c r="J566" s="62"/>
      <x:c r="K566" s="62"/>
    </x:row>
    <x:row r="567">
      <x:c r="A567" s="66"/>
      <x:c r="B567" s="62"/>
      <x:c r="C567" s="62"/>
      <x:c r="D567" s="62"/>
      <x:c r="E567" s="68"/>
      <x:c r="F567" s="75"/>
      <x:c r="G567" s="71" t="n">
        <x:f>IF(A567="",0,E567*F567)</x:f>
        <x:v>0</x:v>
      </x:c>
      <x:c r="H567" s="62"/>
      <x:c r="I567" s="62"/>
      <x:c r="J567" s="62"/>
      <x:c r="K567" s="62"/>
    </x:row>
    <x:row r="568">
      <x:c r="A568" s="66"/>
      <x:c r="B568" s="62"/>
      <x:c r="C568" s="62"/>
      <x:c r="D568" s="62"/>
      <x:c r="E568" s="68"/>
      <x:c r="F568" s="75"/>
      <x:c r="G568" s="71" t="n">
        <x:f>IF(A568="",0,E568*F568)</x:f>
        <x:v>0</x:v>
      </x:c>
      <x:c r="H568" s="62"/>
      <x:c r="I568" s="62"/>
      <x:c r="J568" s="62"/>
      <x:c r="K568" s="62"/>
    </x:row>
    <x:row r="569">
      <x:c r="A569" s="66"/>
      <x:c r="B569" s="62"/>
      <x:c r="C569" s="62"/>
      <x:c r="D569" s="62"/>
      <x:c r="E569" s="68"/>
      <x:c r="F569" s="75"/>
      <x:c r="G569" s="71" t="n">
        <x:f>IF(A569="",0,E569*F569)</x:f>
        <x:v>0</x:v>
      </x:c>
      <x:c r="H569" s="62"/>
      <x:c r="I569" s="62"/>
      <x:c r="J569" s="62"/>
      <x:c r="K569" s="62"/>
    </x:row>
    <x:row r="570">
      <x:c r="A570" s="66"/>
      <x:c r="B570" s="62"/>
      <x:c r="C570" s="62"/>
      <x:c r="D570" s="62"/>
      <x:c r="E570" s="68"/>
      <x:c r="F570" s="75"/>
      <x:c r="G570" s="71" t="n">
        <x:f>IF(A570="",0,E570*F570)</x:f>
        <x:v>0</x:v>
      </x:c>
      <x:c r="H570" s="62"/>
      <x:c r="I570" s="62"/>
      <x:c r="J570" s="62"/>
      <x:c r="K570" s="62"/>
    </x:row>
    <x:row r="571">
      <x:c r="A571" s="66"/>
      <x:c r="B571" s="62"/>
      <x:c r="C571" s="62"/>
      <x:c r="D571" s="62"/>
      <x:c r="E571" s="68"/>
      <x:c r="F571" s="75"/>
      <x:c r="G571" s="71" t="n">
        <x:f>IF(A571="",0,E571*F571)</x:f>
        <x:v>0</x:v>
      </x:c>
      <x:c r="H571" s="62"/>
      <x:c r="I571" s="62"/>
      <x:c r="J571" s="62"/>
      <x:c r="K571" s="62"/>
    </x:row>
    <x:row r="572">
      <x:c r="A572" s="66"/>
      <x:c r="B572" s="62"/>
      <x:c r="C572" s="62"/>
      <x:c r="D572" s="62"/>
      <x:c r="E572" s="68"/>
      <x:c r="F572" s="75"/>
      <x:c r="G572" s="71" t="n">
        <x:f>IF(A572="",0,E572*F572)</x:f>
        <x:v>0</x:v>
      </x:c>
      <x:c r="H572" s="62"/>
      <x:c r="I572" s="62"/>
      <x:c r="J572" s="62"/>
      <x:c r="K572" s="62"/>
    </x:row>
    <x:row r="573">
      <x:c r="A573" s="66"/>
      <x:c r="B573" s="62"/>
      <x:c r="C573" s="62"/>
      <x:c r="D573" s="62"/>
      <x:c r="E573" s="68"/>
      <x:c r="F573" s="75"/>
      <x:c r="G573" s="71" t="n">
        <x:f>IF(A573="",0,E573*F573)</x:f>
        <x:v>0</x:v>
      </x:c>
      <x:c r="H573" s="62"/>
      <x:c r="I573" s="62"/>
      <x:c r="J573" s="62"/>
      <x:c r="K573" s="62"/>
    </x:row>
    <x:row r="574">
      <x:c r="A574" s="66"/>
      <x:c r="B574" s="62"/>
      <x:c r="C574" s="62"/>
      <x:c r="D574" s="62"/>
      <x:c r="E574" s="68"/>
      <x:c r="F574" s="75"/>
      <x:c r="G574" s="71" t="n">
        <x:f>IF(A574="",0,E574*F574)</x:f>
        <x:v>0</x:v>
      </x:c>
      <x:c r="H574" s="62"/>
      <x:c r="I574" s="62"/>
      <x:c r="J574" s="62"/>
      <x:c r="K574" s="62"/>
    </x:row>
    <x:row r="575">
      <x:c r="A575" s="66"/>
      <x:c r="B575" s="62"/>
      <x:c r="C575" s="62"/>
      <x:c r="D575" s="62"/>
      <x:c r="E575" s="68"/>
      <x:c r="F575" s="75"/>
      <x:c r="G575" s="71" t="n">
        <x:f>IF(A575="",0,E575*F575)</x:f>
        <x:v>0</x:v>
      </x:c>
      <x:c r="H575" s="62"/>
      <x:c r="I575" s="62"/>
      <x:c r="J575" s="62"/>
      <x:c r="K575" s="62"/>
    </x:row>
    <x:row r="576">
      <x:c r="A576" s="66"/>
      <x:c r="B576" s="62"/>
      <x:c r="C576" s="62"/>
      <x:c r="D576" s="62"/>
      <x:c r="E576" s="68"/>
      <x:c r="F576" s="75"/>
      <x:c r="G576" s="71" t="n">
        <x:f>IF(A576="",0,E576*F576)</x:f>
        <x:v>0</x:v>
      </x:c>
      <x:c r="H576" s="62"/>
      <x:c r="I576" s="62"/>
      <x:c r="J576" s="62"/>
      <x:c r="K576" s="62"/>
    </x:row>
    <x:row r="577">
      <x:c r="A577" s="66"/>
      <x:c r="B577" s="62"/>
      <x:c r="C577" s="62"/>
      <x:c r="D577" s="62"/>
      <x:c r="E577" s="68"/>
      <x:c r="F577" s="75"/>
      <x:c r="G577" s="71" t="n">
        <x:f>IF(A577="",0,E577*F577)</x:f>
        <x:v>0</x:v>
      </x:c>
      <x:c r="H577" s="62"/>
      <x:c r="I577" s="62"/>
      <x:c r="J577" s="62"/>
      <x:c r="K577" s="62"/>
    </x:row>
    <x:row r="578">
      <x:c r="A578" s="66"/>
      <x:c r="B578" s="62"/>
      <x:c r="C578" s="62"/>
      <x:c r="D578" s="62"/>
      <x:c r="E578" s="68"/>
      <x:c r="F578" s="75"/>
      <x:c r="G578" s="71" t="n">
        <x:f>IF(A578="",0,E578*F578)</x:f>
        <x:v>0</x:v>
      </x:c>
      <x:c r="H578" s="62"/>
      <x:c r="I578" s="62"/>
      <x:c r="J578" s="62"/>
      <x:c r="K578" s="62"/>
    </x:row>
    <x:row r="579">
      <x:c r="A579" s="66"/>
      <x:c r="B579" s="62"/>
      <x:c r="C579" s="62"/>
      <x:c r="D579" s="62"/>
      <x:c r="E579" s="68"/>
      <x:c r="F579" s="75"/>
      <x:c r="G579" s="71" t="n">
        <x:f>IF(A579="",0,E579*F579)</x:f>
        <x:v>0</x:v>
      </x:c>
      <x:c r="H579" s="62"/>
      <x:c r="I579" s="62"/>
      <x:c r="J579" s="62"/>
      <x:c r="K579" s="62"/>
    </x:row>
    <x:row r="580">
      <x:c r="A580" s="66"/>
      <x:c r="B580" s="62"/>
      <x:c r="C580" s="62"/>
      <x:c r="D580" s="62"/>
      <x:c r="E580" s="68"/>
      <x:c r="F580" s="75"/>
      <x:c r="G580" s="71" t="n">
        <x:f>IF(A580="",0,E580*F580)</x:f>
        <x:v>0</x:v>
      </x:c>
      <x:c r="H580" s="62"/>
      <x:c r="I580" s="62"/>
      <x:c r="J580" s="62"/>
      <x:c r="K580" s="62"/>
    </x:row>
    <x:row r="581">
      <x:c r="A581" s="66"/>
      <x:c r="B581" s="62"/>
      <x:c r="C581" s="62"/>
      <x:c r="D581" s="62"/>
      <x:c r="E581" s="68"/>
      <x:c r="F581" s="75"/>
      <x:c r="G581" s="71" t="n">
        <x:f>IF(A581="",0,E581*F581)</x:f>
        <x:v>0</x:v>
      </x:c>
      <x:c r="H581" s="62"/>
      <x:c r="I581" s="62"/>
      <x:c r="J581" s="62"/>
      <x:c r="K581" s="62"/>
    </x:row>
    <x:row r="582">
      <x:c r="A582" s="66"/>
      <x:c r="B582" s="62"/>
      <x:c r="C582" s="62"/>
      <x:c r="D582" s="62"/>
      <x:c r="E582" s="68"/>
      <x:c r="F582" s="75"/>
      <x:c r="G582" s="71" t="n">
        <x:f>IF(A582="",0,E582*F582)</x:f>
        <x:v>0</x:v>
      </x:c>
      <x:c r="H582" s="62"/>
      <x:c r="I582" s="62"/>
      <x:c r="J582" s="62"/>
      <x:c r="K582" s="62"/>
    </x:row>
    <x:row r="583">
      <x:c r="A583" s="66"/>
      <x:c r="B583" s="62"/>
      <x:c r="C583" s="62"/>
      <x:c r="D583" s="62"/>
      <x:c r="E583" s="68"/>
      <x:c r="F583" s="75"/>
      <x:c r="G583" s="71" t="n">
        <x:f>IF(A583="",0,E583*F583)</x:f>
        <x:v>0</x:v>
      </x:c>
      <x:c r="H583" s="62"/>
      <x:c r="I583" s="62"/>
      <x:c r="J583" s="62"/>
      <x:c r="K583" s="62"/>
    </x:row>
    <x:row r="584">
      <x:c r="A584" s="66"/>
      <x:c r="B584" s="62"/>
      <x:c r="C584" s="62"/>
      <x:c r="D584" s="62"/>
      <x:c r="E584" s="68"/>
      <x:c r="F584" s="75"/>
      <x:c r="G584" s="71" t="n">
        <x:f>IF(A584="",0,E584*F584)</x:f>
        <x:v>0</x:v>
      </x:c>
      <x:c r="H584" s="62"/>
      <x:c r="I584" s="62"/>
      <x:c r="J584" s="62"/>
      <x:c r="K584" s="62"/>
    </x:row>
    <x:row r="585">
      <x:c r="A585" s="66"/>
      <x:c r="B585" s="62"/>
      <x:c r="C585" s="62"/>
      <x:c r="D585" s="62"/>
      <x:c r="E585" s="68"/>
      <x:c r="F585" s="75"/>
      <x:c r="G585" s="71" t="n">
        <x:f>IF(A585="",0,E585*F585)</x:f>
        <x:v>0</x:v>
      </x:c>
      <x:c r="H585" s="62"/>
      <x:c r="I585" s="62"/>
      <x:c r="J585" s="62"/>
      <x:c r="K585" s="62"/>
    </x:row>
    <x:row r="586">
      <x:c r="A586" s="66"/>
      <x:c r="B586" s="62"/>
      <x:c r="C586" s="62"/>
      <x:c r="D586" s="62"/>
      <x:c r="E586" s="68"/>
      <x:c r="F586" s="75"/>
      <x:c r="G586" s="71" t="n">
        <x:f>IF(A586="",0,E586*F586)</x:f>
        <x:v>0</x:v>
      </x:c>
      <x:c r="H586" s="62"/>
      <x:c r="I586" s="62"/>
      <x:c r="J586" s="62"/>
      <x:c r="K586" s="62"/>
    </x:row>
    <x:row r="587">
      <x:c r="A587" s="66"/>
      <x:c r="B587" s="62"/>
      <x:c r="C587" s="62"/>
      <x:c r="D587" s="62"/>
      <x:c r="E587" s="68"/>
      <x:c r="F587" s="75"/>
      <x:c r="G587" s="71" t="n">
        <x:f>IF(A587="",0,E587*F587)</x:f>
        <x:v>0</x:v>
      </x:c>
      <x:c r="H587" s="62"/>
      <x:c r="I587" s="62"/>
      <x:c r="J587" s="62"/>
      <x:c r="K587" s="62"/>
    </x:row>
    <x:row r="588">
      <x:c r="A588" s="66"/>
      <x:c r="B588" s="62"/>
      <x:c r="C588" s="62"/>
      <x:c r="D588" s="62"/>
      <x:c r="E588" s="68"/>
      <x:c r="F588" s="75"/>
      <x:c r="G588" s="71" t="n">
        <x:f>IF(A588="",0,E588*F588)</x:f>
        <x:v>0</x:v>
      </x:c>
      <x:c r="H588" s="62"/>
      <x:c r="I588" s="62"/>
      <x:c r="J588" s="62"/>
      <x:c r="K588" s="62"/>
    </x:row>
    <x:row r="589">
      <x:c r="A589" s="66"/>
      <x:c r="B589" s="62"/>
      <x:c r="C589" s="62"/>
      <x:c r="D589" s="62"/>
      <x:c r="E589" s="68"/>
      <x:c r="F589" s="75"/>
      <x:c r="G589" s="71" t="n">
        <x:f>IF(A589="",0,E589*F589)</x:f>
        <x:v>0</x:v>
      </x:c>
      <x:c r="H589" s="62"/>
      <x:c r="I589" s="62"/>
      <x:c r="J589" s="62"/>
      <x:c r="K589" s="62"/>
    </x:row>
    <x:row r="590">
      <x:c r="A590" s="66"/>
      <x:c r="B590" s="62"/>
      <x:c r="C590" s="62"/>
      <x:c r="D590" s="62"/>
      <x:c r="E590" s="68"/>
      <x:c r="F590" s="75"/>
      <x:c r="G590" s="71" t="n">
        <x:f>IF(A590="",0,E590*F590)</x:f>
        <x:v>0</x:v>
      </x:c>
      <x:c r="H590" s="62"/>
      <x:c r="I590" s="62"/>
      <x:c r="J590" s="62"/>
      <x:c r="K590" s="62"/>
    </x:row>
    <x:row r="591">
      <x:c r="A591" s="66"/>
      <x:c r="B591" s="62"/>
      <x:c r="C591" s="62"/>
      <x:c r="D591" s="62"/>
      <x:c r="E591" s="68"/>
      <x:c r="F591" s="75"/>
      <x:c r="G591" s="71" t="n">
        <x:f>IF(A591="",0,E591*F591)</x:f>
        <x:v>0</x:v>
      </x:c>
      <x:c r="H591" s="62"/>
      <x:c r="I591" s="62"/>
      <x:c r="J591" s="62"/>
      <x:c r="K591" s="62"/>
    </x:row>
    <x:row r="592">
      <x:c r="A592" s="66"/>
      <x:c r="B592" s="62"/>
      <x:c r="C592" s="62"/>
      <x:c r="D592" s="62"/>
      <x:c r="E592" s="68"/>
      <x:c r="F592" s="75"/>
      <x:c r="G592" s="71" t="n">
        <x:f>IF(A592="",0,E592*F592)</x:f>
        <x:v>0</x:v>
      </x:c>
      <x:c r="H592" s="62"/>
      <x:c r="I592" s="62"/>
      <x:c r="J592" s="62"/>
      <x:c r="K592" s="62"/>
    </x:row>
    <x:row r="593">
      <x:c r="A593" s="66"/>
      <x:c r="B593" s="62"/>
      <x:c r="C593" s="62"/>
      <x:c r="D593" s="62"/>
      <x:c r="E593" s="68"/>
      <x:c r="F593" s="75"/>
      <x:c r="G593" s="71" t="n">
        <x:f>IF(A593="",0,E593*F593)</x:f>
        <x:v>0</x:v>
      </x:c>
      <x:c r="H593" s="62"/>
      <x:c r="I593" s="62"/>
      <x:c r="J593" s="62"/>
      <x:c r="K593" s="62"/>
    </x:row>
    <x:row r="594">
      <x:c r="A594" s="66"/>
      <x:c r="B594" s="62"/>
      <x:c r="C594" s="62"/>
      <x:c r="D594" s="62"/>
      <x:c r="E594" s="68"/>
      <x:c r="F594" s="75"/>
      <x:c r="G594" s="71" t="n">
        <x:f>IF(A594="",0,E594*F594)</x:f>
        <x:v>0</x:v>
      </x:c>
      <x:c r="H594" s="62"/>
      <x:c r="I594" s="62"/>
      <x:c r="J594" s="62"/>
      <x:c r="K594" s="62"/>
    </x:row>
    <x:row r="595">
      <x:c r="A595" s="66"/>
      <x:c r="B595" s="62"/>
      <x:c r="C595" s="62"/>
      <x:c r="D595" s="62"/>
      <x:c r="E595" s="68"/>
      <x:c r="F595" s="75"/>
      <x:c r="G595" s="71" t="n">
        <x:f>IF(A595="",0,E595*F595)</x:f>
        <x:v>0</x:v>
      </x:c>
      <x:c r="H595" s="62"/>
      <x:c r="I595" s="62"/>
      <x:c r="J595" s="62"/>
      <x:c r="K595" s="62"/>
    </x:row>
    <x:row r="596">
      <x:c r="A596" s="66"/>
      <x:c r="B596" s="62"/>
      <x:c r="C596" s="62"/>
      <x:c r="D596" s="62"/>
      <x:c r="E596" s="68"/>
      <x:c r="F596" s="75"/>
      <x:c r="G596" s="71" t="n">
        <x:f>IF(A596="",0,E596*F596)</x:f>
        <x:v>0</x:v>
      </x:c>
      <x:c r="H596" s="62"/>
      <x:c r="I596" s="62"/>
      <x:c r="J596" s="62"/>
      <x:c r="K596" s="62"/>
    </x:row>
    <x:row r="597">
      <x:c r="A597" s="66"/>
      <x:c r="B597" s="62"/>
      <x:c r="C597" s="62"/>
      <x:c r="D597" s="62"/>
      <x:c r="E597" s="68"/>
      <x:c r="F597" s="75"/>
      <x:c r="G597" s="71" t="n">
        <x:f>IF(A597="",0,E597*F597)</x:f>
        <x:v>0</x:v>
      </x:c>
      <x:c r="H597" s="62"/>
      <x:c r="I597" s="62"/>
      <x:c r="J597" s="62"/>
      <x:c r="K597" s="62"/>
    </x:row>
    <x:row r="598">
      <x:c r="A598" s="66"/>
      <x:c r="B598" s="62"/>
      <x:c r="C598" s="62"/>
      <x:c r="D598" s="62"/>
      <x:c r="E598" s="68"/>
      <x:c r="F598" s="75"/>
      <x:c r="G598" s="71" t="n">
        <x:f>IF(A598="",0,E598*F598)</x:f>
        <x:v>0</x:v>
      </x:c>
      <x:c r="H598" s="62"/>
      <x:c r="I598" s="62"/>
      <x:c r="J598" s="62"/>
      <x:c r="K598" s="62"/>
    </x:row>
    <x:row r="599">
      <x:c r="A599" s="66"/>
      <x:c r="B599" s="62"/>
      <x:c r="C599" s="62"/>
      <x:c r="D599" s="62"/>
      <x:c r="E599" s="68"/>
      <x:c r="F599" s="75"/>
      <x:c r="G599" s="71" t="n">
        <x:f>IF(A599="",0,E599*F599)</x:f>
        <x:v>0</x:v>
      </x:c>
      <x:c r="H599" s="62"/>
      <x:c r="I599" s="62"/>
      <x:c r="J599" s="62"/>
      <x:c r="K599" s="62"/>
    </x:row>
    <x:row r="600">
      <x:c r="A600" s="66"/>
      <x:c r="B600" s="62"/>
      <x:c r="C600" s="62"/>
      <x:c r="D600" s="62"/>
      <x:c r="E600" s="68"/>
      <x:c r="F600" s="75"/>
      <x:c r="G600" s="71" t="n">
        <x:f>IF(A600="",0,E600*F600)</x:f>
        <x:v>0</x:v>
      </x:c>
      <x:c r="H600" s="62"/>
      <x:c r="I600" s="62"/>
      <x:c r="J600" s="62"/>
      <x:c r="K600" s="62"/>
    </x:row>
    <x:row r="601">
      <x:c r="A601" s="66"/>
      <x:c r="B601" s="62"/>
      <x:c r="C601" s="62"/>
      <x:c r="D601" s="62"/>
      <x:c r="E601" s="68"/>
      <x:c r="F601" s="75"/>
      <x:c r="G601" s="71" t="n">
        <x:f>IF(A601="",0,E601*F601)</x:f>
        <x:v>0</x:v>
      </x:c>
      <x:c r="H601" s="62"/>
      <x:c r="I601" s="62"/>
      <x:c r="J601" s="62"/>
      <x:c r="K601" s="62"/>
    </x:row>
    <x:row r="602">
      <x:c r="A602" s="66"/>
      <x:c r="B602" s="62"/>
      <x:c r="C602" s="62"/>
      <x:c r="D602" s="62"/>
      <x:c r="E602" s="68"/>
      <x:c r="F602" s="75"/>
      <x:c r="G602" s="71" t="n">
        <x:f>IF(A602="",0,E602*F602)</x:f>
        <x:v>0</x:v>
      </x:c>
      <x:c r="H602" s="62"/>
      <x:c r="I602" s="62"/>
      <x:c r="J602" s="62"/>
      <x:c r="K602" s="62"/>
    </x:row>
    <x:row r="603">
      <x:c r="A603" s="66"/>
      <x:c r="B603" s="62"/>
      <x:c r="C603" s="62"/>
      <x:c r="D603" s="62"/>
      <x:c r="E603" s="68"/>
      <x:c r="F603" s="75"/>
      <x:c r="G603" s="71" t="n">
        <x:f>IF(A603="",0,E603*F603)</x:f>
        <x:v>0</x:v>
      </x:c>
      <x:c r="H603" s="62"/>
      <x:c r="I603" s="62"/>
      <x:c r="J603" s="62"/>
      <x:c r="K603" s="62"/>
    </x:row>
    <x:row r="604">
      <x:c r="A604" s="66"/>
      <x:c r="B604" s="62"/>
      <x:c r="C604" s="62"/>
      <x:c r="D604" s="62"/>
      <x:c r="E604" s="68"/>
      <x:c r="F604" s="75"/>
      <x:c r="G604" s="71" t="n">
        <x:f>IF(A604="",0,E604*F604)</x:f>
        <x:v>0</x:v>
      </x:c>
      <x:c r="H604" s="62"/>
      <x:c r="I604" s="62"/>
      <x:c r="J604" s="62"/>
      <x:c r="K604" s="62"/>
    </x:row>
    <x:row r="605">
      <x:c r="A605" s="66"/>
      <x:c r="B605" s="62"/>
      <x:c r="C605" s="62"/>
      <x:c r="D605" s="62"/>
      <x:c r="E605" s="68"/>
      <x:c r="F605" s="75"/>
      <x:c r="G605" s="71" t="n">
        <x:f>IF(A605="",0,E605*F605)</x:f>
        <x:v>0</x:v>
      </x:c>
      <x:c r="H605" s="62"/>
      <x:c r="I605" s="62"/>
      <x:c r="J605" s="62"/>
      <x:c r="K605" s="62"/>
    </x:row>
    <x:row r="606">
      <x:c r="A606" s="66"/>
      <x:c r="B606" s="62"/>
      <x:c r="C606" s="62"/>
      <x:c r="D606" s="62"/>
      <x:c r="E606" s="68"/>
      <x:c r="F606" s="75"/>
      <x:c r="G606" s="71" t="n">
        <x:f>IF(A606="",0,E606*F606)</x:f>
        <x:v>0</x:v>
      </x:c>
      <x:c r="H606" s="62"/>
      <x:c r="I606" s="62"/>
      <x:c r="J606" s="62"/>
      <x:c r="K606" s="62"/>
    </x:row>
    <x:row r="607">
      <x:c r="A607" s="66"/>
      <x:c r="B607" s="62"/>
      <x:c r="C607" s="62"/>
      <x:c r="D607" s="62"/>
      <x:c r="E607" s="68"/>
      <x:c r="F607" s="75"/>
      <x:c r="G607" s="71" t="n">
        <x:f>IF(A607="",0,E607*F607)</x:f>
        <x:v>0</x:v>
      </x:c>
      <x:c r="H607" s="62"/>
      <x:c r="I607" s="62"/>
      <x:c r="J607" s="62"/>
      <x:c r="K607" s="62"/>
    </x:row>
    <x:row r="608">
      <x:c r="A608" s="66"/>
      <x:c r="B608" s="62"/>
      <x:c r="C608" s="62"/>
      <x:c r="D608" s="62"/>
      <x:c r="E608" s="68"/>
      <x:c r="F608" s="75"/>
      <x:c r="G608" s="71" t="n">
        <x:f>IF(A608="",0,E608*F608)</x:f>
        <x:v>0</x:v>
      </x:c>
      <x:c r="H608" s="62"/>
      <x:c r="I608" s="62"/>
      <x:c r="J608" s="62"/>
      <x:c r="K608" s="62"/>
    </x:row>
    <x:row r="609">
      <x:c r="A609" s="66"/>
      <x:c r="B609" s="62"/>
      <x:c r="C609" s="62"/>
      <x:c r="D609" s="62"/>
      <x:c r="E609" s="68"/>
      <x:c r="F609" s="75"/>
      <x:c r="G609" s="71" t="n">
        <x:f>IF(A609="",0,E609*F609)</x:f>
        <x:v>0</x:v>
      </x:c>
      <x:c r="H609" s="62"/>
      <x:c r="I609" s="62"/>
      <x:c r="J609" s="62"/>
      <x:c r="K609" s="62"/>
    </x:row>
    <x:row r="610">
      <x:c r="A610" s="66"/>
      <x:c r="B610" s="62"/>
      <x:c r="C610" s="62"/>
      <x:c r="D610" s="62"/>
      <x:c r="E610" s="68"/>
      <x:c r="F610" s="75"/>
      <x:c r="G610" s="71" t="n">
        <x:f>IF(A610="",0,E610*F610)</x:f>
        <x:v>0</x:v>
      </x:c>
      <x:c r="H610" s="62"/>
      <x:c r="I610" s="62"/>
      <x:c r="J610" s="62"/>
      <x:c r="K610" s="62"/>
    </x:row>
    <x:row r="611">
      <x:c r="A611" s="66"/>
      <x:c r="B611" s="62"/>
      <x:c r="C611" s="62"/>
      <x:c r="D611" s="62"/>
      <x:c r="E611" s="68"/>
      <x:c r="F611" s="75"/>
      <x:c r="G611" s="71" t="n">
        <x:f>IF(A611="",0,E611*F611)</x:f>
        <x:v>0</x:v>
      </x:c>
      <x:c r="H611" s="62"/>
      <x:c r="I611" s="62"/>
      <x:c r="J611" s="62"/>
      <x:c r="K611" s="62"/>
    </x:row>
    <x:row r="612">
      <x:c r="A612" s="66"/>
      <x:c r="B612" s="62"/>
      <x:c r="C612" s="62"/>
      <x:c r="D612" s="62"/>
      <x:c r="E612" s="68"/>
      <x:c r="F612" s="75"/>
      <x:c r="G612" s="71" t="n">
        <x:f>IF(A612="",0,E612*F612)</x:f>
        <x:v>0</x:v>
      </x:c>
      <x:c r="H612" s="62"/>
      <x:c r="I612" s="62"/>
      <x:c r="J612" s="62"/>
      <x:c r="K612" s="62"/>
    </x:row>
    <x:row r="613">
      <x:c r="A613" s="66"/>
      <x:c r="B613" s="62"/>
      <x:c r="C613" s="62"/>
      <x:c r="D613" s="62"/>
      <x:c r="E613" s="68"/>
      <x:c r="F613" s="75"/>
      <x:c r="G613" s="71" t="n">
        <x:f>IF(A613="",0,E613*F613)</x:f>
        <x:v>0</x:v>
      </x:c>
      <x:c r="H613" s="62"/>
      <x:c r="I613" s="62"/>
      <x:c r="J613" s="62"/>
      <x:c r="K613" s="62"/>
    </x:row>
    <x:row r="614">
      <x:c r="A614" s="66"/>
      <x:c r="B614" s="62"/>
      <x:c r="C614" s="62"/>
      <x:c r="D614" s="62"/>
      <x:c r="E614" s="68"/>
      <x:c r="F614" s="75"/>
      <x:c r="G614" s="71" t="n">
        <x:f>IF(A614="",0,E614*F614)</x:f>
        <x:v>0</x:v>
      </x:c>
      <x:c r="H614" s="62"/>
      <x:c r="I614" s="62"/>
      <x:c r="J614" s="62"/>
      <x:c r="K614" s="62"/>
    </x:row>
    <x:row r="615">
      <x:c r="A615" s="66"/>
      <x:c r="B615" s="62"/>
      <x:c r="C615" s="62"/>
      <x:c r="D615" s="62"/>
      <x:c r="E615" s="68"/>
      <x:c r="F615" s="75"/>
      <x:c r="G615" s="71" t="n">
        <x:f>IF(A615="",0,E615*F615)</x:f>
        <x:v>0</x:v>
      </x:c>
      <x:c r="H615" s="62"/>
      <x:c r="I615" s="62"/>
      <x:c r="J615" s="62"/>
      <x:c r="K615" s="62"/>
    </x:row>
    <x:row r="616">
      <x:c r="A616" s="66"/>
      <x:c r="B616" s="62"/>
      <x:c r="C616" s="62"/>
      <x:c r="D616" s="62"/>
      <x:c r="E616" s="68"/>
      <x:c r="F616" s="75"/>
      <x:c r="G616" s="71" t="n">
        <x:f>IF(A616="",0,E616*F616)</x:f>
        <x:v>0</x:v>
      </x:c>
      <x:c r="H616" s="62"/>
      <x:c r="I616" s="62"/>
      <x:c r="J616" s="62"/>
      <x:c r="K616" s="62"/>
    </x:row>
    <x:row r="617">
      <x:c r="A617" s="66"/>
      <x:c r="B617" s="62"/>
      <x:c r="C617" s="62"/>
      <x:c r="D617" s="62"/>
      <x:c r="E617" s="68"/>
      <x:c r="F617" s="75"/>
      <x:c r="G617" s="71" t="n">
        <x:f>IF(A617="",0,E617*F617)</x:f>
        <x:v>0</x:v>
      </x:c>
      <x:c r="H617" s="62"/>
      <x:c r="I617" s="62"/>
      <x:c r="J617" s="62"/>
      <x:c r="K617" s="62"/>
    </x:row>
    <x:row r="618">
      <x:c r="A618" s="66"/>
      <x:c r="B618" s="62"/>
      <x:c r="C618" s="62"/>
      <x:c r="D618" s="62"/>
      <x:c r="E618" s="68"/>
      <x:c r="F618" s="75"/>
      <x:c r="G618" s="71" t="n">
        <x:f>IF(A618="",0,E618*F618)</x:f>
        <x:v>0</x:v>
      </x:c>
      <x:c r="H618" s="62"/>
      <x:c r="I618" s="62"/>
      <x:c r="J618" s="62"/>
      <x:c r="K618" s="62"/>
    </x:row>
    <x:row r="619">
      <x:c r="A619" s="66"/>
      <x:c r="B619" s="62"/>
      <x:c r="C619" s="62"/>
      <x:c r="D619" s="62"/>
      <x:c r="E619" s="68"/>
      <x:c r="F619" s="75"/>
      <x:c r="G619" s="71" t="n">
        <x:f>IF(A619="",0,E619*F619)</x:f>
        <x:v>0</x:v>
      </x:c>
      <x:c r="H619" s="62"/>
      <x:c r="I619" s="62"/>
      <x:c r="J619" s="62"/>
      <x:c r="K619" s="62"/>
    </x:row>
    <x:row r="620">
      <x:c r="A620" s="66"/>
      <x:c r="B620" s="62"/>
      <x:c r="C620" s="62"/>
      <x:c r="D620" s="62"/>
      <x:c r="E620" s="68"/>
      <x:c r="F620" s="75"/>
      <x:c r="G620" s="71" t="n">
        <x:f>IF(A620="",0,E620*F620)</x:f>
        <x:v>0</x:v>
      </x:c>
      <x:c r="H620" s="62"/>
      <x:c r="I620" s="62"/>
      <x:c r="J620" s="62"/>
      <x:c r="K620" s="62"/>
    </x:row>
    <x:row r="621">
      <x:c r="A621" s="66"/>
      <x:c r="B621" s="62"/>
      <x:c r="C621" s="62"/>
      <x:c r="D621" s="62"/>
      <x:c r="E621" s="68"/>
      <x:c r="F621" s="75"/>
      <x:c r="G621" s="71" t="n">
        <x:f>IF(A621="",0,E621*F621)</x:f>
        <x:v>0</x:v>
      </x:c>
      <x:c r="H621" s="62"/>
      <x:c r="I621" s="62"/>
      <x:c r="J621" s="62"/>
      <x:c r="K621" s="62"/>
    </x:row>
    <x:row r="622">
      <x:c r="A622" s="66"/>
      <x:c r="B622" s="62"/>
      <x:c r="C622" s="62"/>
      <x:c r="D622" s="62"/>
      <x:c r="E622" s="68"/>
      <x:c r="F622" s="75"/>
      <x:c r="G622" s="71" t="n">
        <x:f>IF(A622="",0,E622*F622)</x:f>
        <x:v>0</x:v>
      </x:c>
      <x:c r="H622" s="62"/>
      <x:c r="I622" s="62"/>
      <x:c r="J622" s="62"/>
      <x:c r="K622" s="62"/>
    </x:row>
    <x:row r="623">
      <x:c r="A623" s="66"/>
      <x:c r="B623" s="62"/>
      <x:c r="C623" s="62"/>
      <x:c r="D623" s="62"/>
      <x:c r="E623" s="68"/>
      <x:c r="F623" s="75"/>
      <x:c r="G623" s="71" t="n">
        <x:f>IF(A623="",0,E623*F623)</x:f>
        <x:v>0</x:v>
      </x:c>
      <x:c r="H623" s="62"/>
      <x:c r="I623" s="62"/>
      <x:c r="J623" s="62"/>
      <x:c r="K623" s="62"/>
    </x:row>
    <x:row r="624">
      <x:c r="A624" s="66"/>
      <x:c r="B624" s="62"/>
      <x:c r="C624" s="62"/>
      <x:c r="D624" s="62"/>
      <x:c r="E624" s="68"/>
      <x:c r="F624" s="75"/>
      <x:c r="G624" s="71" t="n">
        <x:f>IF(A624="",0,E624*F624)</x:f>
        <x:v>0</x:v>
      </x:c>
      <x:c r="H624" s="62"/>
      <x:c r="I624" s="62"/>
      <x:c r="J624" s="62"/>
      <x:c r="K624" s="62"/>
    </x:row>
    <x:row r="625">
      <x:c r="A625" s="66"/>
      <x:c r="B625" s="62"/>
      <x:c r="C625" s="62"/>
      <x:c r="D625" s="62"/>
      <x:c r="E625" s="68"/>
      <x:c r="F625" s="75"/>
      <x:c r="G625" s="71" t="n">
        <x:f>IF(A625="",0,E625*F625)</x:f>
        <x:v>0</x:v>
      </x:c>
      <x:c r="H625" s="62"/>
      <x:c r="I625" s="62"/>
      <x:c r="J625" s="62"/>
      <x:c r="K625" s="62"/>
    </x:row>
    <x:row r="626">
      <x:c r="A626" s="66"/>
      <x:c r="B626" s="62"/>
      <x:c r="C626" s="62"/>
      <x:c r="D626" s="62"/>
      <x:c r="E626" s="68"/>
      <x:c r="F626" s="75"/>
      <x:c r="G626" s="71" t="n">
        <x:f>IF(A626="",0,E626*F626)</x:f>
        <x:v>0</x:v>
      </x:c>
      <x:c r="H626" s="62"/>
      <x:c r="I626" s="62"/>
      <x:c r="J626" s="62"/>
      <x:c r="K626" s="62"/>
    </x:row>
    <x:row r="627">
      <x:c r="A627" s="66"/>
      <x:c r="B627" s="62"/>
      <x:c r="C627" s="62"/>
      <x:c r="D627" s="62"/>
      <x:c r="E627" s="68"/>
      <x:c r="F627" s="75"/>
      <x:c r="G627" s="71" t="n">
        <x:f>IF(A627="",0,E627*F627)</x:f>
        <x:v>0</x:v>
      </x:c>
      <x:c r="H627" s="62"/>
      <x:c r="I627" s="62"/>
      <x:c r="J627" s="62"/>
      <x:c r="K627" s="62"/>
    </x:row>
    <x:row r="628">
      <x:c r="A628" s="66"/>
      <x:c r="B628" s="62"/>
      <x:c r="C628" s="62"/>
      <x:c r="D628" s="62"/>
      <x:c r="E628" s="68"/>
      <x:c r="F628" s="75"/>
      <x:c r="G628" s="71" t="n">
        <x:f>IF(A628="",0,E628*F628)</x:f>
        <x:v>0</x:v>
      </x:c>
      <x:c r="H628" s="62"/>
      <x:c r="I628" s="62"/>
      <x:c r="J628" s="62"/>
      <x:c r="K628" s="62"/>
    </x:row>
    <x:row r="629">
      <x:c r="A629" s="66"/>
      <x:c r="B629" s="62"/>
      <x:c r="C629" s="62"/>
      <x:c r="D629" s="62"/>
      <x:c r="E629" s="68"/>
      <x:c r="F629" s="75"/>
      <x:c r="G629" s="71" t="n">
        <x:f>IF(A629="",0,E629*F629)</x:f>
        <x:v>0</x:v>
      </x:c>
      <x:c r="H629" s="62"/>
      <x:c r="I629" s="62"/>
      <x:c r="J629" s="62"/>
      <x:c r="K629" s="62"/>
    </x:row>
    <x:row r="630">
      <x:c r="A630" s="66"/>
      <x:c r="B630" s="62"/>
      <x:c r="C630" s="62"/>
      <x:c r="D630" s="62"/>
      <x:c r="E630" s="68"/>
      <x:c r="F630" s="75"/>
      <x:c r="G630" s="71" t="n">
        <x:f>IF(A630="",0,E630*F630)</x:f>
        <x:v>0</x:v>
      </x:c>
      <x:c r="H630" s="62"/>
      <x:c r="I630" s="62"/>
      <x:c r="J630" s="62"/>
      <x:c r="K630" s="62"/>
    </x:row>
    <x:row r="631">
      <x:c r="A631" s="66"/>
      <x:c r="B631" s="62"/>
      <x:c r="C631" s="62"/>
      <x:c r="D631" s="62"/>
      <x:c r="E631" s="68"/>
      <x:c r="F631" s="75"/>
      <x:c r="G631" s="71" t="n">
        <x:f>IF(A631="",0,E631*F631)</x:f>
        <x:v>0</x:v>
      </x:c>
      <x:c r="H631" s="62"/>
      <x:c r="I631" s="62"/>
      <x:c r="J631" s="62"/>
      <x:c r="K631" s="62"/>
    </x:row>
    <x:row r="632">
      <x:c r="A632" s="66"/>
      <x:c r="B632" s="62"/>
      <x:c r="C632" s="62"/>
      <x:c r="D632" s="62"/>
      <x:c r="E632" s="68"/>
      <x:c r="F632" s="75"/>
      <x:c r="G632" s="71" t="n">
        <x:f>IF(A632="",0,E632*F632)</x:f>
        <x:v>0</x:v>
      </x:c>
      <x:c r="H632" s="62"/>
      <x:c r="I632" s="62"/>
      <x:c r="J632" s="62"/>
      <x:c r="K632" s="62"/>
    </x:row>
    <x:row r="633">
      <x:c r="A633" s="66"/>
      <x:c r="B633" s="62"/>
      <x:c r="C633" s="62"/>
      <x:c r="D633" s="62"/>
      <x:c r="E633" s="68"/>
      <x:c r="F633" s="75"/>
      <x:c r="G633" s="71" t="n">
        <x:f>IF(A633="",0,E633*F633)</x:f>
        <x:v>0</x:v>
      </x:c>
      <x:c r="H633" s="62"/>
      <x:c r="I633" s="62"/>
      <x:c r="J633" s="62"/>
      <x:c r="K633" s="62"/>
    </x:row>
    <x:row r="634">
      <x:c r="A634" s="66"/>
      <x:c r="B634" s="62"/>
      <x:c r="C634" s="62"/>
      <x:c r="D634" s="62"/>
      <x:c r="E634" s="68"/>
      <x:c r="F634" s="75"/>
      <x:c r="G634" s="71" t="n">
        <x:f>IF(A634="",0,E634*F634)</x:f>
        <x:v>0</x:v>
      </x:c>
      <x:c r="H634" s="62"/>
      <x:c r="I634" s="62"/>
      <x:c r="J634" s="62"/>
      <x:c r="K634" s="62"/>
    </x:row>
    <x:row r="635">
      <x:c r="A635" s="66"/>
      <x:c r="B635" s="62"/>
      <x:c r="C635" s="62"/>
      <x:c r="D635" s="62"/>
      <x:c r="E635" s="68"/>
      <x:c r="F635" s="75"/>
      <x:c r="G635" s="71" t="n">
        <x:f>IF(A635="",0,E635*F635)</x:f>
        <x:v>0</x:v>
      </x:c>
      <x:c r="H635" s="62"/>
      <x:c r="I635" s="62"/>
      <x:c r="J635" s="62"/>
      <x:c r="K635" s="62"/>
    </x:row>
    <x:row r="636">
      <x:c r="A636" s="66"/>
      <x:c r="B636" s="62"/>
      <x:c r="C636" s="62"/>
      <x:c r="D636" s="62"/>
      <x:c r="E636" s="68"/>
      <x:c r="F636" s="75"/>
      <x:c r="G636" s="71" t="n">
        <x:f>IF(A636="",0,E636*F636)</x:f>
        <x:v>0</x:v>
      </x:c>
      <x:c r="H636" s="62"/>
      <x:c r="I636" s="62"/>
      <x:c r="J636" s="62"/>
      <x:c r="K636" s="62"/>
    </x:row>
    <x:row r="637">
      <x:c r="A637" s="66"/>
      <x:c r="B637" s="62"/>
      <x:c r="C637" s="62"/>
      <x:c r="D637" s="62"/>
      <x:c r="E637" s="68"/>
      <x:c r="F637" s="75"/>
      <x:c r="G637" s="71" t="n">
        <x:f>IF(A637="",0,E637*F637)</x:f>
        <x:v>0</x:v>
      </x:c>
      <x:c r="H637" s="62"/>
      <x:c r="I637" s="62"/>
      <x:c r="J637" s="62"/>
      <x:c r="K637" s="62"/>
    </x:row>
    <x:row r="638">
      <x:c r="A638" s="66"/>
      <x:c r="B638" s="62"/>
      <x:c r="C638" s="62"/>
      <x:c r="D638" s="62"/>
      <x:c r="E638" s="68"/>
      <x:c r="F638" s="75"/>
      <x:c r="G638" s="71" t="n">
        <x:f>IF(A638="",0,E638*F638)</x:f>
        <x:v>0</x:v>
      </x:c>
      <x:c r="H638" s="62"/>
      <x:c r="I638" s="62"/>
      <x:c r="J638" s="62"/>
      <x:c r="K638" s="62"/>
    </x:row>
    <x:row r="639">
      <x:c r="A639" s="66"/>
      <x:c r="B639" s="62"/>
      <x:c r="C639" s="62"/>
      <x:c r="D639" s="62"/>
      <x:c r="E639" s="68"/>
      <x:c r="F639" s="75"/>
      <x:c r="G639" s="71" t="n">
        <x:f>IF(A639="",0,E639*F639)</x:f>
        <x:v>0</x:v>
      </x:c>
      <x:c r="H639" s="62"/>
      <x:c r="I639" s="62"/>
      <x:c r="J639" s="62"/>
      <x:c r="K639" s="62"/>
    </x:row>
    <x:row r="640">
      <x:c r="A640" s="66"/>
      <x:c r="B640" s="62"/>
      <x:c r="C640" s="62"/>
      <x:c r="D640" s="62"/>
      <x:c r="E640" s="68"/>
      <x:c r="F640" s="75"/>
      <x:c r="G640" s="71" t="n">
        <x:f>IF(A640="",0,E640*F640)</x:f>
        <x:v>0</x:v>
      </x:c>
      <x:c r="H640" s="62"/>
      <x:c r="I640" s="62"/>
      <x:c r="J640" s="62"/>
      <x:c r="K640" s="62"/>
    </x:row>
    <x:row r="641">
      <x:c r="A641" s="66"/>
      <x:c r="B641" s="62"/>
      <x:c r="C641" s="62"/>
      <x:c r="D641" s="62"/>
      <x:c r="E641" s="68"/>
      <x:c r="F641" s="75"/>
      <x:c r="G641" s="71" t="n">
        <x:f>IF(A641="",0,E641*F641)</x:f>
        <x:v>0</x:v>
      </x:c>
      <x:c r="H641" s="62"/>
      <x:c r="I641" s="62"/>
      <x:c r="J641" s="62"/>
      <x:c r="K641" s="62"/>
    </x:row>
    <x:row r="642">
      <x:c r="A642" s="66"/>
      <x:c r="B642" s="62"/>
      <x:c r="C642" s="62"/>
      <x:c r="D642" s="62"/>
      <x:c r="E642" s="68"/>
      <x:c r="F642" s="75"/>
      <x:c r="G642" s="71" t="n">
        <x:f>IF(A642="",0,E642*F642)</x:f>
        <x:v>0</x:v>
      </x:c>
      <x:c r="H642" s="62"/>
      <x:c r="I642" s="62"/>
      <x:c r="J642" s="62"/>
      <x:c r="K642" s="62"/>
    </x:row>
    <x:row r="643">
      <x:c r="A643" s="66"/>
      <x:c r="B643" s="62"/>
      <x:c r="C643" s="62"/>
      <x:c r="D643" s="62"/>
      <x:c r="E643" s="68"/>
      <x:c r="F643" s="75"/>
      <x:c r="G643" s="71" t="n">
        <x:f>IF(A643="",0,E643*F643)</x:f>
        <x:v>0</x:v>
      </x:c>
      <x:c r="H643" s="62"/>
      <x:c r="I643" s="62"/>
      <x:c r="J643" s="62"/>
      <x:c r="K643" s="62"/>
    </x:row>
    <x:row r="644">
      <x:c r="A644" s="66"/>
      <x:c r="B644" s="62"/>
      <x:c r="C644" s="62"/>
      <x:c r="D644" s="62"/>
      <x:c r="E644" s="68"/>
      <x:c r="F644" s="75"/>
      <x:c r="G644" s="71" t="n">
        <x:f>IF(A644="",0,E644*F644)</x:f>
        <x:v>0</x:v>
      </x:c>
      <x:c r="H644" s="62"/>
      <x:c r="I644" s="62"/>
      <x:c r="J644" s="62"/>
      <x:c r="K644" s="62"/>
    </x:row>
    <x:row r="645">
      <x:c r="A645" s="66"/>
      <x:c r="B645" s="62"/>
      <x:c r="C645" s="62"/>
      <x:c r="D645" s="62"/>
      <x:c r="E645" s="68"/>
      <x:c r="F645" s="75"/>
      <x:c r="G645" s="71" t="n">
        <x:f>IF(A645="",0,E645*F645)</x:f>
        <x:v>0</x:v>
      </x:c>
      <x:c r="H645" s="62"/>
      <x:c r="I645" s="62"/>
      <x:c r="J645" s="62"/>
      <x:c r="K645" s="62"/>
    </x:row>
    <x:row r="646">
      <x:c r="A646" s="66"/>
      <x:c r="B646" s="62"/>
      <x:c r="C646" s="62"/>
      <x:c r="D646" s="62"/>
      <x:c r="E646" s="68"/>
      <x:c r="F646" s="75"/>
      <x:c r="G646" s="71" t="n">
        <x:f>IF(A646="",0,E646*F646)</x:f>
        <x:v>0</x:v>
      </x:c>
      <x:c r="H646" s="62"/>
      <x:c r="I646" s="62"/>
      <x:c r="J646" s="62"/>
      <x:c r="K646" s="62"/>
    </x:row>
    <x:row r="647">
      <x:c r="A647" s="66"/>
      <x:c r="B647" s="62"/>
      <x:c r="C647" s="62"/>
      <x:c r="D647" s="62"/>
      <x:c r="E647" s="68"/>
      <x:c r="F647" s="75"/>
      <x:c r="G647" s="71" t="n">
        <x:f>IF(A647="",0,E647*F647)</x:f>
        <x:v>0</x:v>
      </x:c>
      <x:c r="H647" s="62"/>
      <x:c r="I647" s="62"/>
      <x:c r="J647" s="62"/>
      <x:c r="K647" s="62"/>
    </x:row>
    <x:row r="648">
      <x:c r="A648" s="66"/>
      <x:c r="B648" s="62"/>
      <x:c r="C648" s="62"/>
      <x:c r="D648" s="62"/>
      <x:c r="E648" s="68"/>
      <x:c r="F648" s="75"/>
      <x:c r="G648" s="71" t="n">
        <x:f>IF(A648="",0,E648*F648)</x:f>
        <x:v>0</x:v>
      </x:c>
      <x:c r="H648" s="62"/>
      <x:c r="I648" s="62"/>
      <x:c r="J648" s="62"/>
      <x:c r="K648" s="62"/>
    </x:row>
    <x:row r="649">
      <x:c r="A649" s="66"/>
      <x:c r="B649" s="62"/>
      <x:c r="C649" s="62"/>
      <x:c r="D649" s="62"/>
      <x:c r="E649" s="68"/>
      <x:c r="F649" s="75"/>
      <x:c r="G649" s="71" t="n">
        <x:f>IF(A649="",0,E649*F649)</x:f>
        <x:v>0</x:v>
      </x:c>
      <x:c r="H649" s="62"/>
      <x:c r="I649" s="62"/>
      <x:c r="J649" s="62"/>
      <x:c r="K649" s="62"/>
    </x:row>
    <x:row r="650">
      <x:c r="A650" s="66"/>
      <x:c r="B650" s="62"/>
      <x:c r="C650" s="62"/>
      <x:c r="D650" s="62"/>
      <x:c r="E650" s="68"/>
      <x:c r="F650" s="75"/>
      <x:c r="G650" s="71" t="n">
        <x:f>IF(A650="",0,E650*F650)</x:f>
        <x:v>0</x:v>
      </x:c>
      <x:c r="H650" s="62"/>
      <x:c r="I650" s="62"/>
      <x:c r="J650" s="62"/>
      <x:c r="K650" s="62"/>
    </x:row>
    <x:row r="651">
      <x:c r="A651" s="66"/>
      <x:c r="B651" s="62"/>
      <x:c r="C651" s="62"/>
      <x:c r="D651" s="62"/>
      <x:c r="E651" s="68"/>
      <x:c r="F651" s="75"/>
      <x:c r="G651" s="71" t="n">
        <x:f>IF(A651="",0,E651*F651)</x:f>
        <x:v>0</x:v>
      </x:c>
      <x:c r="H651" s="62"/>
      <x:c r="I651" s="62"/>
      <x:c r="J651" s="62"/>
      <x:c r="K651" s="62"/>
    </x:row>
    <x:row r="652">
      <x:c r="A652" s="66"/>
      <x:c r="B652" s="62"/>
      <x:c r="C652" s="62"/>
      <x:c r="D652" s="62"/>
      <x:c r="E652" s="68"/>
      <x:c r="F652" s="75"/>
      <x:c r="G652" s="71" t="n">
        <x:f>IF(A652="",0,E652*F652)</x:f>
        <x:v>0</x:v>
      </x:c>
      <x:c r="H652" s="62"/>
      <x:c r="I652" s="62"/>
      <x:c r="J652" s="62"/>
      <x:c r="K652" s="62"/>
    </x:row>
    <x:row r="653">
      <x:c r="A653" s="66"/>
      <x:c r="B653" s="62"/>
      <x:c r="C653" s="62"/>
      <x:c r="D653" s="62"/>
      <x:c r="E653" s="68"/>
      <x:c r="F653" s="75"/>
      <x:c r="G653" s="71" t="n">
        <x:f>IF(A653="",0,E653*F653)</x:f>
        <x:v>0</x:v>
      </x:c>
      <x:c r="H653" s="62"/>
      <x:c r="I653" s="62"/>
      <x:c r="J653" s="62"/>
      <x:c r="K653" s="62"/>
    </x:row>
    <x:row r="654">
      <x:c r="A654" s="66"/>
      <x:c r="B654" s="62"/>
      <x:c r="C654" s="62"/>
      <x:c r="D654" s="62"/>
      <x:c r="E654" s="68"/>
      <x:c r="F654" s="75"/>
      <x:c r="G654" s="71" t="n">
        <x:f>IF(A654="",0,E654*F654)</x:f>
        <x:v>0</x:v>
      </x:c>
      <x:c r="H654" s="62"/>
      <x:c r="I654" s="62"/>
      <x:c r="J654" s="62"/>
      <x:c r="K654" s="62"/>
    </x:row>
    <x:row r="655">
      <x:c r="A655" s="66"/>
      <x:c r="B655" s="62"/>
      <x:c r="C655" s="62"/>
      <x:c r="D655" s="62"/>
      <x:c r="E655" s="68"/>
      <x:c r="F655" s="75"/>
      <x:c r="G655" s="71" t="n">
        <x:f>IF(A655="",0,E655*F655)</x:f>
        <x:v>0</x:v>
      </x:c>
      <x:c r="H655" s="62"/>
      <x:c r="I655" s="62"/>
      <x:c r="J655" s="62"/>
      <x:c r="K655" s="62"/>
    </x:row>
    <x:row r="656">
      <x:c r="A656" s="66"/>
      <x:c r="B656" s="62"/>
      <x:c r="C656" s="62"/>
      <x:c r="D656" s="62"/>
      <x:c r="E656" s="68"/>
      <x:c r="F656" s="75"/>
      <x:c r="G656" s="71" t="n">
        <x:f>IF(A656="",0,E656*F656)</x:f>
        <x:v>0</x:v>
      </x:c>
      <x:c r="H656" s="62"/>
      <x:c r="I656" s="62"/>
      <x:c r="J656" s="62"/>
      <x:c r="K656" s="62"/>
    </x:row>
    <x:row r="657">
      <x:c r="A657" s="66"/>
      <x:c r="B657" s="62"/>
      <x:c r="C657" s="62"/>
      <x:c r="D657" s="62"/>
      <x:c r="E657" s="68"/>
      <x:c r="F657" s="75"/>
      <x:c r="G657" s="71" t="n">
        <x:f>IF(A657="",0,E657*F657)</x:f>
        <x:v>0</x:v>
      </x:c>
      <x:c r="H657" s="62"/>
      <x:c r="I657" s="62"/>
      <x:c r="J657" s="62"/>
      <x:c r="K657" s="62"/>
    </x:row>
    <x:row r="658">
      <x:c r="A658" s="66"/>
      <x:c r="B658" s="62"/>
      <x:c r="C658" s="62"/>
      <x:c r="D658" s="62"/>
      <x:c r="E658" s="68"/>
      <x:c r="F658" s="75"/>
      <x:c r="G658" s="71" t="n">
        <x:f>IF(A658="",0,E658*F658)</x:f>
        <x:v>0</x:v>
      </x:c>
      <x:c r="H658" s="62"/>
      <x:c r="I658" s="62"/>
      <x:c r="J658" s="62"/>
      <x:c r="K658" s="62"/>
    </x:row>
    <x:row r="659">
      <x:c r="A659" s="66"/>
      <x:c r="B659" s="62"/>
      <x:c r="C659" s="62"/>
      <x:c r="D659" s="62"/>
      <x:c r="E659" s="68"/>
      <x:c r="F659" s="75"/>
      <x:c r="G659" s="71" t="n">
        <x:f>IF(A659="",0,E659*F659)</x:f>
        <x:v>0</x:v>
      </x:c>
      <x:c r="H659" s="62"/>
      <x:c r="I659" s="62"/>
      <x:c r="J659" s="62"/>
      <x:c r="K659" s="62"/>
    </x:row>
    <x:row r="660">
      <x:c r="A660" s="66"/>
      <x:c r="B660" s="62"/>
      <x:c r="C660" s="62"/>
      <x:c r="D660" s="62"/>
      <x:c r="E660" s="68"/>
      <x:c r="F660" s="75"/>
      <x:c r="G660" s="71" t="n">
        <x:f>IF(A660="",0,E660*F660)</x:f>
        <x:v>0</x:v>
      </x:c>
      <x:c r="H660" s="62"/>
      <x:c r="I660" s="62"/>
      <x:c r="J660" s="62"/>
      <x:c r="K660" s="62"/>
    </x:row>
    <x:row r="661">
      <x:c r="A661" s="66"/>
      <x:c r="B661" s="62"/>
      <x:c r="C661" s="62"/>
      <x:c r="D661" s="62"/>
      <x:c r="E661" s="68"/>
      <x:c r="F661" s="75"/>
      <x:c r="G661" s="71" t="n">
        <x:f>IF(A661="",0,E661*F661)</x:f>
        <x:v>0</x:v>
      </x:c>
      <x:c r="H661" s="62"/>
      <x:c r="I661" s="62"/>
      <x:c r="J661" s="62"/>
      <x:c r="K661" s="62"/>
    </x:row>
    <x:row r="662">
      <x:c r="A662" s="66"/>
      <x:c r="B662" s="62"/>
      <x:c r="C662" s="62"/>
      <x:c r="D662" s="62"/>
      <x:c r="E662" s="68"/>
      <x:c r="F662" s="75"/>
      <x:c r="G662" s="71" t="n">
        <x:f>IF(A662="",0,E662*F662)</x:f>
        <x:v>0</x:v>
      </x:c>
      <x:c r="H662" s="62"/>
      <x:c r="I662" s="62"/>
      <x:c r="J662" s="62"/>
      <x:c r="K662" s="62"/>
    </x:row>
    <x:row r="663">
      <x:c r="A663" s="66"/>
      <x:c r="B663" s="62"/>
      <x:c r="C663" s="62"/>
      <x:c r="D663" s="62"/>
      <x:c r="E663" s="68"/>
      <x:c r="F663" s="75"/>
      <x:c r="G663" s="71" t="n">
        <x:f>IF(A663="",0,E663*F663)</x:f>
        <x:v>0</x:v>
      </x:c>
      <x:c r="H663" s="62"/>
      <x:c r="I663" s="62"/>
      <x:c r="J663" s="62"/>
      <x:c r="K663" s="62"/>
    </x:row>
    <x:row r="664">
      <x:c r="A664" s="66"/>
      <x:c r="B664" s="62"/>
      <x:c r="C664" s="62"/>
      <x:c r="D664" s="62"/>
      <x:c r="E664" s="68"/>
      <x:c r="F664" s="75"/>
      <x:c r="G664" s="71" t="n">
        <x:f>IF(A664="",0,E664*F664)</x:f>
        <x:v>0</x:v>
      </x:c>
      <x:c r="H664" s="62"/>
      <x:c r="I664" s="62"/>
      <x:c r="J664" s="62"/>
      <x:c r="K664" s="62"/>
    </x:row>
    <x:row r="665">
      <x:c r="A665" s="66"/>
      <x:c r="B665" s="62"/>
      <x:c r="C665" s="62"/>
      <x:c r="D665" s="62"/>
      <x:c r="E665" s="68"/>
      <x:c r="F665" s="75"/>
      <x:c r="G665" s="71" t="n">
        <x:f>IF(A665="",0,E665*F665)</x:f>
        <x:v>0</x:v>
      </x:c>
      <x:c r="H665" s="62"/>
      <x:c r="I665" s="62"/>
      <x:c r="J665" s="62"/>
      <x:c r="K665" s="62"/>
    </x:row>
    <x:row r="666">
      <x:c r="A666" s="66"/>
      <x:c r="B666" s="62"/>
      <x:c r="C666" s="62"/>
      <x:c r="D666" s="62"/>
      <x:c r="E666" s="68"/>
      <x:c r="F666" s="75"/>
      <x:c r="G666" s="71" t="n">
        <x:f>IF(A666="",0,E666*F666)</x:f>
        <x:v>0</x:v>
      </x:c>
      <x:c r="H666" s="62"/>
      <x:c r="I666" s="62"/>
      <x:c r="J666" s="62"/>
      <x:c r="K666" s="62"/>
    </x:row>
    <x:row r="667">
      <x:c r="A667" s="66"/>
      <x:c r="B667" s="62"/>
      <x:c r="C667" s="62"/>
      <x:c r="D667" s="62"/>
      <x:c r="E667" s="68"/>
      <x:c r="F667" s="75"/>
      <x:c r="G667" s="71" t="n">
        <x:f>IF(A667="",0,E667*F667)</x:f>
        <x:v>0</x:v>
      </x:c>
      <x:c r="H667" s="62"/>
      <x:c r="I667" s="62"/>
      <x:c r="J667" s="62"/>
      <x:c r="K667" s="62"/>
    </x:row>
    <x:row r="668">
      <x:c r="A668" s="66"/>
      <x:c r="B668" s="62"/>
      <x:c r="C668" s="62"/>
      <x:c r="D668" s="62"/>
      <x:c r="E668" s="68"/>
      <x:c r="F668" s="75"/>
      <x:c r="G668" s="71" t="n">
        <x:f>IF(A668="",0,E668*F668)</x:f>
        <x:v>0</x:v>
      </x:c>
      <x:c r="H668" s="62"/>
      <x:c r="I668" s="62"/>
      <x:c r="J668" s="62"/>
      <x:c r="K668" s="62"/>
    </x:row>
    <x:row r="669">
      <x:c r="A669" s="66"/>
      <x:c r="B669" s="62"/>
      <x:c r="C669" s="62"/>
      <x:c r="D669" s="62"/>
      <x:c r="E669" s="68"/>
      <x:c r="F669" s="75"/>
      <x:c r="G669" s="71" t="n">
        <x:f>IF(A669="",0,E669*F669)</x:f>
        <x:v>0</x:v>
      </x:c>
      <x:c r="H669" s="62"/>
      <x:c r="I669" s="62"/>
      <x:c r="J669" s="62"/>
      <x:c r="K669" s="62"/>
    </x:row>
    <x:row r="670">
      <x:c r="A670" s="66"/>
      <x:c r="B670" s="62"/>
      <x:c r="C670" s="62"/>
      <x:c r="D670" s="62"/>
      <x:c r="E670" s="68"/>
      <x:c r="F670" s="75"/>
      <x:c r="G670" s="71" t="n">
        <x:f>IF(A670="",0,E670*F670)</x:f>
        <x:v>0</x:v>
      </x:c>
      <x:c r="H670" s="62"/>
      <x:c r="I670" s="62"/>
      <x:c r="J670" s="62"/>
      <x:c r="K670" s="62"/>
    </x:row>
    <x:row r="671">
      <x:c r="A671" s="66"/>
      <x:c r="B671" s="62"/>
      <x:c r="C671" s="62"/>
      <x:c r="D671" s="62"/>
      <x:c r="E671" s="68"/>
      <x:c r="F671" s="75"/>
      <x:c r="G671" s="71" t="n">
        <x:f>IF(A671="",0,E671*F671)</x:f>
        <x:v>0</x:v>
      </x:c>
      <x:c r="H671" s="62"/>
      <x:c r="I671" s="62"/>
      <x:c r="J671" s="62"/>
      <x:c r="K671" s="62"/>
    </x:row>
    <x:row r="672">
      <x:c r="A672" s="66"/>
      <x:c r="B672" s="62"/>
      <x:c r="C672" s="62"/>
      <x:c r="D672" s="62"/>
      <x:c r="E672" s="68"/>
      <x:c r="F672" s="75"/>
      <x:c r="G672" s="71" t="n">
        <x:f>IF(A672="",0,E672*F672)</x:f>
        <x:v>0</x:v>
      </x:c>
      <x:c r="H672" s="62"/>
      <x:c r="I672" s="62"/>
      <x:c r="J672" s="62"/>
      <x:c r="K672" s="62"/>
    </x:row>
    <x:row r="673">
      <x:c r="A673" s="66"/>
      <x:c r="B673" s="62"/>
      <x:c r="C673" s="62"/>
      <x:c r="D673" s="62"/>
      <x:c r="E673" s="68"/>
      <x:c r="F673" s="75"/>
      <x:c r="G673" s="71" t="n">
        <x:f>IF(A673="",0,E673*F673)</x:f>
        <x:v>0</x:v>
      </x:c>
      <x:c r="H673" s="62"/>
      <x:c r="I673" s="62"/>
      <x:c r="J673" s="62"/>
      <x:c r="K673" s="62"/>
    </x:row>
    <x:row r="674">
      <x:c r="A674" s="66"/>
      <x:c r="B674" s="62"/>
      <x:c r="C674" s="62"/>
      <x:c r="D674" s="62"/>
      <x:c r="E674" s="68"/>
      <x:c r="F674" s="75"/>
      <x:c r="G674" s="71" t="n">
        <x:f>IF(A674="",0,E674*F674)</x:f>
        <x:v>0</x:v>
      </x:c>
      <x:c r="H674" s="62"/>
      <x:c r="I674" s="62"/>
      <x:c r="J674" s="62"/>
      <x:c r="K674" s="62"/>
    </x:row>
    <x:row r="675">
      <x:c r="A675" s="66"/>
      <x:c r="B675" s="62"/>
      <x:c r="C675" s="62"/>
      <x:c r="D675" s="62"/>
      <x:c r="E675" s="68"/>
      <x:c r="F675" s="75"/>
      <x:c r="G675" s="71" t="n">
        <x:f>IF(A675="",0,E675*F675)</x:f>
        <x:v>0</x:v>
      </x:c>
      <x:c r="H675" s="62"/>
      <x:c r="I675" s="62"/>
      <x:c r="J675" s="62"/>
      <x:c r="K675" s="62"/>
    </x:row>
    <x:row r="676">
      <x:c r="A676" s="66"/>
      <x:c r="B676" s="62"/>
      <x:c r="C676" s="62"/>
      <x:c r="D676" s="62"/>
      <x:c r="E676" s="68"/>
      <x:c r="F676" s="75"/>
      <x:c r="G676" s="71" t="n">
        <x:f>IF(A676="",0,E676*F676)</x:f>
        <x:v>0</x:v>
      </x:c>
      <x:c r="H676" s="62"/>
      <x:c r="I676" s="62"/>
      <x:c r="J676" s="62"/>
      <x:c r="K676" s="62"/>
    </x:row>
    <x:row r="677">
      <x:c r="A677" s="66"/>
      <x:c r="B677" s="62"/>
      <x:c r="C677" s="62"/>
      <x:c r="D677" s="62"/>
      <x:c r="E677" s="68"/>
      <x:c r="F677" s="75"/>
      <x:c r="G677" s="71" t="n">
        <x:f>IF(A677="",0,E677*F677)</x:f>
        <x:v>0</x:v>
      </x:c>
      <x:c r="H677" s="62"/>
      <x:c r="I677" s="62"/>
      <x:c r="J677" s="62"/>
      <x:c r="K677" s="62"/>
    </x:row>
    <x:row r="678">
      <x:c r="A678" s="66"/>
      <x:c r="B678" s="62"/>
      <x:c r="C678" s="62"/>
      <x:c r="D678" s="62"/>
      <x:c r="E678" s="68"/>
      <x:c r="F678" s="75"/>
      <x:c r="G678" s="71" t="n">
        <x:f>IF(A678="",0,E678*F678)</x:f>
        <x:v>0</x:v>
      </x:c>
      <x:c r="H678" s="62"/>
      <x:c r="I678" s="62"/>
      <x:c r="J678" s="62"/>
      <x:c r="K678" s="62"/>
    </x:row>
    <x:row r="679">
      <x:c r="A679" s="66"/>
      <x:c r="B679" s="62"/>
      <x:c r="C679" s="62"/>
      <x:c r="D679" s="62"/>
      <x:c r="E679" s="68"/>
      <x:c r="F679" s="75"/>
      <x:c r="G679" s="71" t="n">
        <x:f>IF(A679="",0,E679*F679)</x:f>
        <x:v>0</x:v>
      </x:c>
      <x:c r="H679" s="62"/>
      <x:c r="I679" s="62"/>
      <x:c r="J679" s="62"/>
      <x:c r="K679" s="62"/>
    </x:row>
    <x:row r="680">
      <x:c r="A680" s="66"/>
      <x:c r="B680" s="62"/>
      <x:c r="C680" s="62"/>
      <x:c r="D680" s="62"/>
      <x:c r="E680" s="68"/>
      <x:c r="F680" s="75"/>
      <x:c r="G680" s="71" t="n">
        <x:f>IF(A680="",0,E680*F680)</x:f>
        <x:v>0</x:v>
      </x:c>
      <x:c r="H680" s="62"/>
      <x:c r="I680" s="62"/>
      <x:c r="J680" s="62"/>
      <x:c r="K680" s="62"/>
    </x:row>
    <x:row r="681">
      <x:c r="A681" s="66"/>
      <x:c r="B681" s="62"/>
      <x:c r="C681" s="62"/>
      <x:c r="D681" s="62"/>
      <x:c r="E681" s="68"/>
      <x:c r="F681" s="75"/>
      <x:c r="G681" s="71" t="n">
        <x:f>IF(A681="",0,E681*F681)</x:f>
        <x:v>0</x:v>
      </x:c>
      <x:c r="H681" s="62"/>
      <x:c r="I681" s="62"/>
      <x:c r="J681" s="62"/>
      <x:c r="K681" s="62"/>
    </x:row>
    <x:row r="682">
      <x:c r="A682" s="66"/>
      <x:c r="B682" s="62"/>
      <x:c r="C682" s="62"/>
      <x:c r="D682" s="62"/>
      <x:c r="E682" s="68"/>
      <x:c r="F682" s="75"/>
      <x:c r="G682" s="71" t="n">
        <x:f>IF(A682="",0,E682*F682)</x:f>
        <x:v>0</x:v>
      </x:c>
      <x:c r="H682" s="62"/>
      <x:c r="I682" s="62"/>
      <x:c r="J682" s="62"/>
      <x:c r="K682" s="62"/>
    </x:row>
    <x:row r="683">
      <x:c r="A683" s="66"/>
      <x:c r="B683" s="62"/>
      <x:c r="C683" s="62"/>
      <x:c r="D683" s="62"/>
      <x:c r="E683" s="68"/>
      <x:c r="F683" s="75"/>
      <x:c r="G683" s="71" t="n">
        <x:f>IF(A683="",0,E683*F683)</x:f>
        <x:v>0</x:v>
      </x:c>
      <x:c r="H683" s="62"/>
      <x:c r="I683" s="62"/>
      <x:c r="J683" s="62"/>
      <x:c r="K683" s="62"/>
    </x:row>
    <x:row r="684">
      <x:c r="A684" s="66"/>
      <x:c r="B684" s="62"/>
      <x:c r="C684" s="62"/>
      <x:c r="D684" s="62"/>
      <x:c r="E684" s="68"/>
      <x:c r="F684" s="75"/>
      <x:c r="G684" s="71" t="n">
        <x:f>IF(A684="",0,E684*F684)</x:f>
        <x:v>0</x:v>
      </x:c>
      <x:c r="H684" s="62"/>
      <x:c r="I684" s="62"/>
      <x:c r="J684" s="62"/>
      <x:c r="K684" s="62"/>
    </x:row>
    <x:row r="685">
      <x:c r="A685" s="66"/>
      <x:c r="B685" s="62"/>
      <x:c r="C685" s="62"/>
      <x:c r="D685" s="62"/>
      <x:c r="E685" s="68"/>
      <x:c r="F685" s="75"/>
      <x:c r="G685" s="71" t="n">
        <x:f>IF(A685="",0,E685*F685)</x:f>
        <x:v>0</x:v>
      </x:c>
      <x:c r="H685" s="62"/>
      <x:c r="I685" s="62"/>
      <x:c r="J685" s="62"/>
      <x:c r="K685" s="62"/>
    </x:row>
    <x:row r="686">
      <x:c r="A686" s="66"/>
      <x:c r="B686" s="62"/>
      <x:c r="C686" s="62"/>
      <x:c r="D686" s="62"/>
      <x:c r="E686" s="68"/>
      <x:c r="F686" s="75"/>
      <x:c r="G686" s="71" t="n">
        <x:f>IF(A686="",0,E686*F686)</x:f>
        <x:v>0</x:v>
      </x:c>
      <x:c r="H686" s="62"/>
      <x:c r="I686" s="62"/>
      <x:c r="J686" s="62"/>
      <x:c r="K686" s="62"/>
    </x:row>
    <x:row r="687">
      <x:c r="A687" s="66"/>
      <x:c r="B687" s="62"/>
      <x:c r="C687" s="62"/>
      <x:c r="D687" s="62"/>
      <x:c r="E687" s="68"/>
      <x:c r="F687" s="75"/>
      <x:c r="G687" s="71" t="n">
        <x:f>IF(A687="",0,E687*F687)</x:f>
        <x:v>0</x:v>
      </x:c>
      <x:c r="H687" s="62"/>
      <x:c r="I687" s="62"/>
      <x:c r="J687" s="62"/>
      <x:c r="K687" s="62"/>
    </x:row>
    <x:row r="688">
      <x:c r="A688" s="66"/>
      <x:c r="B688" s="62"/>
      <x:c r="C688" s="62"/>
      <x:c r="D688" s="62"/>
      <x:c r="E688" s="68"/>
      <x:c r="F688" s="75"/>
      <x:c r="G688" s="71" t="n">
        <x:f>IF(A688="",0,E688*F688)</x:f>
        <x:v>0</x:v>
      </x:c>
      <x:c r="H688" s="62"/>
      <x:c r="I688" s="62"/>
      <x:c r="J688" s="62"/>
      <x:c r="K688" s="62"/>
    </x:row>
    <x:row r="689">
      <x:c r="A689" s="66"/>
      <x:c r="B689" s="62"/>
      <x:c r="C689" s="62"/>
      <x:c r="D689" s="62"/>
      <x:c r="E689" s="68"/>
      <x:c r="F689" s="75"/>
      <x:c r="G689" s="71" t="n">
        <x:f>IF(A689="",0,E689*F689)</x:f>
        <x:v>0</x:v>
      </x:c>
      <x:c r="H689" s="62"/>
      <x:c r="I689" s="62"/>
      <x:c r="J689" s="62"/>
      <x:c r="K689" s="62"/>
    </x:row>
    <x:row r="690">
      <x:c r="A690" s="66"/>
      <x:c r="B690" s="62"/>
      <x:c r="C690" s="62"/>
      <x:c r="D690" s="62"/>
      <x:c r="E690" s="68"/>
      <x:c r="F690" s="75"/>
      <x:c r="G690" s="71" t="n">
        <x:f>IF(A690="",0,E690*F690)</x:f>
        <x:v>0</x:v>
      </x:c>
      <x:c r="H690" s="62"/>
      <x:c r="I690" s="62"/>
      <x:c r="J690" s="62"/>
      <x:c r="K690" s="62"/>
    </x:row>
    <x:row r="691">
      <x:c r="A691" s="66"/>
      <x:c r="B691" s="62"/>
      <x:c r="C691" s="62"/>
      <x:c r="D691" s="62"/>
      <x:c r="E691" s="68"/>
      <x:c r="F691" s="75"/>
      <x:c r="G691" s="71" t="n">
        <x:f>IF(A691="",0,E691*F691)</x:f>
        <x:v>0</x:v>
      </x:c>
      <x:c r="H691" s="62"/>
      <x:c r="I691" s="62"/>
      <x:c r="J691" s="62"/>
      <x:c r="K691" s="62"/>
    </x:row>
    <x:row r="692">
      <x:c r="A692" s="66"/>
      <x:c r="B692" s="62"/>
      <x:c r="C692" s="62"/>
      <x:c r="D692" s="62"/>
      <x:c r="E692" s="68"/>
      <x:c r="F692" s="75"/>
      <x:c r="G692" s="71" t="n">
        <x:f>IF(A692="",0,E692*F692)</x:f>
        <x:v>0</x:v>
      </x:c>
      <x:c r="H692" s="62"/>
      <x:c r="I692" s="62"/>
      <x:c r="J692" s="62"/>
      <x:c r="K692" s="62"/>
    </x:row>
    <x:row r="693">
      <x:c r="A693" s="66"/>
      <x:c r="B693" s="62"/>
      <x:c r="C693" s="62"/>
      <x:c r="D693" s="62"/>
      <x:c r="E693" s="68"/>
      <x:c r="F693" s="75"/>
      <x:c r="G693" s="71" t="n">
        <x:f>IF(A693="",0,E693*F693)</x:f>
        <x:v>0</x:v>
      </x:c>
      <x:c r="H693" s="62"/>
      <x:c r="I693" s="62"/>
      <x:c r="J693" s="62"/>
      <x:c r="K693" s="62"/>
    </x:row>
    <x:row r="694">
      <x:c r="A694" s="66"/>
      <x:c r="B694" s="62"/>
      <x:c r="C694" s="62"/>
      <x:c r="D694" s="62"/>
      <x:c r="E694" s="68"/>
      <x:c r="F694" s="75"/>
      <x:c r="G694" s="71" t="n">
        <x:f>IF(A694="",0,E694*F694)</x:f>
        <x:v>0</x:v>
      </x:c>
      <x:c r="H694" s="62"/>
      <x:c r="I694" s="62"/>
      <x:c r="J694" s="62"/>
      <x:c r="K694" s="62"/>
    </x:row>
    <x:row r="695">
      <x:c r="A695" s="66"/>
      <x:c r="B695" s="62"/>
      <x:c r="C695" s="62"/>
      <x:c r="D695" s="62"/>
      <x:c r="E695" s="68"/>
      <x:c r="F695" s="75"/>
      <x:c r="G695" s="71" t="n">
        <x:f>IF(A695="",0,E695*F695)</x:f>
        <x:v>0</x:v>
      </x:c>
      <x:c r="H695" s="62"/>
      <x:c r="I695" s="62"/>
      <x:c r="J695" s="62"/>
      <x:c r="K695" s="62"/>
    </x:row>
    <x:row r="696">
      <x:c r="A696" s="66"/>
      <x:c r="B696" s="62"/>
      <x:c r="C696" s="62"/>
      <x:c r="D696" s="62"/>
      <x:c r="E696" s="68"/>
      <x:c r="F696" s="75"/>
      <x:c r="G696" s="71" t="n">
        <x:f>IF(A696="",0,E696*F696)</x:f>
        <x:v>0</x:v>
      </x:c>
      <x:c r="H696" s="62"/>
      <x:c r="I696" s="62"/>
      <x:c r="J696" s="62"/>
      <x:c r="K696" s="62"/>
    </x:row>
    <x:row r="697">
      <x:c r="A697" s="66"/>
      <x:c r="B697" s="62"/>
      <x:c r="C697" s="62"/>
      <x:c r="D697" s="62"/>
      <x:c r="E697" s="68"/>
      <x:c r="F697" s="75"/>
      <x:c r="G697" s="71" t="n">
        <x:f>IF(A697="",0,E697*F697)</x:f>
        <x:v>0</x:v>
      </x:c>
      <x:c r="H697" s="62"/>
      <x:c r="I697" s="62"/>
      <x:c r="J697" s="62"/>
      <x:c r="K697" s="62"/>
    </x:row>
    <x:row r="698">
      <x:c r="A698" s="66"/>
      <x:c r="B698" s="62"/>
      <x:c r="C698" s="62"/>
      <x:c r="D698" s="62"/>
      <x:c r="E698" s="68"/>
      <x:c r="F698" s="75"/>
      <x:c r="G698" s="71" t="n">
        <x:f>IF(A698="",0,E698*F698)</x:f>
        <x:v>0</x:v>
      </x:c>
      <x:c r="H698" s="62"/>
      <x:c r="I698" s="62"/>
      <x:c r="J698" s="62"/>
      <x:c r="K698" s="62"/>
    </x:row>
    <x:row r="699">
      <x:c r="A699" s="66"/>
      <x:c r="B699" s="62"/>
      <x:c r="C699" s="62"/>
      <x:c r="D699" s="62"/>
      <x:c r="E699" s="68"/>
      <x:c r="F699" s="75"/>
      <x:c r="G699" s="71" t="n">
        <x:f>IF(A699="",0,E699*F699)</x:f>
        <x:v>0</x:v>
      </x:c>
      <x:c r="H699" s="62"/>
      <x:c r="I699" s="62"/>
      <x:c r="J699" s="62"/>
      <x:c r="K699" s="62"/>
    </x:row>
    <x:row r="700">
      <x:c r="A700" s="66"/>
      <x:c r="B700" s="62"/>
      <x:c r="C700" s="62"/>
      <x:c r="D700" s="62"/>
      <x:c r="E700" s="68"/>
      <x:c r="F700" s="75"/>
      <x:c r="G700" s="71" t="n">
        <x:f>IF(A700="",0,E700*F700)</x:f>
        <x:v>0</x:v>
      </x:c>
      <x:c r="H700" s="62"/>
      <x:c r="I700" s="62"/>
      <x:c r="J700" s="62"/>
      <x:c r="K700" s="62"/>
    </x:row>
    <x:row r="701">
      <x:c r="A701" s="66"/>
      <x:c r="B701" s="62"/>
      <x:c r="C701" s="62"/>
      <x:c r="D701" s="62"/>
      <x:c r="E701" s="68"/>
      <x:c r="F701" s="75"/>
      <x:c r="G701" s="71" t="n">
        <x:f>IF(A701="",0,E701*F701)</x:f>
        <x:v>0</x:v>
      </x:c>
      <x:c r="H701" s="62"/>
      <x:c r="I701" s="62"/>
      <x:c r="J701" s="62"/>
      <x:c r="K701" s="62"/>
    </x:row>
    <x:row r="702">
      <x:c r="A702" s="66"/>
      <x:c r="B702" s="62"/>
      <x:c r="C702" s="62"/>
      <x:c r="D702" s="62"/>
      <x:c r="E702" s="68"/>
      <x:c r="F702" s="75"/>
      <x:c r="G702" s="71" t="n">
        <x:f>IF(A702="",0,E702*F702)</x:f>
        <x:v>0</x:v>
      </x:c>
      <x:c r="H702" s="62"/>
      <x:c r="I702" s="62"/>
      <x:c r="J702" s="62"/>
      <x:c r="K702" s="62"/>
    </x:row>
    <x:row r="703">
      <x:c r="A703" s="66"/>
      <x:c r="B703" s="62"/>
      <x:c r="C703" s="62"/>
      <x:c r="D703" s="62"/>
      <x:c r="E703" s="68"/>
      <x:c r="F703" s="75"/>
      <x:c r="G703" s="71" t="n">
        <x:f>IF(A703="",0,E703*F703)</x:f>
        <x:v>0</x:v>
      </x:c>
      <x:c r="H703" s="62"/>
      <x:c r="I703" s="62"/>
      <x:c r="J703" s="62"/>
      <x:c r="K703" s="62"/>
    </x:row>
    <x:row r="704">
      <x:c r="A704" s="66"/>
      <x:c r="B704" s="62"/>
      <x:c r="C704" s="62"/>
      <x:c r="D704" s="62"/>
      <x:c r="E704" s="68"/>
      <x:c r="F704" s="75"/>
      <x:c r="G704" s="71" t="n">
        <x:f>IF(A704="",0,E704*F704)</x:f>
        <x:v>0</x:v>
      </x:c>
      <x:c r="H704" s="62"/>
      <x:c r="I704" s="62"/>
      <x:c r="J704" s="62"/>
      <x:c r="K704" s="62"/>
    </x:row>
    <x:row r="705">
      <x:c r="A705" s="66"/>
      <x:c r="B705" s="62"/>
      <x:c r="C705" s="62"/>
      <x:c r="D705" s="62"/>
      <x:c r="E705" s="68"/>
      <x:c r="F705" s="75"/>
      <x:c r="G705" s="71" t="n">
        <x:f>IF(A705="",0,E705*F705)</x:f>
        <x:v>0</x:v>
      </x:c>
      <x:c r="H705" s="62"/>
      <x:c r="I705" s="62"/>
      <x:c r="J705" s="62"/>
      <x:c r="K705" s="62"/>
    </x:row>
    <x:row r="706">
      <x:c r="A706" s="66"/>
      <x:c r="B706" s="62"/>
      <x:c r="C706" s="62"/>
      <x:c r="D706" s="62"/>
      <x:c r="E706" s="68"/>
      <x:c r="F706" s="75"/>
      <x:c r="G706" s="71" t="n">
        <x:f>IF(A706="",0,E706*F706)</x:f>
        <x:v>0</x:v>
      </x:c>
      <x:c r="H706" s="62"/>
      <x:c r="I706" s="62"/>
      <x:c r="J706" s="62"/>
      <x:c r="K706" s="62"/>
    </x:row>
    <x:row r="707">
      <x:c r="A707" s="66"/>
      <x:c r="B707" s="62"/>
      <x:c r="C707" s="62"/>
      <x:c r="D707" s="62"/>
      <x:c r="E707" s="68"/>
      <x:c r="F707" s="75"/>
      <x:c r="G707" s="71" t="n">
        <x:f>IF(A707="",0,E707*F707)</x:f>
        <x:v>0</x:v>
      </x:c>
      <x:c r="H707" s="62"/>
      <x:c r="I707" s="62"/>
      <x:c r="J707" s="62"/>
      <x:c r="K707" s="62"/>
    </x:row>
    <x:row r="708">
      <x:c r="A708" s="66"/>
      <x:c r="B708" s="62"/>
      <x:c r="C708" s="62"/>
      <x:c r="D708" s="62"/>
      <x:c r="E708" s="68"/>
      <x:c r="F708" s="75"/>
      <x:c r="G708" s="71" t="n">
        <x:f>IF(A708="",0,E708*F708)</x:f>
        <x:v>0</x:v>
      </x:c>
      <x:c r="H708" s="62"/>
      <x:c r="I708" s="62"/>
      <x:c r="J708" s="62"/>
      <x:c r="K708" s="62"/>
    </x:row>
    <x:row r="709">
      <x:c r="A709" s="66"/>
      <x:c r="B709" s="62"/>
      <x:c r="C709" s="62"/>
      <x:c r="D709" s="62"/>
      <x:c r="E709" s="68"/>
      <x:c r="F709" s="75"/>
      <x:c r="G709" s="71" t="n">
        <x:f>IF(A709="",0,E709*F709)</x:f>
        <x:v>0</x:v>
      </x:c>
      <x:c r="H709" s="62"/>
      <x:c r="I709" s="62"/>
      <x:c r="J709" s="62"/>
      <x:c r="K709" s="62"/>
    </x:row>
    <x:row r="710">
      <x:c r="A710" s="66"/>
      <x:c r="B710" s="62"/>
      <x:c r="C710" s="62"/>
      <x:c r="D710" s="62"/>
      <x:c r="E710" s="68"/>
      <x:c r="F710" s="75"/>
      <x:c r="G710" s="71" t="n">
        <x:f>IF(A710="",0,E710*F710)</x:f>
        <x:v>0</x:v>
      </x:c>
      <x:c r="H710" s="62"/>
      <x:c r="I710" s="62"/>
      <x:c r="J710" s="62"/>
      <x:c r="K710" s="62"/>
    </x:row>
    <x:row r="711">
      <x:c r="A711" s="66"/>
      <x:c r="B711" s="62"/>
      <x:c r="C711" s="62"/>
      <x:c r="D711" s="62"/>
      <x:c r="E711" s="68"/>
      <x:c r="F711" s="75"/>
      <x:c r="G711" s="71" t="n">
        <x:f>IF(A711="",0,E711*F711)</x:f>
        <x:v>0</x:v>
      </x:c>
      <x:c r="H711" s="62"/>
      <x:c r="I711" s="62"/>
      <x:c r="J711" s="62"/>
      <x:c r="K711" s="62"/>
    </x:row>
    <x:row r="712">
      <x:c r="A712" s="66"/>
      <x:c r="B712" s="62"/>
      <x:c r="C712" s="62"/>
      <x:c r="D712" s="62"/>
      <x:c r="E712" s="68"/>
      <x:c r="F712" s="75"/>
      <x:c r="G712" s="71" t="n">
        <x:f>IF(A712="",0,E712*F712)</x:f>
        <x:v>0</x:v>
      </x:c>
      <x:c r="H712" s="62"/>
      <x:c r="I712" s="62"/>
      <x:c r="J712" s="62"/>
      <x:c r="K712" s="62"/>
    </x:row>
    <x:row r="713">
      <x:c r="A713" s="66"/>
      <x:c r="B713" s="62"/>
      <x:c r="C713" s="62"/>
      <x:c r="D713" s="62"/>
      <x:c r="E713" s="68"/>
      <x:c r="F713" s="75"/>
      <x:c r="G713" s="71" t="n">
        <x:f>IF(A713="",0,E713*F713)</x:f>
        <x:v>0</x:v>
      </x:c>
      <x:c r="H713" s="62"/>
      <x:c r="I713" s="62"/>
      <x:c r="J713" s="62"/>
      <x:c r="K713" s="62"/>
    </x:row>
    <x:row r="714">
      <x:c r="A714" s="66"/>
      <x:c r="B714" s="62"/>
      <x:c r="C714" s="62"/>
      <x:c r="D714" s="62"/>
      <x:c r="E714" s="68"/>
      <x:c r="F714" s="75"/>
      <x:c r="G714" s="71" t="n">
        <x:f>IF(A714="",0,E714*F714)</x:f>
        <x:v>0</x:v>
      </x:c>
      <x:c r="H714" s="62"/>
      <x:c r="I714" s="62"/>
      <x:c r="J714" s="62"/>
      <x:c r="K714" s="62"/>
    </x:row>
    <x:row r="715">
      <x:c r="A715" s="66"/>
      <x:c r="B715" s="62"/>
      <x:c r="C715" s="62"/>
      <x:c r="D715" s="62"/>
      <x:c r="E715" s="68"/>
      <x:c r="F715" s="75"/>
      <x:c r="G715" s="71" t="n">
        <x:f>IF(A715="",0,E715*F715)</x:f>
        <x:v>0</x:v>
      </x:c>
      <x:c r="H715" s="62"/>
      <x:c r="I715" s="62"/>
      <x:c r="J715" s="62"/>
      <x:c r="K715" s="62"/>
    </x:row>
    <x:row r="716">
      <x:c r="A716" s="66"/>
      <x:c r="B716" s="62"/>
      <x:c r="C716" s="62"/>
      <x:c r="D716" s="62"/>
      <x:c r="E716" s="68"/>
      <x:c r="F716" s="75"/>
      <x:c r="G716" s="71" t="n">
        <x:f>IF(A716="",0,E716*F716)</x:f>
        <x:v>0</x:v>
      </x:c>
      <x:c r="H716" s="62"/>
      <x:c r="I716" s="62"/>
      <x:c r="J716" s="62"/>
      <x:c r="K716" s="62"/>
    </x:row>
    <x:row r="717">
      <x:c r="A717" s="66"/>
      <x:c r="B717" s="62"/>
      <x:c r="C717" s="62"/>
      <x:c r="D717" s="62"/>
      <x:c r="E717" s="68"/>
      <x:c r="F717" s="75"/>
      <x:c r="G717" s="71" t="n">
        <x:f>IF(A717="",0,E717*F717)</x:f>
        <x:v>0</x:v>
      </x:c>
      <x:c r="H717" s="62"/>
      <x:c r="I717" s="62"/>
      <x:c r="J717" s="62"/>
      <x:c r="K717" s="62"/>
    </x:row>
    <x:row r="718">
      <x:c r="A718" s="66"/>
      <x:c r="B718" s="62"/>
      <x:c r="C718" s="62"/>
      <x:c r="D718" s="62"/>
      <x:c r="E718" s="68"/>
      <x:c r="F718" s="75"/>
      <x:c r="G718" s="71" t="n">
        <x:f>IF(A718="",0,E718*F718)</x:f>
        <x:v>0</x:v>
      </x:c>
      <x:c r="H718" s="62"/>
      <x:c r="I718" s="62"/>
      <x:c r="J718" s="62"/>
      <x:c r="K718" s="62"/>
    </x:row>
    <x:row r="719">
      <x:c r="A719" s="66"/>
      <x:c r="B719" s="62"/>
      <x:c r="C719" s="62"/>
      <x:c r="D719" s="62"/>
      <x:c r="E719" s="68"/>
      <x:c r="F719" s="75"/>
      <x:c r="G719" s="71" t="n">
        <x:f>IF(A719="",0,E719*F719)</x:f>
        <x:v>0</x:v>
      </x:c>
      <x:c r="H719" s="62"/>
      <x:c r="I719" s="62"/>
      <x:c r="J719" s="62"/>
      <x:c r="K719" s="62"/>
    </x:row>
    <x:row r="720">
      <x:c r="A720" s="66"/>
      <x:c r="B720" s="62"/>
      <x:c r="C720" s="62"/>
      <x:c r="D720" s="62"/>
      <x:c r="E720" s="68"/>
      <x:c r="F720" s="75"/>
      <x:c r="G720" s="71" t="n">
        <x:f>IF(A720="",0,E720*F720)</x:f>
        <x:v>0</x:v>
      </x:c>
      <x:c r="H720" s="62"/>
      <x:c r="I720" s="62"/>
      <x:c r="J720" s="62"/>
      <x:c r="K720" s="62"/>
    </x:row>
    <x:row r="721">
      <x:c r="A721" s="66"/>
      <x:c r="B721" s="62"/>
      <x:c r="C721" s="62"/>
      <x:c r="D721" s="62"/>
      <x:c r="E721" s="68"/>
      <x:c r="F721" s="75"/>
      <x:c r="G721" s="71" t="n">
        <x:f>IF(A721="",0,E721*F721)</x:f>
        <x:v>0</x:v>
      </x:c>
      <x:c r="H721" s="62"/>
      <x:c r="I721" s="62"/>
      <x:c r="J721" s="62"/>
      <x:c r="K721" s="62"/>
    </x:row>
    <x:row r="722">
      <x:c r="A722" s="66"/>
      <x:c r="B722" s="62"/>
      <x:c r="C722" s="62"/>
      <x:c r="D722" s="62"/>
      <x:c r="E722" s="68"/>
      <x:c r="F722" s="75"/>
      <x:c r="G722" s="71" t="n">
        <x:f>IF(A722="",0,E722*F722)</x:f>
        <x:v>0</x:v>
      </x:c>
      <x:c r="H722" s="62"/>
      <x:c r="I722" s="62"/>
      <x:c r="J722" s="62"/>
      <x:c r="K722" s="62"/>
    </x:row>
    <x:row r="723">
      <x:c r="A723" s="66"/>
      <x:c r="B723" s="62"/>
      <x:c r="C723" s="62"/>
      <x:c r="D723" s="62"/>
      <x:c r="E723" s="68"/>
      <x:c r="F723" s="75"/>
      <x:c r="G723" s="71" t="n">
        <x:f>IF(A723="",0,E723*F723)</x:f>
        <x:v>0</x:v>
      </x:c>
      <x:c r="H723" s="62"/>
      <x:c r="I723" s="62"/>
      <x:c r="J723" s="62"/>
      <x:c r="K723" s="62"/>
    </x:row>
    <x:row r="724">
      <x:c r="A724" s="66"/>
      <x:c r="B724" s="62"/>
      <x:c r="C724" s="62"/>
      <x:c r="D724" s="62"/>
      <x:c r="E724" s="68"/>
      <x:c r="F724" s="75"/>
      <x:c r="G724" s="71" t="n">
        <x:f>IF(A724="",0,E724*F724)</x:f>
        <x:v>0</x:v>
      </x:c>
      <x:c r="H724" s="62"/>
      <x:c r="I724" s="62"/>
      <x:c r="J724" s="62"/>
      <x:c r="K724" s="62"/>
    </x:row>
    <x:row r="725">
      <x:c r="A725" s="66"/>
      <x:c r="B725" s="62"/>
      <x:c r="C725" s="62"/>
      <x:c r="D725" s="62"/>
      <x:c r="E725" s="68"/>
      <x:c r="F725" s="75"/>
      <x:c r="G725" s="71" t="n">
        <x:f>IF(A725="",0,E725*F725)</x:f>
        <x:v>0</x:v>
      </x:c>
      <x:c r="H725" s="62"/>
      <x:c r="I725" s="62"/>
      <x:c r="J725" s="62"/>
      <x:c r="K725" s="62"/>
    </x:row>
    <x:row r="726">
      <x:c r="A726" s="66"/>
      <x:c r="B726" s="62"/>
      <x:c r="C726" s="62"/>
      <x:c r="D726" s="62"/>
      <x:c r="E726" s="68"/>
      <x:c r="F726" s="75"/>
      <x:c r="G726" s="71" t="n">
        <x:f>IF(A726="",0,E726*F726)</x:f>
        <x:v>0</x:v>
      </x:c>
      <x:c r="H726" s="62"/>
      <x:c r="I726" s="62"/>
      <x:c r="J726" s="62"/>
      <x:c r="K726" s="62"/>
    </x:row>
    <x:row r="727">
      <x:c r="A727" s="66"/>
      <x:c r="B727" s="62"/>
      <x:c r="C727" s="62"/>
      <x:c r="D727" s="62"/>
      <x:c r="E727" s="68"/>
      <x:c r="F727" s="75"/>
      <x:c r="G727" s="71" t="n">
        <x:f>IF(A727="",0,E727*F727)</x:f>
        <x:v>0</x:v>
      </x:c>
      <x:c r="H727" s="62"/>
      <x:c r="I727" s="62"/>
      <x:c r="J727" s="62"/>
      <x:c r="K727" s="62"/>
    </x:row>
    <x:row r="728">
      <x:c r="A728" s="66"/>
      <x:c r="B728" s="62"/>
      <x:c r="C728" s="62"/>
      <x:c r="D728" s="62"/>
      <x:c r="E728" s="68"/>
      <x:c r="F728" s="75"/>
      <x:c r="G728" s="71" t="n">
        <x:f>IF(A728="",0,E728*F728)</x:f>
        <x:v>0</x:v>
      </x:c>
      <x:c r="H728" s="62"/>
      <x:c r="I728" s="62"/>
      <x:c r="J728" s="62"/>
      <x:c r="K728" s="62"/>
    </x:row>
    <x:row r="729">
      <x:c r="A729" s="66"/>
      <x:c r="B729" s="62"/>
      <x:c r="C729" s="62"/>
      <x:c r="D729" s="62"/>
      <x:c r="E729" s="68"/>
      <x:c r="F729" s="75"/>
      <x:c r="G729" s="71" t="n">
        <x:f>IF(A729="",0,E729*F729)</x:f>
        <x:v>0</x:v>
      </x:c>
      <x:c r="H729" s="62"/>
      <x:c r="I729" s="62"/>
      <x:c r="J729" s="62"/>
      <x:c r="K729" s="62"/>
    </x:row>
    <x:row r="730">
      <x:c r="A730" s="66"/>
      <x:c r="B730" s="62"/>
      <x:c r="C730" s="62"/>
      <x:c r="D730" s="62"/>
      <x:c r="E730" s="68"/>
      <x:c r="F730" s="75"/>
      <x:c r="G730" s="71" t="n">
        <x:f>IF(A730="",0,E730*F730)</x:f>
        <x:v>0</x:v>
      </x:c>
      <x:c r="H730" s="62"/>
      <x:c r="I730" s="62"/>
      <x:c r="J730" s="62"/>
      <x:c r="K730" s="62"/>
    </x:row>
    <x:row r="731">
      <x:c r="A731" s="66"/>
      <x:c r="B731" s="62"/>
      <x:c r="C731" s="62"/>
      <x:c r="D731" s="62"/>
      <x:c r="E731" s="68"/>
      <x:c r="F731" s="75"/>
      <x:c r="G731" s="71" t="n">
        <x:f>IF(A731="",0,E731*F731)</x:f>
        <x:v>0</x:v>
      </x:c>
      <x:c r="H731" s="62"/>
      <x:c r="I731" s="62"/>
      <x:c r="J731" s="62"/>
      <x:c r="K731" s="62"/>
    </x:row>
    <x:row r="732">
      <x:c r="A732" s="66"/>
      <x:c r="B732" s="62"/>
      <x:c r="C732" s="62"/>
      <x:c r="D732" s="62"/>
      <x:c r="E732" s="68"/>
      <x:c r="F732" s="75"/>
      <x:c r="G732" s="71" t="n">
        <x:f>IF(A732="",0,E732*F732)</x:f>
        <x:v>0</x:v>
      </x:c>
      <x:c r="H732" s="62"/>
      <x:c r="I732" s="62"/>
      <x:c r="J732" s="62"/>
      <x:c r="K732" s="62"/>
    </x:row>
    <x:row r="733">
      <x:c r="A733" s="66"/>
      <x:c r="B733" s="62"/>
      <x:c r="C733" s="62"/>
      <x:c r="D733" s="62"/>
      <x:c r="E733" s="68"/>
      <x:c r="F733" s="75"/>
      <x:c r="G733" s="71" t="n">
        <x:f>IF(A733="",0,E733*F733)</x:f>
        <x:v>0</x:v>
      </x:c>
      <x:c r="H733" s="62"/>
      <x:c r="I733" s="62"/>
      <x:c r="J733" s="62"/>
      <x:c r="K733" s="62"/>
    </x:row>
    <x:row r="734">
      <x:c r="A734" s="66"/>
      <x:c r="B734" s="62"/>
      <x:c r="C734" s="62"/>
      <x:c r="D734" s="62"/>
      <x:c r="E734" s="68"/>
      <x:c r="F734" s="75"/>
      <x:c r="G734" s="71" t="n">
        <x:f>IF(A734="",0,E734*F734)</x:f>
        <x:v>0</x:v>
      </x:c>
      <x:c r="H734" s="62"/>
      <x:c r="I734" s="62"/>
      <x:c r="J734" s="62"/>
      <x:c r="K734" s="62"/>
    </x:row>
    <x:row r="735">
      <x:c r="A735" s="66"/>
      <x:c r="B735" s="62"/>
      <x:c r="C735" s="62"/>
      <x:c r="D735" s="62"/>
      <x:c r="E735" s="68"/>
      <x:c r="F735" s="75"/>
      <x:c r="G735" s="71" t="n">
        <x:f>IF(A735="",0,E735*F735)</x:f>
        <x:v>0</x:v>
      </x:c>
      <x:c r="H735" s="62"/>
      <x:c r="I735" s="62"/>
      <x:c r="J735" s="62"/>
      <x:c r="K735" s="62"/>
    </x:row>
    <x:row r="736">
      <x:c r="A736" s="66"/>
      <x:c r="B736" s="62"/>
      <x:c r="C736" s="62"/>
      <x:c r="D736" s="62"/>
      <x:c r="E736" s="68"/>
      <x:c r="F736" s="75"/>
      <x:c r="G736" s="71" t="n">
        <x:f>IF(A736="",0,E736*F736)</x:f>
        <x:v>0</x:v>
      </x:c>
      <x:c r="H736" s="62"/>
      <x:c r="I736" s="62"/>
      <x:c r="J736" s="62"/>
      <x:c r="K736" s="62"/>
    </x:row>
    <x:row r="737">
      <x:c r="A737" s="66"/>
      <x:c r="B737" s="62"/>
      <x:c r="C737" s="62"/>
      <x:c r="D737" s="62"/>
      <x:c r="E737" s="68"/>
      <x:c r="F737" s="75"/>
      <x:c r="G737" s="71" t="n">
        <x:f>IF(A737="",0,E737*F737)</x:f>
        <x:v>0</x:v>
      </x:c>
      <x:c r="H737" s="62"/>
      <x:c r="I737" s="62"/>
      <x:c r="J737" s="62"/>
      <x:c r="K737" s="62"/>
    </x:row>
    <x:row r="738">
      <x:c r="A738" s="66"/>
      <x:c r="B738" s="62"/>
      <x:c r="C738" s="62"/>
      <x:c r="D738" s="62"/>
      <x:c r="E738" s="68"/>
      <x:c r="F738" s="75"/>
      <x:c r="G738" s="71" t="n">
        <x:f>IF(A738="",0,E738*F738)</x:f>
        <x:v>0</x:v>
      </x:c>
      <x:c r="H738" s="62"/>
      <x:c r="I738" s="62"/>
      <x:c r="J738" s="62"/>
      <x:c r="K738" s="62"/>
    </x:row>
    <x:row r="739">
      <x:c r="A739" s="66"/>
      <x:c r="B739" s="62"/>
      <x:c r="C739" s="62"/>
      <x:c r="D739" s="62"/>
      <x:c r="E739" s="68"/>
      <x:c r="F739" s="75"/>
      <x:c r="G739" s="71" t="n">
        <x:f>IF(A739="",0,E739*F739)</x:f>
        <x:v>0</x:v>
      </x:c>
      <x:c r="H739" s="62"/>
      <x:c r="I739" s="62"/>
      <x:c r="J739" s="62"/>
      <x:c r="K739" s="62"/>
    </x:row>
    <x:row r="740">
      <x:c r="A740" s="66"/>
      <x:c r="B740" s="62"/>
      <x:c r="C740" s="62"/>
      <x:c r="D740" s="62"/>
      <x:c r="E740" s="68"/>
      <x:c r="F740" s="75"/>
      <x:c r="G740" s="71" t="n">
        <x:f>IF(A740="",0,E740*F740)</x:f>
        <x:v>0</x:v>
      </x:c>
      <x:c r="H740" s="62"/>
      <x:c r="I740" s="62"/>
      <x:c r="J740" s="62"/>
      <x:c r="K740" s="62"/>
    </x:row>
    <x:row r="741">
      <x:c r="A741" s="66"/>
      <x:c r="B741" s="62"/>
      <x:c r="C741" s="62"/>
      <x:c r="D741" s="62"/>
      <x:c r="E741" s="68"/>
      <x:c r="F741" s="75"/>
      <x:c r="G741" s="71" t="n">
        <x:f>IF(A741="",0,E741*F741)</x:f>
        <x:v>0</x:v>
      </x:c>
      <x:c r="H741" s="62"/>
      <x:c r="I741" s="62"/>
      <x:c r="J741" s="62"/>
      <x:c r="K741" s="62"/>
    </x:row>
    <x:row r="742">
      <x:c r="A742" s="66"/>
      <x:c r="B742" s="62"/>
      <x:c r="C742" s="62"/>
      <x:c r="D742" s="62"/>
      <x:c r="E742" s="68"/>
      <x:c r="F742" s="75"/>
      <x:c r="G742" s="71" t="n">
        <x:f>IF(A742="",0,E742*F742)</x:f>
        <x:v>0</x:v>
      </x:c>
      <x:c r="H742" s="62"/>
      <x:c r="I742" s="62"/>
      <x:c r="J742" s="62"/>
      <x:c r="K742" s="62"/>
    </x:row>
    <x:row r="743">
      <x:c r="A743" s="66"/>
      <x:c r="B743" s="62"/>
      <x:c r="C743" s="62"/>
      <x:c r="D743" s="62"/>
      <x:c r="E743" s="68"/>
      <x:c r="F743" s="75"/>
      <x:c r="G743" s="71" t="n">
        <x:f>IF(A743="",0,E743*F743)</x:f>
        <x:v>0</x:v>
      </x:c>
      <x:c r="H743" s="62"/>
      <x:c r="I743" s="62"/>
      <x:c r="J743" s="62"/>
      <x:c r="K743" s="62"/>
    </x:row>
    <x:row r="744">
      <x:c r="A744" s="66"/>
      <x:c r="B744" s="62"/>
      <x:c r="C744" s="62"/>
      <x:c r="D744" s="62"/>
      <x:c r="E744" s="68"/>
      <x:c r="F744" s="75"/>
      <x:c r="G744" s="71" t="n">
        <x:f>IF(A744="",0,E744*F744)</x:f>
        <x:v>0</x:v>
      </x:c>
      <x:c r="H744" s="62"/>
      <x:c r="I744" s="62"/>
      <x:c r="J744" s="62"/>
      <x:c r="K744" s="62"/>
    </x:row>
    <x:row r="745">
      <x:c r="A745" s="66"/>
      <x:c r="B745" s="62"/>
      <x:c r="C745" s="62"/>
      <x:c r="D745" s="62"/>
      <x:c r="E745" s="68"/>
      <x:c r="F745" s="75"/>
      <x:c r="G745" s="71" t="n">
        <x:f>IF(A745="",0,E745*F745)</x:f>
        <x:v>0</x:v>
      </x:c>
      <x:c r="H745" s="62"/>
      <x:c r="I745" s="62"/>
      <x:c r="J745" s="62"/>
      <x:c r="K745" s="62"/>
    </x:row>
    <x:row r="746">
      <x:c r="A746" s="66"/>
      <x:c r="B746" s="62"/>
      <x:c r="C746" s="62"/>
      <x:c r="D746" s="62"/>
      <x:c r="E746" s="68"/>
      <x:c r="F746" s="75"/>
      <x:c r="G746" s="71" t="n">
        <x:f>IF(A746="",0,E746*F746)</x:f>
        <x:v>0</x:v>
      </x:c>
      <x:c r="H746" s="62"/>
      <x:c r="I746" s="62"/>
      <x:c r="J746" s="62"/>
      <x:c r="K746" s="62"/>
    </x:row>
    <x:row r="747">
      <x:c r="A747" s="66"/>
      <x:c r="B747" s="62"/>
      <x:c r="C747" s="62"/>
      <x:c r="D747" s="62"/>
      <x:c r="E747" s="68"/>
      <x:c r="F747" s="75"/>
      <x:c r="G747" s="71" t="n">
        <x:f>IF(A747="",0,E747*F747)</x:f>
        <x:v>0</x:v>
      </x:c>
      <x:c r="H747" s="62"/>
      <x:c r="I747" s="62"/>
      <x:c r="J747" s="62"/>
      <x:c r="K747" s="62"/>
    </x:row>
    <x:row r="748">
      <x:c r="A748" s="66"/>
      <x:c r="B748" s="62"/>
      <x:c r="C748" s="62"/>
      <x:c r="D748" s="62"/>
      <x:c r="E748" s="68"/>
      <x:c r="F748" s="75"/>
      <x:c r="G748" s="71" t="n">
        <x:f>IF(A748="",0,E748*F748)</x:f>
        <x:v>0</x:v>
      </x:c>
      <x:c r="H748" s="62"/>
      <x:c r="I748" s="62"/>
      <x:c r="J748" s="62"/>
      <x:c r="K748" s="62"/>
    </x:row>
    <x:row r="749">
      <x:c r="A749" s="66"/>
      <x:c r="B749" s="62"/>
      <x:c r="C749" s="62"/>
      <x:c r="D749" s="62"/>
      <x:c r="E749" s="68"/>
      <x:c r="F749" s="75"/>
      <x:c r="G749" s="71" t="n">
        <x:f>IF(A749="",0,E749*F749)</x:f>
        <x:v>0</x:v>
      </x:c>
      <x:c r="H749" s="62"/>
      <x:c r="I749" s="62"/>
      <x:c r="J749" s="62"/>
      <x:c r="K749" s="62"/>
    </x:row>
    <x:row r="750">
      <x:c r="A750" s="66"/>
      <x:c r="B750" s="62"/>
      <x:c r="C750" s="62"/>
      <x:c r="D750" s="62"/>
      <x:c r="E750" s="68"/>
      <x:c r="F750" s="75"/>
      <x:c r="G750" s="71" t="n">
        <x:f>IF(A750="",0,E750*F750)</x:f>
        <x:v>0</x:v>
      </x:c>
      <x:c r="H750" s="62"/>
      <x:c r="I750" s="62"/>
      <x:c r="J750" s="62"/>
      <x:c r="K750" s="62"/>
    </x:row>
    <x:row r="751">
      <x:c r="A751" s="66"/>
      <x:c r="B751" s="62"/>
      <x:c r="C751" s="62"/>
      <x:c r="D751" s="62"/>
      <x:c r="E751" s="68"/>
      <x:c r="F751" s="75"/>
      <x:c r="G751" s="71" t="n">
        <x:f>IF(A751="",0,E751*F751)</x:f>
        <x:v>0</x:v>
      </x:c>
      <x:c r="H751" s="62"/>
      <x:c r="I751" s="62"/>
      <x:c r="J751" s="62"/>
      <x:c r="K751" s="62"/>
    </x:row>
    <x:row r="752">
      <x:c r="A752" s="66"/>
      <x:c r="B752" s="62"/>
      <x:c r="C752" s="62"/>
      <x:c r="D752" s="62"/>
      <x:c r="E752" s="68"/>
      <x:c r="F752" s="75"/>
      <x:c r="G752" s="71" t="n">
        <x:f>IF(A752="",0,E752*F752)</x:f>
        <x:v>0</x:v>
      </x:c>
      <x:c r="H752" s="62"/>
      <x:c r="I752" s="62"/>
      <x:c r="J752" s="62"/>
      <x:c r="K752" s="62"/>
    </x:row>
    <x:row r="753">
      <x:c r="A753" s="66"/>
      <x:c r="B753" s="62"/>
      <x:c r="C753" s="62"/>
      <x:c r="D753" s="62"/>
      <x:c r="E753" s="68"/>
      <x:c r="F753" s="75"/>
      <x:c r="G753" s="71" t="n">
        <x:f>IF(A753="",0,E753*F753)</x:f>
        <x:v>0</x:v>
      </x:c>
      <x:c r="H753" s="62"/>
      <x:c r="I753" s="62"/>
      <x:c r="J753" s="62"/>
      <x:c r="K753" s="62"/>
    </x:row>
    <x:row r="754">
      <x:c r="A754" s="66"/>
      <x:c r="B754" s="62"/>
      <x:c r="C754" s="62"/>
      <x:c r="D754" s="62"/>
      <x:c r="E754" s="68"/>
      <x:c r="F754" s="75"/>
      <x:c r="G754" s="71" t="n">
        <x:f>IF(A754="",0,E754*F754)</x:f>
        <x:v>0</x:v>
      </x:c>
      <x:c r="H754" s="62"/>
      <x:c r="I754" s="62"/>
      <x:c r="J754" s="62"/>
      <x:c r="K754" s="62"/>
    </x:row>
    <x:row r="755">
      <x:c r="A755" s="66"/>
      <x:c r="B755" s="62"/>
      <x:c r="C755" s="62"/>
      <x:c r="D755" s="62"/>
      <x:c r="E755" s="68"/>
      <x:c r="F755" s="75"/>
      <x:c r="G755" s="71" t="n">
        <x:f>IF(A755="",0,E755*F755)</x:f>
        <x:v>0</x:v>
      </x:c>
      <x:c r="H755" s="62"/>
      <x:c r="I755" s="62"/>
      <x:c r="J755" s="62"/>
      <x:c r="K755" s="62"/>
    </x:row>
    <x:row r="756">
      <x:c r="A756" s="66"/>
      <x:c r="B756" s="62"/>
      <x:c r="C756" s="62"/>
      <x:c r="D756" s="62"/>
      <x:c r="E756" s="68"/>
      <x:c r="F756" s="75"/>
      <x:c r="G756" s="71" t="n">
        <x:f>IF(A756="",0,E756*F756)</x:f>
        <x:v>0</x:v>
      </x:c>
      <x:c r="H756" s="62"/>
      <x:c r="I756" s="62"/>
      <x:c r="J756" s="62"/>
      <x:c r="K756" s="62"/>
    </x:row>
    <x:row r="757">
      <x:c r="A757" s="66"/>
      <x:c r="B757" s="62"/>
      <x:c r="C757" s="62"/>
      <x:c r="D757" s="62"/>
      <x:c r="E757" s="68"/>
      <x:c r="F757" s="75"/>
      <x:c r="G757" s="71" t="n">
        <x:f>IF(A757="",0,E757*F757)</x:f>
        <x:v>0</x:v>
      </x:c>
      <x:c r="H757" s="62"/>
      <x:c r="I757" s="62"/>
      <x:c r="J757" s="62"/>
      <x:c r="K757" s="62"/>
    </x:row>
    <x:row r="758">
      <x:c r="A758" s="66"/>
      <x:c r="B758" s="62"/>
      <x:c r="C758" s="62"/>
      <x:c r="D758" s="62"/>
      <x:c r="E758" s="68"/>
      <x:c r="F758" s="75"/>
      <x:c r="G758" s="71" t="n">
        <x:f>IF(A758="",0,E758*F758)</x:f>
        <x:v>0</x:v>
      </x:c>
      <x:c r="H758" s="62"/>
      <x:c r="I758" s="62"/>
      <x:c r="J758" s="62"/>
      <x:c r="K758" s="62"/>
    </x:row>
    <x:row r="759">
      <x:c r="A759" s="66"/>
      <x:c r="B759" s="62"/>
      <x:c r="C759" s="62"/>
      <x:c r="D759" s="62"/>
      <x:c r="E759" s="68"/>
      <x:c r="F759" s="75"/>
      <x:c r="G759" s="71" t="n">
        <x:f>IF(A759="",0,E759*F759)</x:f>
        <x:v>0</x:v>
      </x:c>
      <x:c r="H759" s="62"/>
      <x:c r="I759" s="62"/>
      <x:c r="J759" s="62"/>
      <x:c r="K759" s="62"/>
    </x:row>
    <x:row r="760">
      <x:c r="A760" s="66"/>
      <x:c r="B760" s="62"/>
      <x:c r="C760" s="62"/>
      <x:c r="D760" s="62"/>
      <x:c r="E760" s="68"/>
      <x:c r="F760" s="75"/>
      <x:c r="G760" s="71" t="n">
        <x:f>IF(A760="",0,E760*F760)</x:f>
        <x:v>0</x:v>
      </x:c>
      <x:c r="H760" s="62"/>
      <x:c r="I760" s="62"/>
      <x:c r="J760" s="62"/>
      <x:c r="K760" s="62"/>
    </x:row>
    <x:row r="761">
      <x:c r="A761" s="66"/>
      <x:c r="B761" s="62"/>
      <x:c r="C761" s="62"/>
      <x:c r="D761" s="62"/>
      <x:c r="E761" s="68"/>
      <x:c r="F761" s="75"/>
      <x:c r="G761" s="71" t="n">
        <x:f>IF(A761="",0,E761*F761)</x:f>
        <x:v>0</x:v>
      </x:c>
      <x:c r="H761" s="62"/>
      <x:c r="I761" s="62"/>
      <x:c r="J761" s="62"/>
      <x:c r="K761" s="62"/>
    </x:row>
    <x:row r="762">
      <x:c r="A762" s="66"/>
      <x:c r="B762" s="62"/>
      <x:c r="C762" s="62"/>
      <x:c r="D762" s="62"/>
      <x:c r="E762" s="68"/>
      <x:c r="F762" s="75"/>
      <x:c r="G762" s="71" t="n">
        <x:f>IF(A762="",0,E762*F762)</x:f>
        <x:v>0</x:v>
      </x:c>
      <x:c r="H762" s="62"/>
      <x:c r="I762" s="62"/>
      <x:c r="J762" s="62"/>
      <x:c r="K762" s="62"/>
    </x:row>
    <x:row r="763">
      <x:c r="A763" s="66"/>
      <x:c r="B763" s="62"/>
      <x:c r="C763" s="62"/>
      <x:c r="D763" s="62"/>
      <x:c r="E763" s="68"/>
      <x:c r="F763" s="75"/>
      <x:c r="G763" s="71" t="n">
        <x:f>IF(A763="",0,E763*F763)</x:f>
        <x:v>0</x:v>
      </x:c>
      <x:c r="H763" s="62"/>
      <x:c r="I763" s="62"/>
      <x:c r="J763" s="62"/>
      <x:c r="K763" s="62"/>
    </x:row>
    <x:row r="764">
      <x:c r="A764" s="66"/>
      <x:c r="B764" s="62"/>
      <x:c r="C764" s="62"/>
      <x:c r="D764" s="62"/>
      <x:c r="E764" s="68"/>
      <x:c r="F764" s="75"/>
      <x:c r="G764" s="71" t="n">
        <x:f>IF(A764="",0,E764*F764)</x:f>
        <x:v>0</x:v>
      </x:c>
      <x:c r="H764" s="62"/>
      <x:c r="I764" s="62"/>
      <x:c r="J764" s="62"/>
      <x:c r="K764" s="62"/>
    </x:row>
    <x:row r="765">
      <x:c r="A765" s="66"/>
      <x:c r="B765" s="62"/>
      <x:c r="C765" s="62"/>
      <x:c r="D765" s="62"/>
      <x:c r="E765" s="68"/>
      <x:c r="F765" s="75"/>
      <x:c r="G765" s="71" t="n">
        <x:f>IF(A765="",0,E765*F765)</x:f>
        <x:v>0</x:v>
      </x:c>
      <x:c r="H765" s="62"/>
      <x:c r="I765" s="62"/>
      <x:c r="J765" s="62"/>
      <x:c r="K765" s="62"/>
    </x:row>
    <x:row r="766">
      <x:c r="A766" s="66"/>
      <x:c r="B766" s="62"/>
      <x:c r="C766" s="62"/>
      <x:c r="D766" s="62"/>
      <x:c r="E766" s="68"/>
      <x:c r="F766" s="75"/>
      <x:c r="G766" s="71" t="n">
        <x:f>IF(A766="",0,E766*F766)</x:f>
        <x:v>0</x:v>
      </x:c>
      <x:c r="H766" s="62"/>
      <x:c r="I766" s="62"/>
      <x:c r="J766" s="62"/>
      <x:c r="K766" s="62"/>
    </x:row>
    <x:row r="767">
      <x:c r="A767" s="66"/>
      <x:c r="B767" s="62"/>
      <x:c r="C767" s="62"/>
      <x:c r="D767" s="62"/>
      <x:c r="E767" s="68"/>
      <x:c r="F767" s="75"/>
      <x:c r="G767" s="71" t="n">
        <x:f>IF(A767="",0,E767*F767)</x:f>
        <x:v>0</x:v>
      </x:c>
      <x:c r="H767" s="62"/>
      <x:c r="I767" s="62"/>
      <x:c r="J767" s="62"/>
      <x:c r="K767" s="62"/>
    </x:row>
    <x:row r="768">
      <x:c r="A768" s="66"/>
      <x:c r="B768" s="62"/>
      <x:c r="C768" s="62"/>
      <x:c r="D768" s="62"/>
      <x:c r="E768" s="68"/>
      <x:c r="F768" s="75"/>
      <x:c r="G768" s="71" t="n">
        <x:f>IF(A768="",0,E768*F768)</x:f>
        <x:v>0</x:v>
      </x:c>
      <x:c r="H768" s="62"/>
      <x:c r="I768" s="62"/>
      <x:c r="J768" s="62"/>
      <x:c r="K768" s="62"/>
    </x:row>
    <x:row r="769">
      <x:c r="A769" s="66"/>
      <x:c r="B769" s="62"/>
      <x:c r="C769" s="62"/>
      <x:c r="D769" s="62"/>
      <x:c r="E769" s="68"/>
      <x:c r="F769" s="75"/>
      <x:c r="G769" s="71" t="n">
        <x:f>IF(A769="",0,E769*F769)</x:f>
        <x:v>0</x:v>
      </x:c>
      <x:c r="H769" s="62"/>
      <x:c r="I769" s="62"/>
      <x:c r="J769" s="62"/>
      <x:c r="K769" s="62"/>
    </x:row>
    <x:row r="770">
      <x:c r="A770" s="66"/>
      <x:c r="B770" s="62"/>
      <x:c r="C770" s="62"/>
      <x:c r="D770" s="62"/>
      <x:c r="E770" s="68"/>
      <x:c r="F770" s="75"/>
      <x:c r="G770" s="71" t="n">
        <x:f>IF(A770="",0,E770*F770)</x:f>
        <x:v>0</x:v>
      </x:c>
      <x:c r="H770" s="62"/>
      <x:c r="I770" s="62"/>
      <x:c r="J770" s="62"/>
      <x:c r="K770" s="62"/>
    </x:row>
    <x:row r="771">
      <x:c r="A771" s="66"/>
      <x:c r="B771" s="62"/>
      <x:c r="C771" s="62"/>
      <x:c r="D771" s="62"/>
      <x:c r="E771" s="68"/>
      <x:c r="F771" s="75"/>
      <x:c r="G771" s="71" t="n">
        <x:f>IF(A771="",0,E771*F771)</x:f>
        <x:v>0</x:v>
      </x:c>
      <x:c r="H771" s="62"/>
      <x:c r="I771" s="62"/>
      <x:c r="J771" s="62"/>
      <x:c r="K771" s="62"/>
    </x:row>
    <x:row r="772">
      <x:c r="A772" s="66"/>
      <x:c r="B772" s="62"/>
      <x:c r="C772" s="62"/>
      <x:c r="D772" s="62"/>
      <x:c r="E772" s="68"/>
      <x:c r="F772" s="75"/>
      <x:c r="G772" s="71" t="n">
        <x:f>IF(A772="",0,E772*F772)</x:f>
        <x:v>0</x:v>
      </x:c>
      <x:c r="H772" s="62"/>
      <x:c r="I772" s="62"/>
      <x:c r="J772" s="62"/>
      <x:c r="K772" s="62"/>
    </x:row>
    <x:row r="773">
      <x:c r="A773" s="66"/>
      <x:c r="B773" s="62"/>
      <x:c r="C773" s="62"/>
      <x:c r="D773" s="62"/>
      <x:c r="E773" s="68"/>
      <x:c r="F773" s="75"/>
      <x:c r="G773" s="71" t="n">
        <x:f>IF(A773="",0,E773*F773)</x:f>
        <x:v>0</x:v>
      </x:c>
      <x:c r="H773" s="62"/>
      <x:c r="I773" s="62"/>
      <x:c r="J773" s="62"/>
      <x:c r="K773" s="62"/>
    </x:row>
    <x:row r="774">
      <x:c r="A774" s="66"/>
      <x:c r="B774" s="62"/>
      <x:c r="C774" s="62"/>
      <x:c r="D774" s="62"/>
      <x:c r="E774" s="68"/>
      <x:c r="F774" s="75"/>
      <x:c r="G774" s="71" t="n">
        <x:f>IF(A774="",0,E774*F774)</x:f>
        <x:v>0</x:v>
      </x:c>
      <x:c r="H774" s="62"/>
      <x:c r="I774" s="62"/>
      <x:c r="J774" s="62"/>
      <x:c r="K774" s="62"/>
    </x:row>
    <x:row r="775">
      <x:c r="A775" s="66"/>
      <x:c r="B775" s="62"/>
      <x:c r="C775" s="62"/>
      <x:c r="D775" s="62"/>
      <x:c r="E775" s="68"/>
      <x:c r="F775" s="75"/>
      <x:c r="G775" s="71" t="n">
        <x:f>IF(A775="",0,E775*F775)</x:f>
        <x:v>0</x:v>
      </x:c>
      <x:c r="H775" s="62"/>
      <x:c r="I775" s="62"/>
      <x:c r="J775" s="62"/>
      <x:c r="K775" s="62"/>
    </x:row>
    <x:row r="776">
      <x:c r="A776" s="66"/>
      <x:c r="B776" s="62"/>
      <x:c r="C776" s="62"/>
      <x:c r="D776" s="62"/>
      <x:c r="E776" s="68"/>
      <x:c r="F776" s="75"/>
      <x:c r="G776" s="71" t="n">
        <x:f>IF(A776="",0,E776*F776)</x:f>
        <x:v>0</x:v>
      </x:c>
      <x:c r="H776" s="62"/>
      <x:c r="I776" s="62"/>
      <x:c r="J776" s="62"/>
      <x:c r="K776" s="62"/>
    </x:row>
    <x:row r="777">
      <x:c r="A777" s="66"/>
      <x:c r="B777" s="62"/>
      <x:c r="C777" s="62"/>
      <x:c r="D777" s="62"/>
      <x:c r="E777" s="68"/>
      <x:c r="F777" s="75"/>
      <x:c r="G777" s="71" t="n">
        <x:f>IF(A777="",0,E777*F777)</x:f>
        <x:v>0</x:v>
      </x:c>
      <x:c r="H777" s="62"/>
      <x:c r="I777" s="62"/>
      <x:c r="J777" s="62"/>
      <x:c r="K777" s="62"/>
    </x:row>
    <x:row r="778">
      <x:c r="A778" s="66"/>
      <x:c r="B778" s="62"/>
      <x:c r="C778" s="62"/>
      <x:c r="D778" s="62"/>
      <x:c r="E778" s="68"/>
      <x:c r="F778" s="75"/>
      <x:c r="G778" s="71" t="n">
        <x:f>IF(A778="",0,E778*F778)</x:f>
        <x:v>0</x:v>
      </x:c>
      <x:c r="H778" s="62"/>
      <x:c r="I778" s="62"/>
      <x:c r="J778" s="62"/>
      <x:c r="K778" s="62"/>
    </x:row>
    <x:row r="779">
      <x:c r="A779" s="66"/>
      <x:c r="B779" s="62"/>
      <x:c r="C779" s="62"/>
      <x:c r="D779" s="62"/>
      <x:c r="E779" s="68"/>
      <x:c r="F779" s="75"/>
      <x:c r="G779" s="71" t="n">
        <x:f>IF(A779="",0,E779*F779)</x:f>
        <x:v>0</x:v>
      </x:c>
      <x:c r="H779" s="62"/>
      <x:c r="I779" s="62"/>
      <x:c r="J779" s="62"/>
      <x:c r="K779" s="62"/>
    </x:row>
    <x:row r="780">
      <x:c r="A780" s="66"/>
      <x:c r="B780" s="62"/>
      <x:c r="C780" s="62"/>
      <x:c r="D780" s="62"/>
      <x:c r="E780" s="68"/>
      <x:c r="F780" s="75"/>
      <x:c r="G780" s="71" t="n">
        <x:f>IF(A780="",0,E780*F780)</x:f>
        <x:v>0</x:v>
      </x:c>
      <x:c r="H780" s="62"/>
      <x:c r="I780" s="62"/>
      <x:c r="J780" s="62"/>
      <x:c r="K780" s="62"/>
    </x:row>
    <x:row r="781">
      <x:c r="A781" s="66"/>
      <x:c r="B781" s="62"/>
      <x:c r="C781" s="62"/>
      <x:c r="D781" s="62"/>
      <x:c r="E781" s="68"/>
      <x:c r="F781" s="75"/>
      <x:c r="G781" s="71" t="n">
        <x:f>IF(A781="",0,E781*F781)</x:f>
        <x:v>0</x:v>
      </x:c>
      <x:c r="H781" s="62"/>
      <x:c r="I781" s="62"/>
      <x:c r="J781" s="62"/>
      <x:c r="K781" s="62"/>
    </x:row>
    <x:row r="782">
      <x:c r="A782" s="66"/>
      <x:c r="B782" s="62"/>
      <x:c r="C782" s="62"/>
      <x:c r="D782" s="62"/>
      <x:c r="E782" s="68"/>
      <x:c r="F782" s="75"/>
      <x:c r="G782" s="71" t="n">
        <x:f>IF(A782="",0,E782*F782)</x:f>
        <x:v>0</x:v>
      </x:c>
      <x:c r="H782" s="62"/>
      <x:c r="I782" s="62"/>
      <x:c r="J782" s="62"/>
      <x:c r="K782" s="62"/>
    </x:row>
    <x:row r="783">
      <x:c r="A783" s="66"/>
      <x:c r="B783" s="62"/>
      <x:c r="C783" s="62"/>
      <x:c r="D783" s="62"/>
      <x:c r="E783" s="68"/>
      <x:c r="F783" s="75"/>
      <x:c r="G783" s="71" t="n">
        <x:f>IF(A783="",0,E783*F783)</x:f>
        <x:v>0</x:v>
      </x:c>
      <x:c r="H783" s="62"/>
      <x:c r="I783" s="62"/>
      <x:c r="J783" s="62"/>
      <x:c r="K783" s="62"/>
    </x:row>
    <x:row r="784">
      <x:c r="A784" s="66"/>
      <x:c r="B784" s="62"/>
      <x:c r="C784" s="62"/>
      <x:c r="D784" s="62"/>
      <x:c r="E784" s="68"/>
      <x:c r="F784" s="75"/>
      <x:c r="G784" s="71" t="n">
        <x:f>IF(A784="",0,E784*F784)</x:f>
        <x:v>0</x:v>
      </x:c>
      <x:c r="H784" s="62"/>
      <x:c r="I784" s="62"/>
      <x:c r="J784" s="62"/>
      <x:c r="K784" s="62"/>
    </x:row>
    <x:row r="785">
      <x:c r="A785" s="66"/>
      <x:c r="B785" s="62"/>
      <x:c r="C785" s="62"/>
      <x:c r="D785" s="62"/>
      <x:c r="E785" s="68"/>
      <x:c r="F785" s="75"/>
      <x:c r="G785" s="71" t="n">
        <x:f>IF(A785="",0,E785*F785)</x:f>
        <x:v>0</x:v>
      </x:c>
      <x:c r="H785" s="62"/>
      <x:c r="I785" s="62"/>
      <x:c r="J785" s="62"/>
      <x:c r="K785" s="62"/>
    </x:row>
    <x:row r="786">
      <x:c r="A786" s="66"/>
      <x:c r="B786" s="62"/>
      <x:c r="C786" s="62"/>
      <x:c r="D786" s="62"/>
      <x:c r="E786" s="68"/>
      <x:c r="F786" s="75"/>
      <x:c r="G786" s="71" t="n">
        <x:f>IF(A786="",0,E786*F786)</x:f>
        <x:v>0</x:v>
      </x:c>
      <x:c r="H786" s="62"/>
      <x:c r="I786" s="62"/>
      <x:c r="J786" s="62"/>
      <x:c r="K786" s="62"/>
    </x:row>
    <x:row r="787">
      <x:c r="A787" s="66"/>
      <x:c r="B787" s="62"/>
      <x:c r="C787" s="62"/>
      <x:c r="D787" s="62"/>
      <x:c r="E787" s="68"/>
      <x:c r="F787" s="75"/>
      <x:c r="G787" s="71" t="n">
        <x:f>IF(A787="",0,E787*F787)</x:f>
        <x:v>0</x:v>
      </x:c>
      <x:c r="H787" s="62"/>
      <x:c r="I787" s="62"/>
      <x:c r="J787" s="62"/>
      <x:c r="K787" s="62"/>
    </x:row>
    <x:row r="788">
      <x:c r="A788" s="66"/>
      <x:c r="B788" s="62"/>
      <x:c r="C788" s="62"/>
      <x:c r="D788" s="62"/>
      <x:c r="E788" s="68"/>
      <x:c r="F788" s="75"/>
      <x:c r="G788" s="71" t="n">
        <x:f>IF(A788="",0,E788*F788)</x:f>
        <x:v>0</x:v>
      </x:c>
      <x:c r="H788" s="62"/>
      <x:c r="I788" s="62"/>
      <x:c r="J788" s="62"/>
      <x:c r="K788" s="62"/>
    </x:row>
    <x:row r="789">
      <x:c r="A789" s="66"/>
      <x:c r="B789" s="62"/>
      <x:c r="C789" s="62"/>
      <x:c r="D789" s="62"/>
      <x:c r="E789" s="68"/>
      <x:c r="F789" s="75"/>
      <x:c r="G789" s="71" t="n">
        <x:f>IF(A789="",0,E789*F789)</x:f>
        <x:v>0</x:v>
      </x:c>
      <x:c r="H789" s="62"/>
      <x:c r="I789" s="62"/>
      <x:c r="J789" s="62"/>
      <x:c r="K789" s="62"/>
    </x:row>
    <x:row r="790">
      <x:c r="A790" s="66"/>
      <x:c r="B790" s="62"/>
      <x:c r="C790" s="62"/>
      <x:c r="D790" s="62"/>
      <x:c r="E790" s="68"/>
      <x:c r="F790" s="75"/>
      <x:c r="G790" s="71" t="n">
        <x:f>IF(A790="",0,E790*F790)</x:f>
        <x:v>0</x:v>
      </x:c>
      <x:c r="H790" s="62"/>
      <x:c r="I790" s="62"/>
      <x:c r="J790" s="62"/>
      <x:c r="K790" s="62"/>
    </x:row>
    <x:row r="791">
      <x:c r="A791" s="66"/>
      <x:c r="B791" s="62"/>
      <x:c r="C791" s="62"/>
      <x:c r="D791" s="62"/>
      <x:c r="E791" s="68"/>
      <x:c r="F791" s="75"/>
      <x:c r="G791" s="71" t="n">
        <x:f>IF(A791="",0,E791*F791)</x:f>
        <x:v>0</x:v>
      </x:c>
      <x:c r="H791" s="62"/>
      <x:c r="I791" s="62"/>
      <x:c r="J791" s="62"/>
      <x:c r="K791" s="62"/>
    </x:row>
    <x:row r="792">
      <x:c r="A792" s="66"/>
      <x:c r="B792" s="62"/>
      <x:c r="C792" s="62"/>
      <x:c r="D792" s="62"/>
      <x:c r="E792" s="68"/>
      <x:c r="F792" s="75"/>
      <x:c r="G792" s="71" t="n">
        <x:f>IF(A792="",0,E792*F792)</x:f>
        <x:v>0</x:v>
      </x:c>
      <x:c r="H792" s="62"/>
      <x:c r="I792" s="62"/>
      <x:c r="J792" s="62"/>
      <x:c r="K792" s="62"/>
    </x:row>
    <x:row r="793">
      <x:c r="A793" s="66"/>
      <x:c r="B793" s="62"/>
      <x:c r="C793" s="62"/>
      <x:c r="D793" s="62"/>
      <x:c r="E793" s="68"/>
      <x:c r="F793" s="75"/>
      <x:c r="G793" s="71" t="n">
        <x:f>IF(A793="",0,E793*F793)</x:f>
        <x:v>0</x:v>
      </x:c>
      <x:c r="H793" s="62"/>
      <x:c r="I793" s="62"/>
      <x:c r="J793" s="62"/>
      <x:c r="K793" s="62"/>
    </x:row>
    <x:row r="794">
      <x:c r="A794" s="66"/>
      <x:c r="B794" s="62"/>
      <x:c r="C794" s="62"/>
      <x:c r="D794" s="62"/>
      <x:c r="E794" s="68"/>
      <x:c r="F794" s="75"/>
      <x:c r="G794" s="71" t="n">
        <x:f>IF(A794="",0,E794*F794)</x:f>
        <x:v>0</x:v>
      </x:c>
      <x:c r="H794" s="62"/>
      <x:c r="I794" s="62"/>
      <x:c r="J794" s="62"/>
      <x:c r="K794" s="62"/>
    </x:row>
    <x:row r="795">
      <x:c r="A795" s="66"/>
      <x:c r="B795" s="62"/>
      <x:c r="C795" s="62"/>
      <x:c r="D795" s="62"/>
      <x:c r="E795" s="68"/>
      <x:c r="F795" s="75"/>
      <x:c r="G795" s="71" t="n">
        <x:f>IF(A795="",0,E795*F795)</x:f>
        <x:v>0</x:v>
      </x:c>
      <x:c r="H795" s="62"/>
      <x:c r="I795" s="62"/>
      <x:c r="J795" s="62"/>
      <x:c r="K795" s="62"/>
    </x:row>
    <x:row r="796">
      <x:c r="A796" s="66"/>
      <x:c r="B796" s="62"/>
      <x:c r="C796" s="62"/>
      <x:c r="D796" s="62"/>
      <x:c r="E796" s="68"/>
      <x:c r="F796" s="75"/>
      <x:c r="G796" s="71" t="n">
        <x:f>IF(A796="",0,E796*F796)</x:f>
        <x:v>0</x:v>
      </x:c>
      <x:c r="H796" s="62"/>
      <x:c r="I796" s="62"/>
      <x:c r="J796" s="62"/>
      <x:c r="K796" s="62"/>
    </x:row>
    <x:row r="797">
      <x:c r="A797" s="66"/>
      <x:c r="B797" s="62"/>
      <x:c r="C797" s="62"/>
      <x:c r="D797" s="62"/>
      <x:c r="E797" s="68"/>
      <x:c r="F797" s="75"/>
      <x:c r="G797" s="71" t="n">
        <x:f>IF(A797="",0,E797*F797)</x:f>
        <x:v>0</x:v>
      </x:c>
      <x:c r="H797" s="62"/>
      <x:c r="I797" s="62"/>
      <x:c r="J797" s="62"/>
      <x:c r="K797" s="62"/>
    </x:row>
    <x:row r="798">
      <x:c r="A798" s="66"/>
      <x:c r="B798" s="62"/>
      <x:c r="C798" s="62"/>
      <x:c r="D798" s="62"/>
      <x:c r="E798" s="68"/>
      <x:c r="F798" s="75"/>
      <x:c r="G798" s="71" t="n">
        <x:f>IF(A798="",0,E798*F798)</x:f>
        <x:v>0</x:v>
      </x:c>
      <x:c r="H798" s="62"/>
      <x:c r="I798" s="62"/>
      <x:c r="J798" s="62"/>
      <x:c r="K798" s="62"/>
    </x:row>
    <x:row r="799">
      <x:c r="A799" s="66"/>
      <x:c r="B799" s="62"/>
      <x:c r="C799" s="62"/>
      <x:c r="D799" s="62"/>
      <x:c r="E799" s="68"/>
      <x:c r="F799" s="75"/>
      <x:c r="G799" s="71" t="n">
        <x:f>IF(A799="",0,E799*F799)</x:f>
        <x:v>0</x:v>
      </x:c>
      <x:c r="H799" s="62"/>
      <x:c r="I799" s="62"/>
      <x:c r="J799" s="62"/>
      <x:c r="K799" s="62"/>
    </x:row>
    <x:row r="800">
      <x:c r="A800" s="66"/>
      <x:c r="B800" s="62"/>
      <x:c r="C800" s="62"/>
      <x:c r="D800" s="62"/>
      <x:c r="E800" s="68"/>
      <x:c r="F800" s="75"/>
      <x:c r="G800" s="71" t="n">
        <x:f>IF(A800="",0,E800*F800)</x:f>
        <x:v>0</x:v>
      </x:c>
      <x:c r="H800" s="62"/>
      <x:c r="I800" s="62"/>
      <x:c r="J800" s="62"/>
      <x:c r="K800" s="62"/>
    </x:row>
    <x:row r="801">
      <x:c r="A801" s="66"/>
      <x:c r="B801" s="62"/>
      <x:c r="C801" s="62"/>
      <x:c r="D801" s="62"/>
      <x:c r="E801" s="68"/>
      <x:c r="F801" s="75"/>
      <x:c r="G801" s="71" t="n">
        <x:f>IF(A801="",0,E801*F801)</x:f>
        <x:v>0</x:v>
      </x:c>
      <x:c r="H801" s="62"/>
      <x:c r="I801" s="62"/>
      <x:c r="J801" s="62"/>
      <x:c r="K801" s="62"/>
    </x:row>
    <x:row r="802">
      <x:c r="A802" s="66"/>
      <x:c r="B802" s="62"/>
      <x:c r="C802" s="62"/>
      <x:c r="D802" s="62"/>
      <x:c r="E802" s="68"/>
      <x:c r="F802" s="75"/>
      <x:c r="G802" s="71" t="n">
        <x:f>IF(A802="",0,E802*F802)</x:f>
        <x:v>0</x:v>
      </x:c>
      <x:c r="H802" s="62"/>
      <x:c r="I802" s="62"/>
      <x:c r="J802" s="62"/>
      <x:c r="K802" s="62"/>
    </x:row>
    <x:row r="803">
      <x:c r="A803" s="66"/>
      <x:c r="B803" s="62"/>
      <x:c r="C803" s="62"/>
      <x:c r="D803" s="62"/>
      <x:c r="E803" s="68"/>
      <x:c r="F803" s="75"/>
      <x:c r="G803" s="71" t="n">
        <x:f>IF(A803="",0,E803*F803)</x:f>
        <x:v>0</x:v>
      </x:c>
      <x:c r="H803" s="62"/>
      <x:c r="I803" s="62"/>
      <x:c r="J803" s="62"/>
      <x:c r="K803" s="62"/>
    </x:row>
    <x:row r="804">
      <x:c r="A804" s="66"/>
      <x:c r="B804" s="62"/>
      <x:c r="C804" s="62"/>
      <x:c r="D804" s="62"/>
      <x:c r="E804" s="68"/>
      <x:c r="F804" s="75"/>
      <x:c r="G804" s="71" t="n">
        <x:f>IF(A804="",0,E804*F804)</x:f>
        <x:v>0</x:v>
      </x:c>
      <x:c r="H804" s="62"/>
      <x:c r="I804" s="62"/>
      <x:c r="J804" s="62"/>
      <x:c r="K804" s="62"/>
    </x:row>
    <x:row r="805">
      <x:c r="A805" s="66"/>
      <x:c r="B805" s="62"/>
      <x:c r="C805" s="62"/>
      <x:c r="D805" s="62"/>
      <x:c r="E805" s="68"/>
      <x:c r="F805" s="75"/>
      <x:c r="G805" s="71" t="n">
        <x:f>IF(A805="",0,E805*F805)</x:f>
        <x:v>0</x:v>
      </x:c>
      <x:c r="H805" s="62"/>
      <x:c r="I805" s="62"/>
      <x:c r="J805" s="62"/>
      <x:c r="K805" s="62"/>
    </x:row>
    <x:row r="806">
      <x:c r="A806" s="66"/>
      <x:c r="B806" s="62"/>
      <x:c r="C806" s="62"/>
      <x:c r="D806" s="62"/>
      <x:c r="E806" s="68"/>
      <x:c r="F806" s="75"/>
      <x:c r="G806" s="71" t="n">
        <x:f>IF(A806="",0,E806*F806)</x:f>
        <x:v>0</x:v>
      </x:c>
      <x:c r="H806" s="62"/>
      <x:c r="I806" s="62"/>
      <x:c r="J806" s="62"/>
      <x:c r="K806" s="62"/>
    </x:row>
    <x:row r="807">
      <x:c r="A807" s="66"/>
      <x:c r="B807" s="62"/>
      <x:c r="C807" s="62"/>
      <x:c r="D807" s="62"/>
      <x:c r="E807" s="68"/>
      <x:c r="F807" s="75"/>
      <x:c r="G807" s="71" t="n">
        <x:f>IF(A807="",0,E807*F807)</x:f>
        <x:v>0</x:v>
      </x:c>
      <x:c r="H807" s="62"/>
      <x:c r="I807" s="62"/>
      <x:c r="J807" s="62"/>
      <x:c r="K807" s="62"/>
    </x:row>
    <x:row r="808">
      <x:c r="A808" s="66"/>
      <x:c r="B808" s="62"/>
      <x:c r="C808" s="62"/>
      <x:c r="D808" s="62"/>
      <x:c r="E808" s="68"/>
      <x:c r="F808" s="75"/>
      <x:c r="G808" s="71" t="n">
        <x:f>IF(A808="",0,E808*F808)</x:f>
        <x:v>0</x:v>
      </x:c>
      <x:c r="H808" s="62"/>
      <x:c r="I808" s="62"/>
      <x:c r="J808" s="62"/>
      <x:c r="K808" s="62"/>
    </x:row>
    <x:row r="809">
      <x:c r="A809" s="66"/>
      <x:c r="B809" s="62"/>
      <x:c r="C809" s="62"/>
      <x:c r="D809" s="62"/>
      <x:c r="E809" s="68"/>
      <x:c r="F809" s="75"/>
      <x:c r="G809" s="71" t="n">
        <x:f>IF(A809="",0,E809*F809)</x:f>
        <x:v>0</x:v>
      </x:c>
      <x:c r="H809" s="62"/>
      <x:c r="I809" s="62"/>
      <x:c r="J809" s="62"/>
      <x:c r="K809" s="62"/>
    </x:row>
    <x:row r="810">
      <x:c r="A810" s="66"/>
      <x:c r="B810" s="62"/>
      <x:c r="C810" s="62"/>
      <x:c r="D810" s="62"/>
      <x:c r="E810" s="68"/>
      <x:c r="F810" s="75"/>
      <x:c r="G810" s="71" t="n">
        <x:f>IF(A810="",0,E810*F810)</x:f>
        <x:v>0</x:v>
      </x:c>
      <x:c r="H810" s="62"/>
      <x:c r="I810" s="62"/>
      <x:c r="J810" s="62"/>
      <x:c r="K810" s="62"/>
    </x:row>
    <x:row r="811">
      <x:c r="A811" s="66"/>
      <x:c r="B811" s="62"/>
      <x:c r="C811" s="62"/>
      <x:c r="D811" s="62"/>
      <x:c r="E811" s="68"/>
      <x:c r="F811" s="75"/>
      <x:c r="G811" s="71" t="n">
        <x:f>IF(A811="",0,E811*F811)</x:f>
        <x:v>0</x:v>
      </x:c>
      <x:c r="H811" s="62"/>
      <x:c r="I811" s="62"/>
      <x:c r="J811" s="62"/>
      <x:c r="K811" s="62"/>
    </x:row>
    <x:row r="812">
      <x:c r="A812" s="66"/>
      <x:c r="B812" s="62"/>
      <x:c r="C812" s="62"/>
      <x:c r="D812" s="62"/>
      <x:c r="E812" s="68"/>
      <x:c r="F812" s="75"/>
      <x:c r="G812" s="71" t="n">
        <x:f>IF(A812="",0,E812*F812)</x:f>
        <x:v>0</x:v>
      </x:c>
      <x:c r="H812" s="62"/>
      <x:c r="I812" s="62"/>
      <x:c r="J812" s="62"/>
      <x:c r="K812" s="62"/>
    </x:row>
    <x:row r="813">
      <x:c r="A813" s="66"/>
      <x:c r="B813" s="62"/>
      <x:c r="C813" s="62"/>
      <x:c r="D813" s="62"/>
      <x:c r="E813" s="68"/>
      <x:c r="F813" s="75"/>
      <x:c r="G813" s="71" t="n">
        <x:f>IF(A813="",0,E813*F813)</x:f>
        <x:v>0</x:v>
      </x:c>
      <x:c r="H813" s="62"/>
      <x:c r="I813" s="62"/>
      <x:c r="J813" s="62"/>
      <x:c r="K813" s="62"/>
    </x:row>
    <x:row r="814">
      <x:c r="A814" s="66"/>
      <x:c r="B814" s="62"/>
      <x:c r="C814" s="62"/>
      <x:c r="D814" s="62"/>
      <x:c r="E814" s="68"/>
      <x:c r="F814" s="75"/>
      <x:c r="G814" s="71" t="n">
        <x:f>IF(A814="",0,E814*F814)</x:f>
        <x:v>0</x:v>
      </x:c>
      <x:c r="H814" s="62"/>
      <x:c r="I814" s="62"/>
      <x:c r="J814" s="62"/>
      <x:c r="K814" s="62"/>
    </x:row>
    <x:row r="815">
      <x:c r="A815" s="66"/>
      <x:c r="B815" s="62"/>
      <x:c r="C815" s="62"/>
      <x:c r="D815" s="62"/>
      <x:c r="E815" s="68"/>
      <x:c r="F815" s="75"/>
      <x:c r="G815" s="71" t="n">
        <x:f>IF(A815="",0,E815*F815)</x:f>
        <x:v>0</x:v>
      </x:c>
      <x:c r="H815" s="62"/>
      <x:c r="I815" s="62"/>
      <x:c r="J815" s="62"/>
      <x:c r="K815" s="62"/>
    </x:row>
    <x:row r="816">
      <x:c r="A816" s="66"/>
      <x:c r="B816" s="62"/>
      <x:c r="C816" s="62"/>
      <x:c r="D816" s="62"/>
      <x:c r="E816" s="68"/>
      <x:c r="F816" s="75"/>
      <x:c r="G816" s="71" t="n">
        <x:f>IF(A816="",0,E816*F816)</x:f>
        <x:v>0</x:v>
      </x:c>
      <x:c r="H816" s="62"/>
      <x:c r="I816" s="62"/>
      <x:c r="J816" s="62"/>
      <x:c r="K816" s="62"/>
    </x:row>
    <x:row r="817">
      <x:c r="A817" s="66"/>
      <x:c r="B817" s="62"/>
      <x:c r="C817" s="62"/>
      <x:c r="D817" s="62"/>
      <x:c r="E817" s="68"/>
      <x:c r="F817" s="75"/>
      <x:c r="G817" s="71" t="n">
        <x:f>IF(A817="",0,E817*F817)</x:f>
        <x:v>0</x:v>
      </x:c>
      <x:c r="H817" s="62"/>
      <x:c r="I817" s="62"/>
      <x:c r="J817" s="62"/>
      <x:c r="K817" s="62"/>
    </x:row>
    <x:row r="818">
      <x:c r="A818" s="66"/>
      <x:c r="B818" s="62"/>
      <x:c r="C818" s="62"/>
      <x:c r="D818" s="62"/>
      <x:c r="E818" s="68"/>
      <x:c r="F818" s="75"/>
      <x:c r="G818" s="71" t="n">
        <x:f>IF(A818="",0,E818*F818)</x:f>
        <x:v>0</x:v>
      </x:c>
      <x:c r="H818" s="62"/>
      <x:c r="I818" s="62"/>
      <x:c r="J818" s="62"/>
      <x:c r="K818" s="62"/>
    </x:row>
    <x:row r="819">
      <x:c r="A819" s="66"/>
      <x:c r="B819" s="62"/>
      <x:c r="C819" s="62"/>
      <x:c r="D819" s="62"/>
      <x:c r="E819" s="68"/>
      <x:c r="F819" s="75"/>
      <x:c r="G819" s="71" t="n">
        <x:f>IF(A819="",0,E819*F819)</x:f>
        <x:v>0</x:v>
      </x:c>
      <x:c r="H819" s="62"/>
      <x:c r="I819" s="62"/>
      <x:c r="J819" s="62"/>
      <x:c r="K819" s="62"/>
    </x:row>
    <x:row r="820">
      <x:c r="A820" s="66"/>
      <x:c r="B820" s="62"/>
      <x:c r="C820" s="62"/>
      <x:c r="D820" s="62"/>
      <x:c r="E820" s="68"/>
      <x:c r="F820" s="75"/>
      <x:c r="G820" s="71" t="n">
        <x:f>IF(A820="",0,E820*F820)</x:f>
        <x:v>0</x:v>
      </x:c>
      <x:c r="H820" s="62"/>
      <x:c r="I820" s="62"/>
      <x:c r="J820" s="62"/>
      <x:c r="K820" s="62"/>
    </x:row>
    <x:row r="821">
      <x:c r="A821" s="66"/>
      <x:c r="B821" s="62"/>
      <x:c r="C821" s="62"/>
      <x:c r="D821" s="62"/>
      <x:c r="E821" s="68"/>
      <x:c r="F821" s="75"/>
      <x:c r="G821" s="71" t="n">
        <x:f>IF(A821="",0,E821*F821)</x:f>
        <x:v>0</x:v>
      </x:c>
      <x:c r="H821" s="62"/>
      <x:c r="I821" s="62"/>
      <x:c r="J821" s="62"/>
      <x:c r="K821" s="62"/>
    </x:row>
    <x:row r="822">
      <x:c r="A822" s="66"/>
      <x:c r="B822" s="62"/>
      <x:c r="C822" s="62"/>
      <x:c r="D822" s="62"/>
      <x:c r="E822" s="68"/>
      <x:c r="F822" s="75"/>
      <x:c r="G822" s="71" t="n">
        <x:f>IF(A822="",0,E822*F822)</x:f>
        <x:v>0</x:v>
      </x:c>
      <x:c r="H822" s="62"/>
      <x:c r="I822" s="62"/>
      <x:c r="J822" s="62"/>
      <x:c r="K822" s="62"/>
    </x:row>
    <x:row r="823">
      <x:c r="A823" s="66"/>
      <x:c r="B823" s="62"/>
      <x:c r="C823" s="62"/>
      <x:c r="D823" s="62"/>
      <x:c r="E823" s="68"/>
      <x:c r="F823" s="75"/>
      <x:c r="G823" s="71" t="n">
        <x:f>IF(A823="",0,E823*F823)</x:f>
        <x:v>0</x:v>
      </x:c>
      <x:c r="H823" s="62"/>
      <x:c r="I823" s="62"/>
      <x:c r="J823" s="62"/>
      <x:c r="K823" s="62"/>
    </x:row>
    <x:row r="824">
      <x:c r="A824" s="66"/>
      <x:c r="B824" s="62"/>
      <x:c r="C824" s="62"/>
      <x:c r="D824" s="62"/>
      <x:c r="E824" s="68"/>
      <x:c r="F824" s="75"/>
      <x:c r="G824" s="71" t="n">
        <x:f>IF(A824="",0,E824*F824)</x:f>
        <x:v>0</x:v>
      </x:c>
      <x:c r="H824" s="62"/>
      <x:c r="I824" s="62"/>
      <x:c r="J824" s="62"/>
      <x:c r="K824" s="62"/>
    </x:row>
    <x:row r="825">
      <x:c r="A825" s="66"/>
      <x:c r="B825" s="62"/>
      <x:c r="C825" s="62"/>
      <x:c r="D825" s="62"/>
      <x:c r="E825" s="68"/>
      <x:c r="F825" s="75"/>
      <x:c r="G825" s="71" t="n">
        <x:f>IF(A825="",0,E825*F825)</x:f>
        <x:v>0</x:v>
      </x:c>
      <x:c r="H825" s="62"/>
      <x:c r="I825" s="62"/>
      <x:c r="J825" s="62"/>
      <x:c r="K825" s="62"/>
    </x:row>
    <x:row r="826">
      <x:c r="A826" s="66"/>
      <x:c r="B826" s="62"/>
      <x:c r="C826" s="62"/>
      <x:c r="D826" s="62"/>
      <x:c r="E826" s="68"/>
      <x:c r="F826" s="75"/>
      <x:c r="G826" s="71" t="n">
        <x:f>IF(A826="",0,E826*F826)</x:f>
        <x:v>0</x:v>
      </x:c>
      <x:c r="H826" s="62"/>
      <x:c r="I826" s="62"/>
      <x:c r="J826" s="62"/>
      <x:c r="K826" s="62"/>
    </x:row>
    <x:row r="827">
      <x:c r="A827" s="66"/>
      <x:c r="B827" s="62"/>
      <x:c r="C827" s="62"/>
      <x:c r="D827" s="62"/>
      <x:c r="E827" s="68"/>
      <x:c r="F827" s="75"/>
      <x:c r="G827" s="71" t="n">
        <x:f>IF(A827="",0,E827*F827)</x:f>
        <x:v>0</x:v>
      </x:c>
      <x:c r="H827" s="62"/>
      <x:c r="I827" s="62"/>
      <x:c r="J827" s="62"/>
      <x:c r="K827" s="62"/>
    </x:row>
    <x:row r="828">
      <x:c r="A828" s="66"/>
      <x:c r="B828" s="62"/>
      <x:c r="C828" s="62"/>
      <x:c r="D828" s="62"/>
      <x:c r="E828" s="68"/>
      <x:c r="F828" s="75"/>
      <x:c r="G828" s="71" t="n">
        <x:f>IF(A828="",0,E828*F828)</x:f>
        <x:v>0</x:v>
      </x:c>
      <x:c r="H828" s="62"/>
      <x:c r="I828" s="62"/>
      <x:c r="J828" s="62"/>
      <x:c r="K828" s="62"/>
    </x:row>
    <x:row r="829">
      <x:c r="A829" s="66"/>
      <x:c r="B829" s="62"/>
      <x:c r="C829" s="62"/>
      <x:c r="D829" s="62"/>
      <x:c r="E829" s="68"/>
      <x:c r="F829" s="75"/>
      <x:c r="G829" s="71" t="n">
        <x:f>IF(A829="",0,E829*F829)</x:f>
        <x:v>0</x:v>
      </x:c>
      <x:c r="H829" s="62"/>
      <x:c r="I829" s="62"/>
      <x:c r="J829" s="62"/>
      <x:c r="K829" s="62"/>
    </x:row>
    <x:row r="830">
      <x:c r="A830" s="66"/>
      <x:c r="B830" s="62"/>
      <x:c r="C830" s="62"/>
      <x:c r="D830" s="62"/>
      <x:c r="E830" s="68"/>
      <x:c r="F830" s="75"/>
      <x:c r="G830" s="71" t="n">
        <x:f>IF(A830="",0,E830*F830)</x:f>
        <x:v>0</x:v>
      </x:c>
      <x:c r="H830" s="62"/>
      <x:c r="I830" s="62"/>
      <x:c r="J830" s="62"/>
      <x:c r="K830" s="62"/>
    </x:row>
    <x:row r="831">
      <x:c r="A831" s="66"/>
      <x:c r="B831" s="62"/>
      <x:c r="C831" s="62"/>
      <x:c r="D831" s="62"/>
      <x:c r="E831" s="68"/>
      <x:c r="F831" s="75"/>
      <x:c r="G831" s="71" t="n">
        <x:f>IF(A831="",0,E831*F831)</x:f>
        <x:v>0</x:v>
      </x:c>
      <x:c r="H831" s="62"/>
      <x:c r="I831" s="62"/>
      <x:c r="J831" s="62"/>
      <x:c r="K831" s="62"/>
    </x:row>
    <x:row r="832">
      <x:c r="A832" s="66"/>
      <x:c r="B832" s="62"/>
      <x:c r="C832" s="62"/>
      <x:c r="D832" s="62"/>
      <x:c r="E832" s="68"/>
      <x:c r="F832" s="75"/>
      <x:c r="G832" s="71" t="n">
        <x:f>IF(A832="",0,E832*F832)</x:f>
        <x:v>0</x:v>
      </x:c>
      <x:c r="H832" s="62"/>
      <x:c r="I832" s="62"/>
      <x:c r="J832" s="62"/>
      <x:c r="K832" s="62"/>
    </x:row>
    <x:row r="833">
      <x:c r="A833" s="66"/>
      <x:c r="B833" s="62"/>
      <x:c r="C833" s="62"/>
      <x:c r="D833" s="62"/>
      <x:c r="E833" s="68"/>
      <x:c r="F833" s="75"/>
      <x:c r="G833" s="71" t="n">
        <x:f>IF(A833="",0,E833*F833)</x:f>
        <x:v>0</x:v>
      </x:c>
      <x:c r="H833" s="62"/>
      <x:c r="I833" s="62"/>
      <x:c r="J833" s="62"/>
      <x:c r="K833" s="62"/>
    </x:row>
    <x:row r="834">
      <x:c r="A834" s="66"/>
      <x:c r="B834" s="62"/>
      <x:c r="C834" s="62"/>
      <x:c r="D834" s="62"/>
      <x:c r="E834" s="68"/>
      <x:c r="F834" s="75"/>
      <x:c r="G834" s="71" t="n">
        <x:f>IF(A834="",0,E834*F834)</x:f>
        <x:v>0</x:v>
      </x:c>
      <x:c r="H834" s="62"/>
      <x:c r="I834" s="62"/>
      <x:c r="J834" s="62"/>
      <x:c r="K834" s="62"/>
    </x:row>
    <x:row r="835">
      <x:c r="A835" s="66"/>
      <x:c r="B835" s="62"/>
      <x:c r="C835" s="62"/>
      <x:c r="D835" s="62"/>
      <x:c r="E835" s="68"/>
      <x:c r="F835" s="75"/>
      <x:c r="G835" s="71" t="n">
        <x:f>IF(A835="",0,E835*F835)</x:f>
        <x:v>0</x:v>
      </x:c>
      <x:c r="H835" s="62"/>
      <x:c r="I835" s="62"/>
      <x:c r="J835" s="62"/>
      <x:c r="K835" s="62"/>
    </x:row>
    <x:row r="836">
      <x:c r="A836" s="66"/>
      <x:c r="B836" s="62"/>
      <x:c r="C836" s="62"/>
      <x:c r="D836" s="62"/>
      <x:c r="E836" s="68"/>
      <x:c r="F836" s="75"/>
      <x:c r="G836" s="71" t="n">
        <x:f>IF(A836="",0,E836*F836)</x:f>
        <x:v>0</x:v>
      </x:c>
      <x:c r="H836" s="62"/>
      <x:c r="I836" s="62"/>
      <x:c r="J836" s="62"/>
      <x:c r="K836" s="62"/>
    </x:row>
    <x:row r="837">
      <x:c r="A837" s="66"/>
      <x:c r="B837" s="62"/>
      <x:c r="C837" s="62"/>
      <x:c r="D837" s="62"/>
      <x:c r="E837" s="68"/>
      <x:c r="F837" s="75"/>
      <x:c r="G837" s="71" t="n">
        <x:f>IF(A837="",0,E837*F837)</x:f>
        <x:v>0</x:v>
      </x:c>
      <x:c r="H837" s="62"/>
      <x:c r="I837" s="62"/>
      <x:c r="J837" s="62"/>
      <x:c r="K837" s="62"/>
    </x:row>
    <x:row r="838">
      <x:c r="A838" s="66"/>
      <x:c r="B838" s="62"/>
      <x:c r="C838" s="62"/>
      <x:c r="D838" s="62"/>
      <x:c r="E838" s="68"/>
      <x:c r="F838" s="75"/>
      <x:c r="G838" s="71" t="n">
        <x:f>IF(A838="",0,E838*F838)</x:f>
        <x:v>0</x:v>
      </x:c>
      <x:c r="H838" s="62"/>
      <x:c r="I838" s="62"/>
      <x:c r="J838" s="62"/>
      <x:c r="K838" s="62"/>
    </x:row>
    <x:row r="839">
      <x:c r="A839" s="66"/>
      <x:c r="B839" s="62"/>
      <x:c r="C839" s="62"/>
      <x:c r="D839" s="62"/>
      <x:c r="E839" s="68"/>
      <x:c r="F839" s="75"/>
      <x:c r="G839" s="71" t="n">
        <x:f>IF(A839="",0,E839*F839)</x:f>
        <x:v>0</x:v>
      </x:c>
      <x:c r="H839" s="62"/>
      <x:c r="I839" s="62"/>
      <x:c r="J839" s="62"/>
      <x:c r="K839" s="62"/>
    </x:row>
    <x:row r="840">
      <x:c r="A840" s="66"/>
      <x:c r="B840" s="62"/>
      <x:c r="C840" s="62"/>
      <x:c r="D840" s="62"/>
      <x:c r="E840" s="68"/>
      <x:c r="F840" s="75"/>
      <x:c r="G840" s="71" t="n">
        <x:f>IF(A840="",0,E840*F840)</x:f>
        <x:v>0</x:v>
      </x:c>
      <x:c r="H840" s="62"/>
      <x:c r="I840" s="62"/>
      <x:c r="J840" s="62"/>
      <x:c r="K840" s="62"/>
    </x:row>
    <x:row r="841">
      <x:c r="A841" s="66"/>
      <x:c r="B841" s="62"/>
      <x:c r="C841" s="62"/>
      <x:c r="D841" s="62"/>
      <x:c r="E841" s="68"/>
      <x:c r="F841" s="75"/>
      <x:c r="G841" s="71" t="n">
        <x:f>IF(A841="",0,E841*F841)</x:f>
        <x:v>0</x:v>
      </x:c>
      <x:c r="H841" s="62"/>
      <x:c r="I841" s="62"/>
      <x:c r="J841" s="62"/>
      <x:c r="K841" s="62"/>
    </x:row>
    <x:row r="842">
      <x:c r="A842" s="66"/>
      <x:c r="B842" s="62"/>
      <x:c r="C842" s="62"/>
      <x:c r="D842" s="62"/>
      <x:c r="E842" s="68"/>
      <x:c r="F842" s="75"/>
      <x:c r="G842" s="71" t="n">
        <x:f>IF(A842="",0,E842*F842)</x:f>
        <x:v>0</x:v>
      </x:c>
      <x:c r="H842" s="62"/>
      <x:c r="I842" s="62"/>
      <x:c r="J842" s="62"/>
      <x:c r="K842" s="62"/>
    </x:row>
    <x:row r="843">
      <x:c r="A843" s="66"/>
      <x:c r="B843" s="62"/>
      <x:c r="C843" s="62"/>
      <x:c r="D843" s="62"/>
      <x:c r="E843" s="68"/>
      <x:c r="F843" s="75"/>
      <x:c r="G843" s="71" t="n">
        <x:f>IF(A843="",0,E843*F843)</x:f>
        <x:v>0</x:v>
      </x:c>
      <x:c r="H843" s="62"/>
      <x:c r="I843" s="62"/>
      <x:c r="J843" s="62"/>
      <x:c r="K843" s="62"/>
    </x:row>
    <x:row r="844">
      <x:c r="A844" s="66"/>
      <x:c r="B844" s="62"/>
      <x:c r="C844" s="62"/>
      <x:c r="D844" s="62"/>
      <x:c r="E844" s="68"/>
      <x:c r="F844" s="75"/>
      <x:c r="G844" s="71" t="n">
        <x:f>IF(A844="",0,E844*F844)</x:f>
        <x:v>0</x:v>
      </x:c>
      <x:c r="H844" s="62"/>
      <x:c r="I844" s="62"/>
      <x:c r="J844" s="62"/>
      <x:c r="K844" s="62"/>
    </x:row>
    <x:row r="845">
      <x:c r="A845" s="66"/>
      <x:c r="B845" s="62"/>
      <x:c r="C845" s="62"/>
      <x:c r="D845" s="62"/>
      <x:c r="E845" s="68"/>
      <x:c r="F845" s="75"/>
      <x:c r="G845" s="71" t="n">
        <x:f>IF(A845="",0,E845*F845)</x:f>
        <x:v>0</x:v>
      </x:c>
      <x:c r="H845" s="62"/>
      <x:c r="I845" s="62"/>
      <x:c r="J845" s="62"/>
      <x:c r="K845" s="62"/>
    </x:row>
    <x:row r="846">
      <x:c r="A846" s="66"/>
      <x:c r="B846" s="62"/>
      <x:c r="C846" s="62"/>
      <x:c r="D846" s="62"/>
      <x:c r="E846" s="68"/>
      <x:c r="F846" s="75"/>
      <x:c r="G846" s="71" t="n">
        <x:f>IF(A846="",0,E846*F846)</x:f>
        <x:v>0</x:v>
      </x:c>
      <x:c r="H846" s="62"/>
      <x:c r="I846" s="62"/>
      <x:c r="J846" s="62"/>
      <x:c r="K846" s="62"/>
    </x:row>
    <x:row r="847">
      <x:c r="A847" s="66"/>
      <x:c r="B847" s="62"/>
      <x:c r="C847" s="62"/>
      <x:c r="D847" s="62"/>
      <x:c r="E847" s="68"/>
      <x:c r="F847" s="75"/>
      <x:c r="G847" s="71" t="n">
        <x:f>IF(A847="",0,E847*F847)</x:f>
        <x:v>0</x:v>
      </x:c>
      <x:c r="H847" s="62"/>
      <x:c r="I847" s="62"/>
      <x:c r="J847" s="62"/>
      <x:c r="K847" s="62"/>
    </x:row>
    <x:row r="848">
      <x:c r="A848" s="66"/>
      <x:c r="B848" s="62"/>
      <x:c r="C848" s="62"/>
      <x:c r="D848" s="62"/>
      <x:c r="E848" s="68"/>
      <x:c r="F848" s="75"/>
      <x:c r="G848" s="71" t="n">
        <x:f>IF(A848="",0,E848*F848)</x:f>
        <x:v>0</x:v>
      </x:c>
      <x:c r="H848" s="62"/>
      <x:c r="I848" s="62"/>
      <x:c r="J848" s="62"/>
      <x:c r="K848" s="62"/>
    </x:row>
    <x:row r="849">
      <x:c r="A849" s="66"/>
      <x:c r="B849" s="62"/>
      <x:c r="C849" s="62"/>
      <x:c r="D849" s="62"/>
      <x:c r="E849" s="68"/>
      <x:c r="F849" s="75"/>
      <x:c r="G849" s="71" t="n">
        <x:f>IF(A849="",0,E849*F849)</x:f>
        <x:v>0</x:v>
      </x:c>
      <x:c r="H849" s="62"/>
      <x:c r="I849" s="62"/>
      <x:c r="J849" s="62"/>
      <x:c r="K849" s="62"/>
    </x:row>
    <x:row r="850">
      <x:c r="A850" s="66"/>
      <x:c r="B850" s="62"/>
      <x:c r="C850" s="62"/>
      <x:c r="D850" s="62"/>
      <x:c r="E850" s="68"/>
      <x:c r="F850" s="75"/>
      <x:c r="G850" s="71" t="n">
        <x:f>IF(A850="",0,E850*F850)</x:f>
        <x:v>0</x:v>
      </x:c>
      <x:c r="H850" s="62"/>
      <x:c r="I850" s="62"/>
      <x:c r="J850" s="62"/>
      <x:c r="K850" s="62"/>
    </x:row>
    <x:row r="851">
      <x:c r="A851" s="66"/>
      <x:c r="B851" s="62"/>
      <x:c r="C851" s="62"/>
      <x:c r="D851" s="62"/>
      <x:c r="E851" s="68"/>
      <x:c r="F851" s="75"/>
      <x:c r="G851" s="71" t="n">
        <x:f>IF(A851="",0,E851*F851)</x:f>
        <x:v>0</x:v>
      </x:c>
      <x:c r="H851" s="62"/>
      <x:c r="I851" s="62"/>
      <x:c r="J851" s="62"/>
      <x:c r="K851" s="62"/>
    </x:row>
    <x:row r="852">
      <x:c r="A852" s="66"/>
      <x:c r="B852" s="62"/>
      <x:c r="C852" s="62"/>
      <x:c r="D852" s="62"/>
      <x:c r="E852" s="68"/>
      <x:c r="F852" s="75"/>
      <x:c r="G852" s="71" t="n">
        <x:f>IF(A852="",0,E852*F852)</x:f>
        <x:v>0</x:v>
      </x:c>
      <x:c r="H852" s="62"/>
      <x:c r="I852" s="62"/>
      <x:c r="J852" s="62"/>
      <x:c r="K852" s="62"/>
    </x:row>
    <x:row r="853">
      <x:c r="A853" s="66"/>
      <x:c r="B853" s="62"/>
      <x:c r="C853" s="62"/>
      <x:c r="D853" s="62"/>
      <x:c r="E853" s="68"/>
      <x:c r="F853" s="75"/>
      <x:c r="G853" s="71" t="n">
        <x:f>IF(A853="",0,E853*F853)</x:f>
        <x:v>0</x:v>
      </x:c>
      <x:c r="H853" s="62"/>
      <x:c r="I853" s="62"/>
      <x:c r="J853" s="62"/>
      <x:c r="K853" s="62"/>
    </x:row>
    <x:row r="854">
      <x:c r="A854" s="66"/>
      <x:c r="B854" s="62"/>
      <x:c r="C854" s="62"/>
      <x:c r="D854" s="62"/>
      <x:c r="E854" s="68"/>
      <x:c r="F854" s="75"/>
      <x:c r="G854" s="71" t="n">
        <x:f>IF(A854="",0,E854*F854)</x:f>
        <x:v>0</x:v>
      </x:c>
      <x:c r="H854" s="62"/>
      <x:c r="I854" s="62"/>
      <x:c r="J854" s="62"/>
      <x:c r="K854" s="62"/>
    </x:row>
    <x:row r="855">
      <x:c r="A855" s="66"/>
      <x:c r="B855" s="62"/>
      <x:c r="C855" s="62"/>
      <x:c r="D855" s="62"/>
      <x:c r="E855" s="68"/>
      <x:c r="F855" s="75"/>
      <x:c r="G855" s="71" t="n">
        <x:f>IF(A855="",0,E855*F855)</x:f>
        <x:v>0</x:v>
      </x:c>
      <x:c r="H855" s="62"/>
      <x:c r="I855" s="62"/>
      <x:c r="J855" s="62"/>
      <x:c r="K855" s="62"/>
    </x:row>
    <x:row r="856">
      <x:c r="A856" s="66"/>
      <x:c r="B856" s="62"/>
      <x:c r="C856" s="62"/>
      <x:c r="D856" s="62"/>
      <x:c r="E856" s="68"/>
      <x:c r="F856" s="75"/>
      <x:c r="G856" s="71" t="n">
        <x:f>IF(A856="",0,E856*F856)</x:f>
        <x:v>0</x:v>
      </x:c>
      <x:c r="H856" s="62"/>
      <x:c r="I856" s="62"/>
      <x:c r="J856" s="62"/>
      <x:c r="K856" s="62"/>
    </x:row>
    <x:row r="857">
      <x:c r="A857" s="66"/>
      <x:c r="B857" s="62"/>
      <x:c r="C857" s="62"/>
      <x:c r="D857" s="62"/>
      <x:c r="E857" s="68"/>
      <x:c r="F857" s="75"/>
      <x:c r="G857" s="71" t="n">
        <x:f>IF(A857="",0,E857*F857)</x:f>
        <x:v>0</x:v>
      </x:c>
      <x:c r="H857" s="62"/>
      <x:c r="I857" s="62"/>
      <x:c r="J857" s="62"/>
      <x:c r="K857" s="62"/>
    </x:row>
    <x:row r="858">
      <x:c r="A858" s="66"/>
      <x:c r="B858" s="62"/>
      <x:c r="C858" s="62"/>
      <x:c r="D858" s="62"/>
      <x:c r="E858" s="68"/>
      <x:c r="F858" s="75"/>
      <x:c r="G858" s="71" t="n">
        <x:f>IF(A858="",0,E858*F858)</x:f>
        <x:v>0</x:v>
      </x:c>
      <x:c r="H858" s="62"/>
      <x:c r="I858" s="62"/>
      <x:c r="J858" s="62"/>
      <x:c r="K858" s="62"/>
    </x:row>
    <x:row r="859">
      <x:c r="A859" s="66"/>
      <x:c r="B859" s="62"/>
      <x:c r="C859" s="62"/>
      <x:c r="D859" s="62"/>
      <x:c r="E859" s="68"/>
      <x:c r="F859" s="75"/>
      <x:c r="G859" s="71" t="n">
        <x:f>IF(A859="",0,E859*F859)</x:f>
        <x:v>0</x:v>
      </x:c>
      <x:c r="H859" s="62"/>
      <x:c r="I859" s="62"/>
      <x:c r="J859" s="62"/>
      <x:c r="K859" s="62"/>
    </x:row>
    <x:row r="860">
      <x:c r="A860" s="66"/>
      <x:c r="B860" s="62"/>
      <x:c r="C860" s="62"/>
      <x:c r="D860" s="62"/>
      <x:c r="E860" s="68"/>
      <x:c r="F860" s="75"/>
      <x:c r="G860" s="71" t="n">
        <x:f>IF(A860="",0,E860*F860)</x:f>
        <x:v>0</x:v>
      </x:c>
      <x:c r="H860" s="62"/>
      <x:c r="I860" s="62"/>
      <x:c r="J860" s="62"/>
      <x:c r="K860" s="62"/>
    </x:row>
    <x:row r="861">
      <x:c r="A861" s="66"/>
      <x:c r="B861" s="62"/>
      <x:c r="C861" s="62"/>
      <x:c r="D861" s="62"/>
      <x:c r="E861" s="68"/>
      <x:c r="F861" s="75"/>
      <x:c r="G861" s="71" t="n">
        <x:f>IF(A861="",0,E861*F861)</x:f>
        <x:v>0</x:v>
      </x:c>
      <x:c r="H861" s="62"/>
      <x:c r="I861" s="62"/>
      <x:c r="J861" s="62"/>
      <x:c r="K861" s="62"/>
    </x:row>
    <x:row r="862">
      <x:c r="A862" s="66"/>
      <x:c r="B862" s="62"/>
      <x:c r="C862" s="62"/>
      <x:c r="D862" s="62"/>
      <x:c r="E862" s="68"/>
      <x:c r="F862" s="75"/>
      <x:c r="G862" s="71" t="n">
        <x:f>IF(A862="",0,E862*F862)</x:f>
        <x:v>0</x:v>
      </x:c>
      <x:c r="H862" s="62"/>
      <x:c r="I862" s="62"/>
      <x:c r="J862" s="62"/>
      <x:c r="K862" s="62"/>
    </x:row>
    <x:row r="863">
      <x:c r="A863" s="66"/>
      <x:c r="B863" s="62"/>
      <x:c r="C863" s="62"/>
      <x:c r="D863" s="62"/>
      <x:c r="E863" s="68"/>
      <x:c r="F863" s="75"/>
      <x:c r="G863" s="71" t="n">
        <x:f>IF(A863="",0,E863*F863)</x:f>
        <x:v>0</x:v>
      </x:c>
      <x:c r="H863" s="62"/>
      <x:c r="I863" s="62"/>
      <x:c r="J863" s="62"/>
      <x:c r="K863" s="62"/>
    </x:row>
    <x:row r="864">
      <x:c r="A864" s="66"/>
      <x:c r="B864" s="62"/>
      <x:c r="C864" s="62"/>
      <x:c r="D864" s="62"/>
      <x:c r="E864" s="68"/>
      <x:c r="F864" s="75"/>
      <x:c r="G864" s="71" t="n">
        <x:f>IF(A864="",0,E864*F864)</x:f>
        <x:v>0</x:v>
      </x:c>
      <x:c r="H864" s="62"/>
      <x:c r="I864" s="62"/>
      <x:c r="J864" s="62"/>
      <x:c r="K864" s="62"/>
    </x:row>
    <x:row r="865">
      <x:c r="A865" s="66"/>
      <x:c r="B865" s="62"/>
      <x:c r="C865" s="62"/>
      <x:c r="D865" s="62"/>
      <x:c r="E865" s="68"/>
      <x:c r="F865" s="75"/>
      <x:c r="G865" s="71" t="n">
        <x:f>IF(A865="",0,E865*F865)</x:f>
        <x:v>0</x:v>
      </x:c>
      <x:c r="H865" s="62"/>
      <x:c r="I865" s="62"/>
      <x:c r="J865" s="62"/>
      <x:c r="K865" s="62"/>
    </x:row>
    <x:row r="866">
      <x:c r="A866" s="66"/>
      <x:c r="B866" s="62"/>
      <x:c r="C866" s="62"/>
      <x:c r="D866" s="62"/>
      <x:c r="E866" s="68"/>
      <x:c r="F866" s="75"/>
      <x:c r="G866" s="71" t="n">
        <x:f>IF(A866="",0,E866*F866)</x:f>
        <x:v>0</x:v>
      </x:c>
      <x:c r="H866" s="62"/>
      <x:c r="I866" s="62"/>
      <x:c r="J866" s="62"/>
      <x:c r="K866" s="62"/>
    </x:row>
    <x:row r="867">
      <x:c r="A867" s="66"/>
      <x:c r="B867" s="62"/>
      <x:c r="C867" s="62"/>
      <x:c r="D867" s="62"/>
      <x:c r="E867" s="68"/>
      <x:c r="F867" s="75"/>
      <x:c r="G867" s="71" t="n">
        <x:f>IF(A867="",0,E867*F867)</x:f>
        <x:v>0</x:v>
      </x:c>
      <x:c r="H867" s="62"/>
      <x:c r="I867" s="62"/>
      <x:c r="J867" s="62"/>
      <x:c r="K867" s="62"/>
    </x:row>
    <x:row r="868">
      <x:c r="A868" s="66"/>
      <x:c r="B868" s="62"/>
      <x:c r="C868" s="62"/>
      <x:c r="D868" s="62"/>
      <x:c r="E868" s="68"/>
      <x:c r="F868" s="75"/>
      <x:c r="G868" s="71" t="n">
        <x:f>IF(A868="",0,E868*F868)</x:f>
        <x:v>0</x:v>
      </x:c>
      <x:c r="H868" s="62"/>
      <x:c r="I868" s="62"/>
      <x:c r="J868" s="62"/>
      <x:c r="K868" s="62"/>
    </x:row>
    <x:row r="869">
      <x:c r="A869" s="66"/>
      <x:c r="B869" s="62"/>
      <x:c r="C869" s="62"/>
      <x:c r="D869" s="62"/>
      <x:c r="E869" s="68"/>
      <x:c r="F869" s="75"/>
      <x:c r="G869" s="71" t="n">
        <x:f>IF(A869="",0,E869*F869)</x:f>
        <x:v>0</x:v>
      </x:c>
      <x:c r="H869" s="62"/>
      <x:c r="I869" s="62"/>
      <x:c r="J869" s="62"/>
      <x:c r="K869" s="62"/>
    </x:row>
    <x:row r="870">
      <x:c r="A870" s="66"/>
      <x:c r="B870" s="62"/>
      <x:c r="C870" s="62"/>
      <x:c r="D870" s="62"/>
      <x:c r="E870" s="68"/>
      <x:c r="F870" s="75"/>
      <x:c r="G870" s="71" t="n">
        <x:f>IF(A870="",0,E870*F870)</x:f>
        <x:v>0</x:v>
      </x:c>
      <x:c r="H870" s="62"/>
      <x:c r="I870" s="62"/>
      <x:c r="J870" s="62"/>
      <x:c r="K870" s="62"/>
    </x:row>
    <x:row r="871">
      <x:c r="A871" s="66"/>
      <x:c r="B871" s="62"/>
      <x:c r="C871" s="62"/>
      <x:c r="D871" s="62"/>
      <x:c r="E871" s="68"/>
      <x:c r="F871" s="75"/>
      <x:c r="G871" s="71" t="n">
        <x:f>IF(A871="",0,E871*F871)</x:f>
        <x:v>0</x:v>
      </x:c>
      <x:c r="H871" s="62"/>
      <x:c r="I871" s="62"/>
      <x:c r="J871" s="62"/>
      <x:c r="K871" s="62"/>
    </x:row>
    <x:row r="872">
      <x:c r="A872" s="66"/>
      <x:c r="B872" s="62"/>
      <x:c r="C872" s="62"/>
      <x:c r="D872" s="62"/>
      <x:c r="E872" s="68"/>
      <x:c r="F872" s="75"/>
      <x:c r="G872" s="71" t="n">
        <x:f>IF(A872="",0,E872*F872)</x:f>
        <x:v>0</x:v>
      </x:c>
      <x:c r="H872" s="62"/>
      <x:c r="I872" s="62"/>
      <x:c r="J872" s="62"/>
      <x:c r="K872" s="62"/>
    </x:row>
    <x:row r="873">
      <x:c r="A873" s="66"/>
      <x:c r="B873" s="62"/>
      <x:c r="C873" s="62"/>
      <x:c r="D873" s="62"/>
      <x:c r="E873" s="68"/>
      <x:c r="F873" s="75"/>
      <x:c r="G873" s="71" t="n">
        <x:f>IF(A873="",0,E873*F873)</x:f>
        <x:v>0</x:v>
      </x:c>
      <x:c r="H873" s="62"/>
      <x:c r="I873" s="62"/>
      <x:c r="J873" s="62"/>
      <x:c r="K873" s="62"/>
    </x:row>
    <x:row r="874">
      <x:c r="A874" s="66"/>
      <x:c r="B874" s="62"/>
      <x:c r="C874" s="62"/>
      <x:c r="D874" s="62"/>
      <x:c r="E874" s="68"/>
      <x:c r="F874" s="75"/>
      <x:c r="G874" s="71" t="n">
        <x:f>IF(A874="",0,E874*F874)</x:f>
        <x:v>0</x:v>
      </x:c>
      <x:c r="H874" s="62"/>
      <x:c r="I874" s="62"/>
      <x:c r="J874" s="62"/>
      <x:c r="K874" s="62"/>
    </x:row>
    <x:row r="875">
      <x:c r="A875" s="66"/>
      <x:c r="B875" s="62"/>
      <x:c r="C875" s="62"/>
      <x:c r="D875" s="62"/>
      <x:c r="E875" s="68"/>
      <x:c r="F875" s="75"/>
      <x:c r="G875" s="71" t="n">
        <x:f>IF(A875="",0,E875*F875)</x:f>
        <x:v>0</x:v>
      </x:c>
      <x:c r="H875" s="62"/>
      <x:c r="I875" s="62"/>
      <x:c r="J875" s="62"/>
      <x:c r="K875" s="62"/>
    </x:row>
    <x:row r="876">
      <x:c r="A876" s="66"/>
      <x:c r="B876" s="62"/>
      <x:c r="C876" s="62"/>
      <x:c r="D876" s="62"/>
      <x:c r="E876" s="68"/>
      <x:c r="F876" s="75"/>
      <x:c r="G876" s="71" t="n">
        <x:f>IF(A876="",0,E876*F876)</x:f>
        <x:v>0</x:v>
      </x:c>
      <x:c r="H876" s="62"/>
      <x:c r="I876" s="62"/>
      <x:c r="J876" s="62"/>
      <x:c r="K876" s="62"/>
    </x:row>
    <x:row r="877">
      <x:c r="A877" s="66"/>
      <x:c r="B877" s="62"/>
      <x:c r="C877" s="62"/>
      <x:c r="D877" s="62"/>
      <x:c r="E877" s="68"/>
      <x:c r="F877" s="75"/>
      <x:c r="G877" s="71" t="n">
        <x:f>IF(A877="",0,E877*F877)</x:f>
        <x:v>0</x:v>
      </x:c>
      <x:c r="H877" s="62"/>
      <x:c r="I877" s="62"/>
      <x:c r="J877" s="62"/>
      <x:c r="K877" s="62"/>
    </x:row>
    <x:row r="878">
      <x:c r="A878" s="66"/>
      <x:c r="B878" s="62"/>
      <x:c r="C878" s="62"/>
      <x:c r="D878" s="62"/>
      <x:c r="E878" s="68"/>
      <x:c r="F878" s="75"/>
      <x:c r="G878" s="71" t="n">
        <x:f>IF(A878="",0,E878*F878)</x:f>
        <x:v>0</x:v>
      </x:c>
      <x:c r="H878" s="62"/>
      <x:c r="I878" s="62"/>
      <x:c r="J878" s="62"/>
      <x:c r="K878" s="62"/>
    </x:row>
    <x:row r="879">
      <x:c r="A879" s="66"/>
      <x:c r="B879" s="62"/>
      <x:c r="C879" s="62"/>
      <x:c r="D879" s="62"/>
      <x:c r="E879" s="68"/>
      <x:c r="F879" s="75"/>
      <x:c r="G879" s="71" t="n">
        <x:f>IF(A879="",0,E879*F879)</x:f>
        <x:v>0</x:v>
      </x:c>
      <x:c r="H879" s="62"/>
      <x:c r="I879" s="62"/>
      <x:c r="J879" s="62"/>
      <x:c r="K879" s="62"/>
    </x:row>
    <x:row r="880">
      <x:c r="A880" s="66"/>
      <x:c r="B880" s="62"/>
      <x:c r="C880" s="62"/>
      <x:c r="D880" s="62"/>
      <x:c r="E880" s="68"/>
      <x:c r="F880" s="75"/>
      <x:c r="G880" s="71" t="n">
        <x:f>IF(A880="",0,E880*F880)</x:f>
        <x:v>0</x:v>
      </x:c>
      <x:c r="H880" s="62"/>
      <x:c r="I880" s="62"/>
      <x:c r="J880" s="62"/>
      <x:c r="K880" s="62"/>
    </x:row>
    <x:row r="881">
      <x:c r="A881" s="66"/>
      <x:c r="B881" s="62"/>
      <x:c r="C881" s="62"/>
      <x:c r="D881" s="62"/>
      <x:c r="E881" s="68"/>
      <x:c r="F881" s="75"/>
      <x:c r="G881" s="71" t="n">
        <x:f>IF(A881="",0,E881*F881)</x:f>
        <x:v>0</x:v>
      </x:c>
      <x:c r="H881" s="62"/>
      <x:c r="I881" s="62"/>
      <x:c r="J881" s="62"/>
      <x:c r="K881" s="62"/>
    </x:row>
    <x:row r="882">
      <x:c r="A882" s="66"/>
      <x:c r="B882" s="62"/>
      <x:c r="C882" s="62"/>
      <x:c r="D882" s="62"/>
      <x:c r="E882" s="68"/>
      <x:c r="F882" s="75"/>
      <x:c r="G882" s="71" t="n">
        <x:f>IF(A882="",0,E882*F882)</x:f>
        <x:v>0</x:v>
      </x:c>
      <x:c r="H882" s="62"/>
      <x:c r="I882" s="62"/>
      <x:c r="J882" s="62"/>
      <x:c r="K882" s="62"/>
    </x:row>
    <x:row r="883">
      <x:c r="A883" s="66"/>
      <x:c r="B883" s="62"/>
      <x:c r="C883" s="62"/>
      <x:c r="D883" s="62"/>
      <x:c r="E883" s="68"/>
      <x:c r="F883" s="75"/>
      <x:c r="G883" s="71" t="n">
        <x:f>IF(A883="",0,E883*F883)</x:f>
        <x:v>0</x:v>
      </x:c>
      <x:c r="H883" s="62"/>
      <x:c r="I883" s="62"/>
      <x:c r="J883" s="62"/>
      <x:c r="K883" s="62"/>
    </x:row>
    <x:row r="884">
      <x:c r="A884" s="66"/>
      <x:c r="B884" s="62"/>
      <x:c r="C884" s="62"/>
      <x:c r="D884" s="62"/>
      <x:c r="E884" s="68"/>
      <x:c r="F884" s="75"/>
      <x:c r="G884" s="71" t="n">
        <x:f>IF(A884="",0,E884*F884)</x:f>
        <x:v>0</x:v>
      </x:c>
      <x:c r="H884" s="62"/>
      <x:c r="I884" s="62"/>
      <x:c r="J884" s="62"/>
      <x:c r="K884" s="62"/>
    </x:row>
    <x:row r="885">
      <x:c r="A885" s="66"/>
      <x:c r="B885" s="62"/>
      <x:c r="C885" s="62"/>
      <x:c r="D885" s="62"/>
      <x:c r="E885" s="68"/>
      <x:c r="F885" s="75"/>
      <x:c r="G885" s="71" t="n">
        <x:f>IF(A885="",0,E885*F885)</x:f>
        <x:v>0</x:v>
      </x:c>
      <x:c r="H885" s="62"/>
      <x:c r="I885" s="62"/>
      <x:c r="J885" s="62"/>
      <x:c r="K885" s="62"/>
    </x:row>
    <x:row r="886">
      <x:c r="A886" s="66"/>
      <x:c r="B886" s="62"/>
      <x:c r="C886" s="62"/>
      <x:c r="D886" s="62"/>
      <x:c r="E886" s="68"/>
      <x:c r="F886" s="75"/>
      <x:c r="G886" s="71" t="n">
        <x:f>IF(A886="",0,E886*F886)</x:f>
        <x:v>0</x:v>
      </x:c>
      <x:c r="H886" s="62"/>
      <x:c r="I886" s="62"/>
      <x:c r="J886" s="62"/>
      <x:c r="K886" s="62"/>
    </x:row>
    <x:row r="887">
      <x:c r="A887" s="66"/>
      <x:c r="B887" s="62"/>
      <x:c r="C887" s="62"/>
      <x:c r="D887" s="62"/>
      <x:c r="E887" s="68"/>
      <x:c r="F887" s="75"/>
      <x:c r="G887" s="71" t="n">
        <x:f>IF(A887="",0,E887*F887)</x:f>
        <x:v>0</x:v>
      </x:c>
      <x:c r="H887" s="62"/>
      <x:c r="I887" s="62"/>
      <x:c r="J887" s="62"/>
      <x:c r="K887" s="62"/>
    </x:row>
    <x:row r="888">
      <x:c r="A888" s="66"/>
      <x:c r="B888" s="62"/>
      <x:c r="C888" s="62"/>
      <x:c r="D888" s="62"/>
      <x:c r="E888" s="68"/>
      <x:c r="F888" s="75"/>
      <x:c r="G888" s="71" t="n">
        <x:f>IF(A888="",0,E888*F888)</x:f>
        <x:v>0</x:v>
      </x:c>
      <x:c r="H888" s="62"/>
      <x:c r="I888" s="62"/>
      <x:c r="J888" s="62"/>
      <x:c r="K888" s="62"/>
    </x:row>
    <x:row r="889">
      <x:c r="A889" s="66"/>
      <x:c r="B889" s="62"/>
      <x:c r="C889" s="62"/>
      <x:c r="D889" s="62"/>
      <x:c r="E889" s="68"/>
      <x:c r="F889" s="75"/>
      <x:c r="G889" s="71" t="n">
        <x:f>IF(A889="",0,E889*F889)</x:f>
        <x:v>0</x:v>
      </x:c>
      <x:c r="H889" s="62"/>
      <x:c r="I889" s="62"/>
      <x:c r="J889" s="62"/>
      <x:c r="K889" s="62"/>
    </x:row>
    <x:row r="890">
      <x:c r="A890" s="66"/>
      <x:c r="B890" s="62"/>
      <x:c r="C890" s="62"/>
      <x:c r="D890" s="62"/>
      <x:c r="E890" s="68"/>
      <x:c r="F890" s="75"/>
      <x:c r="G890" s="71" t="n">
        <x:f>IF(A890="",0,E890*F890)</x:f>
        <x:v>0</x:v>
      </x:c>
      <x:c r="H890" s="62"/>
      <x:c r="I890" s="62"/>
      <x:c r="J890" s="62"/>
      <x:c r="K890" s="62"/>
    </x:row>
    <x:row r="891">
      <x:c r="A891" s="66"/>
      <x:c r="B891" s="62"/>
      <x:c r="C891" s="62"/>
      <x:c r="D891" s="62"/>
      <x:c r="E891" s="68"/>
      <x:c r="F891" s="75"/>
      <x:c r="G891" s="71" t="n">
        <x:f>IF(A891="",0,E891*F891)</x:f>
        <x:v>0</x:v>
      </x:c>
      <x:c r="H891" s="62"/>
      <x:c r="I891" s="62"/>
      <x:c r="J891" s="62"/>
      <x:c r="K891" s="62"/>
    </x:row>
    <x:row r="892">
      <x:c r="A892" s="66"/>
      <x:c r="B892" s="62"/>
      <x:c r="C892" s="62"/>
      <x:c r="D892" s="62"/>
      <x:c r="E892" s="68"/>
      <x:c r="F892" s="75"/>
      <x:c r="G892" s="71" t="n">
        <x:f>IF(A892="",0,E892*F892)</x:f>
        <x:v>0</x:v>
      </x:c>
      <x:c r="H892" s="62"/>
      <x:c r="I892" s="62"/>
      <x:c r="J892" s="62"/>
      <x:c r="K892" s="62"/>
    </x:row>
    <x:row r="893">
      <x:c r="A893" s="66"/>
      <x:c r="B893" s="62"/>
      <x:c r="C893" s="62"/>
      <x:c r="D893" s="62"/>
      <x:c r="E893" s="68"/>
      <x:c r="F893" s="75"/>
      <x:c r="G893" s="71" t="n">
        <x:f>IF(A893="",0,E893*F893)</x:f>
        <x:v>0</x:v>
      </x:c>
      <x:c r="H893" s="62"/>
      <x:c r="I893" s="62"/>
      <x:c r="J893" s="62"/>
      <x:c r="K893" s="62"/>
    </x:row>
    <x:row r="894">
      <x:c r="A894" s="66"/>
      <x:c r="B894" s="62"/>
      <x:c r="C894" s="62"/>
      <x:c r="D894" s="62"/>
      <x:c r="E894" s="68"/>
      <x:c r="F894" s="75"/>
      <x:c r="G894" s="71" t="n">
        <x:f>IF(A894="",0,E894*F894)</x:f>
        <x:v>0</x:v>
      </x:c>
      <x:c r="H894" s="62"/>
      <x:c r="I894" s="62"/>
      <x:c r="J894" s="62"/>
      <x:c r="K894" s="62"/>
    </x:row>
    <x:row r="895">
      <x:c r="A895" s="66"/>
      <x:c r="B895" s="62"/>
      <x:c r="C895" s="62"/>
      <x:c r="D895" s="62"/>
      <x:c r="E895" s="68"/>
      <x:c r="F895" s="75"/>
      <x:c r="G895" s="71" t="n">
        <x:f>IF(A895="",0,E895*F895)</x:f>
        <x:v>0</x:v>
      </x:c>
      <x:c r="H895" s="62"/>
      <x:c r="I895" s="62"/>
      <x:c r="J895" s="62"/>
      <x:c r="K895" s="62"/>
    </x:row>
    <x:row r="896">
      <x:c r="A896" s="66"/>
      <x:c r="B896" s="62"/>
      <x:c r="C896" s="62"/>
      <x:c r="D896" s="62"/>
      <x:c r="E896" s="68"/>
      <x:c r="F896" s="75"/>
      <x:c r="G896" s="71" t="n">
        <x:f>IF(A896="",0,E896*F896)</x:f>
        <x:v>0</x:v>
      </x:c>
      <x:c r="H896" s="62"/>
      <x:c r="I896" s="62"/>
      <x:c r="J896" s="62"/>
      <x:c r="K896" s="62"/>
    </x:row>
    <x:row r="897">
      <x:c r="A897" s="66"/>
      <x:c r="B897" s="62"/>
      <x:c r="C897" s="62"/>
      <x:c r="D897" s="62"/>
      <x:c r="E897" s="68"/>
      <x:c r="F897" s="75"/>
      <x:c r="G897" s="71" t="n">
        <x:f>IF(A897="",0,E897*F897)</x:f>
        <x:v>0</x:v>
      </x:c>
      <x:c r="H897" s="62"/>
      <x:c r="I897" s="62"/>
      <x:c r="J897" s="62"/>
      <x:c r="K897" s="62"/>
    </x:row>
    <x:row r="898">
      <x:c r="A898" s="66"/>
      <x:c r="B898" s="62"/>
      <x:c r="C898" s="62"/>
      <x:c r="D898" s="62"/>
      <x:c r="E898" s="68"/>
      <x:c r="F898" s="75"/>
      <x:c r="G898" s="71" t="n">
        <x:f>IF(A898="",0,E898*F898)</x:f>
        <x:v>0</x:v>
      </x:c>
      <x:c r="H898" s="62"/>
      <x:c r="I898" s="62"/>
      <x:c r="J898" s="62"/>
      <x:c r="K898" s="62"/>
    </x:row>
    <x:row r="899">
      <x:c r="A899" s="66"/>
      <x:c r="B899" s="62"/>
      <x:c r="C899" s="62"/>
      <x:c r="D899" s="62"/>
      <x:c r="E899" s="68"/>
      <x:c r="F899" s="75"/>
      <x:c r="G899" s="71" t="n">
        <x:f>IF(A899="",0,E899*F899)</x:f>
        <x:v>0</x:v>
      </x:c>
      <x:c r="H899" s="62"/>
      <x:c r="I899" s="62"/>
      <x:c r="J899" s="62"/>
      <x:c r="K899" s="62"/>
    </x:row>
    <x:row r="900">
      <x:c r="A900" s="66"/>
      <x:c r="B900" s="62"/>
      <x:c r="C900" s="62"/>
      <x:c r="D900" s="62"/>
      <x:c r="E900" s="68"/>
      <x:c r="F900" s="75"/>
      <x:c r="G900" s="71" t="n">
        <x:f>IF(A900="",0,E900*F900)</x:f>
        <x:v>0</x:v>
      </x:c>
      <x:c r="H900" s="62"/>
      <x:c r="I900" s="62"/>
      <x:c r="J900" s="62"/>
      <x:c r="K900" s="62"/>
    </x:row>
    <x:row r="901">
      <x:c r="A901" s="66"/>
      <x:c r="B901" s="62"/>
      <x:c r="C901" s="62"/>
      <x:c r="D901" s="62"/>
      <x:c r="E901" s="68"/>
      <x:c r="F901" s="75"/>
      <x:c r="G901" s="71" t="n">
        <x:f>IF(A901="",0,E901*F901)</x:f>
        <x:v>0</x:v>
      </x:c>
      <x:c r="H901" s="62"/>
      <x:c r="I901" s="62"/>
      <x:c r="J901" s="62"/>
      <x:c r="K901" s="62"/>
    </x:row>
    <x:row r="902">
      <x:c r="A902" s="66"/>
      <x:c r="B902" s="62"/>
      <x:c r="C902" s="62"/>
      <x:c r="D902" s="62"/>
      <x:c r="E902" s="68"/>
      <x:c r="F902" s="75"/>
      <x:c r="G902" s="71" t="n">
        <x:f>IF(A902="",0,E902*F902)</x:f>
        <x:v>0</x:v>
      </x:c>
      <x:c r="H902" s="62"/>
      <x:c r="I902" s="62"/>
      <x:c r="J902" s="62"/>
      <x:c r="K902" s="62"/>
    </x:row>
    <x:row r="903">
      <x:c r="A903" s="66"/>
      <x:c r="B903" s="62"/>
      <x:c r="C903" s="62"/>
      <x:c r="D903" s="62"/>
      <x:c r="E903" s="68"/>
      <x:c r="F903" s="75"/>
      <x:c r="G903" s="71" t="n">
        <x:f>IF(A903="",0,E903*F903)</x:f>
        <x:v>0</x:v>
      </x:c>
      <x:c r="H903" s="62"/>
      <x:c r="I903" s="62"/>
      <x:c r="J903" s="62"/>
      <x:c r="K903" s="62"/>
    </x:row>
    <x:row r="904">
      <x:c r="A904" s="66"/>
      <x:c r="B904" s="62"/>
      <x:c r="C904" s="62"/>
      <x:c r="D904" s="62"/>
      <x:c r="E904" s="68"/>
      <x:c r="F904" s="75"/>
      <x:c r="G904" s="71" t="n">
        <x:f>IF(A904="",0,E904*F904)</x:f>
        <x:v>0</x:v>
      </x:c>
      <x:c r="H904" s="62"/>
      <x:c r="I904" s="62"/>
      <x:c r="J904" s="62"/>
      <x:c r="K904" s="62"/>
    </x:row>
    <x:row r="905">
      <x:c r="A905" s="66"/>
      <x:c r="B905" s="62"/>
      <x:c r="C905" s="62"/>
      <x:c r="D905" s="62"/>
      <x:c r="E905" s="68"/>
      <x:c r="F905" s="75"/>
      <x:c r="G905" s="71" t="n">
        <x:f>IF(A905="",0,E905*F905)</x:f>
        <x:v>0</x:v>
      </x:c>
      <x:c r="H905" s="62"/>
      <x:c r="I905" s="62"/>
      <x:c r="J905" s="62"/>
      <x:c r="K905" s="62"/>
    </x:row>
    <x:row r="906">
      <x:c r="A906" s="66"/>
      <x:c r="B906" s="62"/>
      <x:c r="C906" s="62"/>
      <x:c r="D906" s="62"/>
      <x:c r="E906" s="68"/>
      <x:c r="F906" s="75"/>
      <x:c r="G906" s="71" t="n">
        <x:f>IF(A906="",0,E906*F906)</x:f>
        <x:v>0</x:v>
      </x:c>
      <x:c r="H906" s="62"/>
      <x:c r="I906" s="62"/>
      <x:c r="J906" s="62"/>
      <x:c r="K906" s="62"/>
    </x:row>
    <x:row r="907">
      <x:c r="A907" s="66"/>
      <x:c r="B907" s="62"/>
      <x:c r="C907" s="62"/>
      <x:c r="D907" s="62"/>
      <x:c r="E907" s="68"/>
      <x:c r="F907" s="75"/>
      <x:c r="G907" s="71" t="n">
        <x:f>IF(A907="",0,E907*F907)</x:f>
        <x:v>0</x:v>
      </x:c>
      <x:c r="H907" s="62"/>
      <x:c r="I907" s="62"/>
      <x:c r="J907" s="62"/>
      <x:c r="K907" s="62"/>
    </x:row>
    <x:row r="908">
      <x:c r="A908" s="66"/>
      <x:c r="B908" s="62"/>
      <x:c r="C908" s="62"/>
      <x:c r="D908" s="62"/>
      <x:c r="E908" s="68"/>
      <x:c r="F908" s="75"/>
      <x:c r="G908" s="71" t="n">
        <x:f>IF(A908="",0,E908*F908)</x:f>
        <x:v>0</x:v>
      </x:c>
      <x:c r="H908" s="62"/>
      <x:c r="I908" s="62"/>
      <x:c r="J908" s="62"/>
      <x:c r="K908" s="62"/>
    </x:row>
    <x:row r="909">
      <x:c r="A909" s="66"/>
      <x:c r="B909" s="62"/>
      <x:c r="C909" s="62"/>
      <x:c r="D909" s="62"/>
      <x:c r="E909" s="68"/>
      <x:c r="F909" s="75"/>
      <x:c r="G909" s="71" t="n">
        <x:f>IF(A909="",0,E909*F909)</x:f>
        <x:v>0</x:v>
      </x:c>
      <x:c r="H909" s="62"/>
      <x:c r="I909" s="62"/>
      <x:c r="J909" s="62"/>
      <x:c r="K909" s="62"/>
    </x:row>
    <x:row r="910">
      <x:c r="A910" s="66"/>
      <x:c r="B910" s="62"/>
      <x:c r="C910" s="62"/>
      <x:c r="D910" s="62"/>
      <x:c r="E910" s="68"/>
      <x:c r="F910" s="75"/>
      <x:c r="G910" s="71" t="n">
        <x:f>IF(A910="",0,E910*F910)</x:f>
        <x:v>0</x:v>
      </x:c>
      <x:c r="H910" s="62"/>
      <x:c r="I910" s="62"/>
      <x:c r="J910" s="62"/>
      <x:c r="K910" s="62"/>
    </x:row>
    <x:row r="911">
      <x:c r="A911" s="66"/>
      <x:c r="B911" s="62"/>
      <x:c r="C911" s="62"/>
      <x:c r="D911" s="62"/>
      <x:c r="E911" s="68"/>
      <x:c r="F911" s="75"/>
      <x:c r="G911" s="71" t="n">
        <x:f>IF(A911="",0,E911*F911)</x:f>
        <x:v>0</x:v>
      </x:c>
      <x:c r="H911" s="62"/>
      <x:c r="I911" s="62"/>
      <x:c r="J911" s="62"/>
      <x:c r="K911" s="62"/>
    </x:row>
    <x:row r="912">
      <x:c r="A912" s="66"/>
      <x:c r="B912" s="62"/>
      <x:c r="C912" s="62"/>
      <x:c r="D912" s="62"/>
      <x:c r="E912" s="68"/>
      <x:c r="F912" s="75"/>
      <x:c r="G912" s="71" t="n">
        <x:f>IF(A912="",0,E912*F912)</x:f>
        <x:v>0</x:v>
      </x:c>
      <x:c r="H912" s="62"/>
      <x:c r="I912" s="62"/>
      <x:c r="J912" s="62"/>
      <x:c r="K912" s="62"/>
    </x:row>
    <x:row r="913">
      <x:c r="A913" s="66"/>
      <x:c r="B913" s="62"/>
      <x:c r="C913" s="62"/>
      <x:c r="D913" s="62"/>
      <x:c r="E913" s="68"/>
      <x:c r="F913" s="75"/>
      <x:c r="G913" s="71" t="n">
        <x:f>IF(A913="",0,E913*F913)</x:f>
        <x:v>0</x:v>
      </x:c>
      <x:c r="H913" s="62"/>
      <x:c r="I913" s="62"/>
      <x:c r="J913" s="62"/>
      <x:c r="K913" s="62"/>
    </x:row>
    <x:row r="914">
      <x:c r="A914" s="66"/>
      <x:c r="B914" s="62"/>
      <x:c r="C914" s="62"/>
      <x:c r="D914" s="62"/>
      <x:c r="E914" s="68"/>
      <x:c r="F914" s="75"/>
      <x:c r="G914" s="71" t="n">
        <x:f>IF(A914="",0,E914*F914)</x:f>
        <x:v>0</x:v>
      </x:c>
      <x:c r="H914" s="62"/>
      <x:c r="I914" s="62"/>
      <x:c r="J914" s="62"/>
      <x:c r="K914" s="62"/>
    </x:row>
    <x:row r="915">
      <x:c r="A915" s="66"/>
      <x:c r="B915" s="62"/>
      <x:c r="C915" s="62"/>
      <x:c r="D915" s="62"/>
      <x:c r="E915" s="68"/>
      <x:c r="F915" s="75"/>
      <x:c r="G915" s="71" t="n">
        <x:f>IF(A915="",0,E915*F915)</x:f>
        <x:v>0</x:v>
      </x:c>
      <x:c r="H915" s="62"/>
      <x:c r="I915" s="62"/>
      <x:c r="J915" s="62"/>
      <x:c r="K915" s="62"/>
    </x:row>
    <x:row r="916">
      <x:c r="A916" s="66"/>
      <x:c r="B916" s="62"/>
      <x:c r="C916" s="62"/>
      <x:c r="D916" s="62"/>
      <x:c r="E916" s="68"/>
      <x:c r="F916" s="75"/>
      <x:c r="G916" s="71" t="n">
        <x:f>IF(A916="",0,E916*F916)</x:f>
        <x:v>0</x:v>
      </x:c>
      <x:c r="H916" s="62"/>
      <x:c r="I916" s="62"/>
      <x:c r="J916" s="62"/>
      <x:c r="K916" s="62"/>
    </x:row>
    <x:row r="917">
      <x:c r="A917" s="66"/>
      <x:c r="B917" s="62"/>
      <x:c r="C917" s="62"/>
      <x:c r="D917" s="62"/>
      <x:c r="E917" s="68"/>
      <x:c r="F917" s="75"/>
      <x:c r="G917" s="71" t="n">
        <x:f>IF(A917="",0,E917*F917)</x:f>
        <x:v>0</x:v>
      </x:c>
      <x:c r="H917" s="62"/>
      <x:c r="I917" s="62"/>
      <x:c r="J917" s="62"/>
      <x:c r="K917" s="62"/>
    </x:row>
    <x:row r="918">
      <x:c r="A918" s="66"/>
      <x:c r="B918" s="62"/>
      <x:c r="C918" s="62"/>
      <x:c r="D918" s="62"/>
      <x:c r="E918" s="68"/>
      <x:c r="F918" s="75"/>
      <x:c r="G918" s="71" t="n">
        <x:f>IF(A918="",0,E918*F918)</x:f>
        <x:v>0</x:v>
      </x:c>
      <x:c r="H918" s="62"/>
      <x:c r="I918" s="62"/>
      <x:c r="J918" s="62"/>
      <x:c r="K918" s="62"/>
    </x:row>
    <x:row r="919">
      <x:c r="A919" s="66"/>
      <x:c r="B919" s="62"/>
      <x:c r="C919" s="62"/>
      <x:c r="D919" s="62"/>
      <x:c r="E919" s="68"/>
      <x:c r="F919" s="75"/>
      <x:c r="G919" s="71" t="n">
        <x:f>IF(A919="",0,E919*F919)</x:f>
        <x:v>0</x:v>
      </x:c>
      <x:c r="H919" s="62"/>
      <x:c r="I919" s="62"/>
      <x:c r="J919" s="62"/>
      <x:c r="K919" s="62"/>
    </x:row>
    <x:row r="920">
      <x:c r="A920" s="66"/>
      <x:c r="B920" s="62"/>
      <x:c r="C920" s="62"/>
      <x:c r="D920" s="62"/>
      <x:c r="E920" s="68"/>
      <x:c r="F920" s="75"/>
      <x:c r="G920" s="71" t="n">
        <x:f>IF(A920="",0,E920*F920)</x:f>
        <x:v>0</x:v>
      </x:c>
      <x:c r="H920" s="62"/>
      <x:c r="I920" s="62"/>
      <x:c r="J920" s="62"/>
      <x:c r="K920" s="62"/>
    </x:row>
    <x:row r="921">
      <x:c r="A921" s="66"/>
      <x:c r="B921" s="62"/>
      <x:c r="C921" s="62"/>
      <x:c r="D921" s="62"/>
      <x:c r="E921" s="68"/>
      <x:c r="F921" s="75"/>
      <x:c r="G921" s="71" t="n">
        <x:f>IF(A921="",0,E921*F921)</x:f>
        <x:v>0</x:v>
      </x:c>
      <x:c r="H921" s="62"/>
      <x:c r="I921" s="62"/>
      <x:c r="J921" s="62"/>
      <x:c r="K921" s="62"/>
    </x:row>
    <x:row r="922">
      <x:c r="A922" s="66"/>
      <x:c r="B922" s="62"/>
      <x:c r="C922" s="62"/>
      <x:c r="D922" s="62"/>
      <x:c r="E922" s="68"/>
      <x:c r="F922" s="75"/>
      <x:c r="G922" s="71" t="n">
        <x:f>IF(A922="",0,E922*F922)</x:f>
        <x:v>0</x:v>
      </x:c>
      <x:c r="H922" s="62"/>
      <x:c r="I922" s="62"/>
      <x:c r="J922" s="62"/>
      <x:c r="K922" s="62"/>
    </x:row>
    <x:row r="923">
      <x:c r="A923" s="66"/>
      <x:c r="B923" s="62"/>
      <x:c r="C923" s="62"/>
      <x:c r="D923" s="62"/>
      <x:c r="E923" s="68"/>
      <x:c r="F923" s="75"/>
      <x:c r="G923" s="71" t="n">
        <x:f>IF(A923="",0,E923*F923)</x:f>
        <x:v>0</x:v>
      </x:c>
      <x:c r="H923" s="62"/>
      <x:c r="I923" s="62"/>
      <x:c r="J923" s="62"/>
      <x:c r="K923" s="62"/>
    </x:row>
    <x:row r="924">
      <x:c r="A924" s="66"/>
      <x:c r="B924" s="62"/>
      <x:c r="C924" s="62"/>
      <x:c r="D924" s="62"/>
      <x:c r="E924" s="68"/>
      <x:c r="F924" s="75"/>
      <x:c r="G924" s="71" t="n">
        <x:f>IF(A924="",0,E924*F924)</x:f>
        <x:v>0</x:v>
      </x:c>
      <x:c r="H924" s="62"/>
      <x:c r="I924" s="62"/>
      <x:c r="J924" s="62"/>
      <x:c r="K924" s="62"/>
    </x:row>
    <x:row r="925">
      <x:c r="A925" s="66"/>
      <x:c r="B925" s="62"/>
      <x:c r="C925" s="62"/>
      <x:c r="D925" s="62"/>
      <x:c r="E925" s="68"/>
      <x:c r="F925" s="75"/>
      <x:c r="G925" s="71" t="n">
        <x:f>IF(A925="",0,E925*F925)</x:f>
        <x:v>0</x:v>
      </x:c>
      <x:c r="H925" s="62"/>
      <x:c r="I925" s="62"/>
      <x:c r="J925" s="62"/>
      <x:c r="K925" s="62"/>
    </x:row>
    <x:row r="926">
      <x:c r="A926" s="66"/>
      <x:c r="B926" s="62"/>
      <x:c r="C926" s="62"/>
      <x:c r="D926" s="62"/>
      <x:c r="E926" s="68"/>
      <x:c r="F926" s="75"/>
      <x:c r="G926" s="71" t="n">
        <x:f>IF(A926="",0,E926*F926)</x:f>
        <x:v>0</x:v>
      </x:c>
      <x:c r="H926" s="62"/>
      <x:c r="I926" s="62"/>
      <x:c r="J926" s="62"/>
      <x:c r="K926" s="62"/>
    </x:row>
    <x:row r="927">
      <x:c r="A927" s="66"/>
      <x:c r="B927" s="62"/>
      <x:c r="C927" s="62"/>
      <x:c r="D927" s="62"/>
      <x:c r="E927" s="68"/>
      <x:c r="F927" s="75"/>
      <x:c r="G927" s="71" t="n">
        <x:f>IF(A927="",0,E927*F927)</x:f>
        <x:v>0</x:v>
      </x:c>
      <x:c r="H927" s="62"/>
      <x:c r="I927" s="62"/>
      <x:c r="J927" s="62"/>
      <x:c r="K927" s="62"/>
    </x:row>
    <x:row r="928">
      <x:c r="A928" s="66"/>
      <x:c r="B928" s="62"/>
      <x:c r="C928" s="62"/>
      <x:c r="D928" s="62"/>
      <x:c r="E928" s="68"/>
      <x:c r="F928" s="75"/>
      <x:c r="G928" s="71" t="n">
        <x:f>IF(A928="",0,E928*F928)</x:f>
        <x:v>0</x:v>
      </x:c>
      <x:c r="H928" s="62"/>
      <x:c r="I928" s="62"/>
      <x:c r="J928" s="62"/>
      <x:c r="K928" s="62"/>
    </x:row>
    <x:row r="929">
      <x:c r="A929" s="66"/>
      <x:c r="B929" s="62"/>
      <x:c r="C929" s="62"/>
      <x:c r="D929" s="62"/>
      <x:c r="E929" s="68"/>
      <x:c r="F929" s="75"/>
      <x:c r="G929" s="71" t="n">
        <x:f>IF(A929="",0,E929*F929)</x:f>
        <x:v>0</x:v>
      </x:c>
      <x:c r="H929" s="62"/>
      <x:c r="I929" s="62"/>
      <x:c r="J929" s="62"/>
      <x:c r="K929" s="62"/>
    </x:row>
    <x:row r="930">
      <x:c r="A930" s="66"/>
      <x:c r="B930" s="62"/>
      <x:c r="C930" s="62"/>
      <x:c r="D930" s="62"/>
      <x:c r="E930" s="68"/>
      <x:c r="F930" s="75"/>
      <x:c r="G930" s="71" t="n">
        <x:f>IF(A930="",0,E930*F930)</x:f>
        <x:v>0</x:v>
      </x:c>
      <x:c r="H930" s="62"/>
      <x:c r="I930" s="62"/>
      <x:c r="J930" s="62"/>
      <x:c r="K930" s="62"/>
    </x:row>
    <x:row r="931">
      <x:c r="A931" s="66"/>
      <x:c r="B931" s="62"/>
      <x:c r="C931" s="62"/>
      <x:c r="D931" s="62"/>
      <x:c r="E931" s="68"/>
      <x:c r="F931" s="75"/>
      <x:c r="G931" s="71" t="n">
        <x:f>IF(A931="",0,E931*F931)</x:f>
        <x:v>0</x:v>
      </x:c>
      <x:c r="H931" s="62"/>
      <x:c r="I931" s="62"/>
      <x:c r="J931" s="62"/>
      <x:c r="K931" s="62"/>
    </x:row>
    <x:row r="932">
      <x:c r="A932" s="66"/>
      <x:c r="B932" s="62"/>
      <x:c r="C932" s="62"/>
      <x:c r="D932" s="62"/>
      <x:c r="E932" s="68"/>
      <x:c r="F932" s="75"/>
      <x:c r="G932" s="71" t="n">
        <x:f>IF(A932="",0,E932*F932)</x:f>
        <x:v>0</x:v>
      </x:c>
      <x:c r="H932" s="62"/>
      <x:c r="I932" s="62"/>
      <x:c r="J932" s="62"/>
      <x:c r="K932" s="62"/>
    </x:row>
    <x:row r="933">
      <x:c r="A933" s="66"/>
      <x:c r="B933" s="62"/>
      <x:c r="C933" s="62"/>
      <x:c r="D933" s="62"/>
      <x:c r="E933" s="68"/>
      <x:c r="F933" s="75"/>
      <x:c r="G933" s="71" t="n">
        <x:f>IF(A933="",0,E933*F933)</x:f>
        <x:v>0</x:v>
      </x:c>
      <x:c r="H933" s="62"/>
      <x:c r="I933" s="62"/>
      <x:c r="J933" s="62"/>
      <x:c r="K933" s="62"/>
    </x:row>
    <x:row r="934">
      <x:c r="A934" s="66"/>
      <x:c r="B934" s="62"/>
      <x:c r="C934" s="62"/>
      <x:c r="D934" s="62"/>
      <x:c r="E934" s="68"/>
      <x:c r="F934" s="75"/>
      <x:c r="G934" s="71" t="n">
        <x:f>IF(A934="",0,E934*F934)</x:f>
        <x:v>0</x:v>
      </x:c>
      <x:c r="H934" s="62"/>
      <x:c r="I934" s="62"/>
      <x:c r="J934" s="62"/>
      <x:c r="K934" s="62"/>
    </x:row>
    <x:row r="935">
      <x:c r="A935" s="66"/>
      <x:c r="B935" s="62"/>
      <x:c r="C935" s="62"/>
      <x:c r="D935" s="62"/>
      <x:c r="E935" s="68"/>
      <x:c r="F935" s="75"/>
      <x:c r="G935" s="71" t="n">
        <x:f>IF(A935="",0,E935*F935)</x:f>
        <x:v>0</x:v>
      </x:c>
      <x:c r="H935" s="62"/>
      <x:c r="I935" s="62"/>
      <x:c r="J935" s="62"/>
      <x:c r="K935" s="62"/>
    </x:row>
    <x:row r="936">
      <x:c r="A936" s="66"/>
      <x:c r="B936" s="62"/>
      <x:c r="C936" s="62"/>
      <x:c r="D936" s="62"/>
      <x:c r="E936" s="68"/>
      <x:c r="F936" s="75"/>
      <x:c r="G936" s="71" t="n">
        <x:f>IF(A936="",0,E936*F936)</x:f>
        <x:v>0</x:v>
      </x:c>
      <x:c r="H936" s="62"/>
      <x:c r="I936" s="62"/>
      <x:c r="J936" s="62"/>
      <x:c r="K936" s="62"/>
    </x:row>
    <x:row r="937">
      <x:c r="A937" s="66"/>
      <x:c r="B937" s="62"/>
      <x:c r="C937" s="62"/>
      <x:c r="D937" s="62"/>
      <x:c r="E937" s="68"/>
      <x:c r="F937" s="75"/>
      <x:c r="G937" s="71" t="n">
        <x:f>IF(A937="",0,E937*F937)</x:f>
        <x:v>0</x:v>
      </x:c>
      <x:c r="H937" s="62"/>
      <x:c r="I937" s="62"/>
      <x:c r="J937" s="62"/>
      <x:c r="K937" s="62"/>
    </x:row>
    <x:row r="938">
      <x:c r="A938" s="66"/>
      <x:c r="B938" s="62"/>
      <x:c r="C938" s="62"/>
      <x:c r="D938" s="62"/>
      <x:c r="E938" s="68"/>
      <x:c r="F938" s="75"/>
      <x:c r="G938" s="71" t="n">
        <x:f>IF(A938="",0,E938*F938)</x:f>
        <x:v>0</x:v>
      </x:c>
      <x:c r="H938" s="62"/>
      <x:c r="I938" s="62"/>
      <x:c r="J938" s="62"/>
      <x:c r="K938" s="62"/>
    </x:row>
    <x:row r="939">
      <x:c r="A939" s="66"/>
      <x:c r="B939" s="62"/>
      <x:c r="C939" s="62"/>
      <x:c r="D939" s="62"/>
      <x:c r="E939" s="68"/>
      <x:c r="F939" s="75"/>
      <x:c r="G939" s="71" t="n">
        <x:f>IF(A939="",0,E939*F939)</x:f>
        <x:v>0</x:v>
      </x:c>
      <x:c r="H939" s="62"/>
      <x:c r="I939" s="62"/>
      <x:c r="J939" s="62"/>
      <x:c r="K939" s="62"/>
    </x:row>
    <x:row r="940">
      <x:c r="A940" s="66"/>
      <x:c r="B940" s="62"/>
      <x:c r="C940" s="62"/>
      <x:c r="D940" s="62"/>
      <x:c r="E940" s="68"/>
      <x:c r="F940" s="75"/>
      <x:c r="G940" s="71" t="n">
        <x:f>IF(A940="",0,E940*F940)</x:f>
        <x:v>0</x:v>
      </x:c>
      <x:c r="H940" s="62"/>
      <x:c r="I940" s="62"/>
      <x:c r="J940" s="62"/>
      <x:c r="K940" s="62"/>
    </x:row>
    <x:row r="941">
      <x:c r="A941" s="66"/>
      <x:c r="B941" s="62"/>
      <x:c r="C941" s="62"/>
      <x:c r="D941" s="62"/>
      <x:c r="E941" s="68"/>
      <x:c r="F941" s="75"/>
      <x:c r="G941" s="71" t="n">
        <x:f>IF(A941="",0,E941*F941)</x:f>
        <x:v>0</x:v>
      </x:c>
      <x:c r="H941" s="62"/>
      <x:c r="I941" s="62"/>
      <x:c r="J941" s="62"/>
      <x:c r="K941" s="62"/>
    </x:row>
    <x:row r="942">
      <x:c r="A942" s="66"/>
      <x:c r="B942" s="62"/>
      <x:c r="C942" s="62"/>
      <x:c r="D942" s="62"/>
      <x:c r="E942" s="68"/>
      <x:c r="F942" s="75"/>
      <x:c r="G942" s="71" t="n">
        <x:f>IF(A942="",0,E942*F942)</x:f>
        <x:v>0</x:v>
      </x:c>
      <x:c r="H942" s="62"/>
      <x:c r="I942" s="62"/>
      <x:c r="J942" s="62"/>
      <x:c r="K942" s="62"/>
    </x:row>
    <x:row r="943">
      <x:c r="A943" s="66"/>
      <x:c r="B943" s="62"/>
      <x:c r="C943" s="62"/>
      <x:c r="D943" s="62"/>
      <x:c r="E943" s="68"/>
      <x:c r="F943" s="75"/>
      <x:c r="G943" s="71" t="n">
        <x:f>IF(A943="",0,E943*F943)</x:f>
        <x:v>0</x:v>
      </x:c>
      <x:c r="H943" s="62"/>
      <x:c r="I943" s="62"/>
      <x:c r="J943" s="62"/>
      <x:c r="K943" s="62"/>
    </x:row>
    <x:row r="944">
      <x:c r="A944" s="66"/>
      <x:c r="B944" s="62"/>
      <x:c r="C944" s="62"/>
      <x:c r="D944" s="62"/>
      <x:c r="E944" s="68"/>
      <x:c r="F944" s="75"/>
      <x:c r="G944" s="71" t="n">
        <x:f>IF(A944="",0,E944*F944)</x:f>
        <x:v>0</x:v>
      </x:c>
      <x:c r="H944" s="62"/>
      <x:c r="I944" s="62"/>
      <x:c r="J944" s="62"/>
      <x:c r="K944" s="62"/>
    </x:row>
    <x:row r="945">
      <x:c r="A945" s="66"/>
      <x:c r="B945" s="62"/>
      <x:c r="C945" s="62"/>
      <x:c r="D945" s="62"/>
      <x:c r="E945" s="68"/>
      <x:c r="F945" s="75"/>
      <x:c r="G945" s="71" t="n">
        <x:f>IF(A945="",0,E945*F945)</x:f>
        <x:v>0</x:v>
      </x:c>
      <x:c r="H945" s="62"/>
      <x:c r="I945" s="62"/>
      <x:c r="J945" s="62"/>
      <x:c r="K945" s="62"/>
    </x:row>
    <x:row r="946">
      <x:c r="A946" s="66"/>
      <x:c r="B946" s="62"/>
      <x:c r="C946" s="62"/>
      <x:c r="D946" s="62"/>
      <x:c r="E946" s="68"/>
      <x:c r="F946" s="75"/>
      <x:c r="G946" s="71" t="n">
        <x:f>IF(A946="",0,E946*F946)</x:f>
        <x:v>0</x:v>
      </x:c>
      <x:c r="H946" s="62"/>
      <x:c r="I946" s="62"/>
      <x:c r="J946" s="62"/>
      <x:c r="K946" s="62"/>
    </x:row>
    <x:row r="947">
      <x:c r="A947" s="66"/>
      <x:c r="B947" s="62"/>
      <x:c r="C947" s="62"/>
      <x:c r="D947" s="62"/>
      <x:c r="E947" s="68"/>
      <x:c r="F947" s="75"/>
      <x:c r="G947" s="71" t="n">
        <x:f>IF(A947="",0,E947*F947)</x:f>
        <x:v>0</x:v>
      </x:c>
      <x:c r="H947" s="62"/>
      <x:c r="I947" s="62"/>
      <x:c r="J947" s="62"/>
      <x:c r="K947" s="62"/>
    </x:row>
    <x:row r="948">
      <x:c r="A948" s="66"/>
      <x:c r="B948" s="62"/>
      <x:c r="C948" s="62"/>
      <x:c r="D948" s="62"/>
      <x:c r="E948" s="68"/>
      <x:c r="F948" s="75"/>
      <x:c r="G948" s="71" t="n">
        <x:f>IF(A948="",0,E948*F948)</x:f>
        <x:v>0</x:v>
      </x:c>
      <x:c r="H948" s="62"/>
      <x:c r="I948" s="62"/>
      <x:c r="J948" s="62"/>
      <x:c r="K948" s="62"/>
    </x:row>
    <x:row r="949">
      <x:c r="A949" s="66"/>
      <x:c r="B949" s="62"/>
      <x:c r="C949" s="62"/>
      <x:c r="D949" s="62"/>
      <x:c r="E949" s="68"/>
      <x:c r="F949" s="75"/>
      <x:c r="G949" s="71" t="n">
        <x:f>IF(A949="",0,E949*F949)</x:f>
        <x:v>0</x:v>
      </x:c>
      <x:c r="H949" s="62"/>
      <x:c r="I949" s="62"/>
      <x:c r="J949" s="62"/>
      <x:c r="K949" s="62"/>
    </x:row>
    <x:row r="950">
      <x:c r="A950" s="66"/>
      <x:c r="B950" s="62"/>
      <x:c r="C950" s="62"/>
      <x:c r="D950" s="62"/>
      <x:c r="E950" s="68"/>
      <x:c r="F950" s="75"/>
      <x:c r="G950" s="71" t="n">
        <x:f>IF(A950="",0,E950*F950)</x:f>
        <x:v>0</x:v>
      </x:c>
      <x:c r="H950" s="62"/>
      <x:c r="I950" s="62"/>
      <x:c r="J950" s="62"/>
      <x:c r="K950" s="62"/>
    </x:row>
    <x:row r="951">
      <x:c r="A951" s="66"/>
      <x:c r="B951" s="62"/>
      <x:c r="C951" s="62"/>
      <x:c r="D951" s="62"/>
      <x:c r="E951" s="68"/>
      <x:c r="F951" s="75"/>
      <x:c r="G951" s="71" t="n">
        <x:f>IF(A951="",0,E951*F951)</x:f>
        <x:v>0</x:v>
      </x:c>
      <x:c r="H951" s="62"/>
      <x:c r="I951" s="62"/>
      <x:c r="J951" s="62"/>
      <x:c r="K951" s="62"/>
    </x:row>
    <x:row r="952">
      <x:c r="A952" s="66"/>
      <x:c r="B952" s="62"/>
      <x:c r="C952" s="62"/>
      <x:c r="D952" s="62"/>
      <x:c r="E952" s="68"/>
      <x:c r="F952" s="75"/>
      <x:c r="G952" s="71" t="n">
        <x:f>IF(A952="",0,E952*F952)</x:f>
        <x:v>0</x:v>
      </x:c>
      <x:c r="H952" s="62"/>
      <x:c r="I952" s="62"/>
      <x:c r="J952" s="62"/>
      <x:c r="K952" s="62"/>
    </x:row>
    <x:row r="953">
      <x:c r="A953" s="66"/>
      <x:c r="B953" s="62"/>
      <x:c r="C953" s="62"/>
      <x:c r="D953" s="62"/>
      <x:c r="E953" s="68"/>
      <x:c r="F953" s="75"/>
      <x:c r="G953" s="71" t="n">
        <x:f>IF(A953="",0,E953*F953)</x:f>
        <x:v>0</x:v>
      </x:c>
      <x:c r="H953" s="62"/>
      <x:c r="I953" s="62"/>
      <x:c r="J953" s="62"/>
      <x:c r="K953" s="62"/>
    </x:row>
    <x:row r="954">
      <x:c r="A954" s="66"/>
      <x:c r="B954" s="62"/>
      <x:c r="C954" s="62"/>
      <x:c r="D954" s="62"/>
      <x:c r="E954" s="68"/>
      <x:c r="F954" s="75"/>
      <x:c r="G954" s="71" t="n">
        <x:f>IF(A954="",0,E954*F954)</x:f>
        <x:v>0</x:v>
      </x:c>
      <x:c r="H954" s="62"/>
      <x:c r="I954" s="62"/>
      <x:c r="J954" s="62"/>
      <x:c r="K954" s="62"/>
    </x:row>
    <x:row r="955">
      <x:c r="A955" s="66"/>
      <x:c r="B955" s="62"/>
      <x:c r="C955" s="62"/>
      <x:c r="D955" s="62"/>
      <x:c r="E955" s="68"/>
      <x:c r="F955" s="75"/>
      <x:c r="G955" s="71" t="n">
        <x:f>IF(A955="",0,E955*F955)</x:f>
        <x:v>0</x:v>
      </x:c>
      <x:c r="H955" s="62"/>
      <x:c r="I955" s="62"/>
      <x:c r="J955" s="62"/>
      <x:c r="K955" s="62"/>
    </x:row>
    <x:row r="956">
      <x:c r="A956" s="66"/>
      <x:c r="B956" s="62"/>
      <x:c r="C956" s="62"/>
      <x:c r="D956" s="62"/>
      <x:c r="E956" s="68"/>
      <x:c r="F956" s="75"/>
      <x:c r="G956" s="71" t="n">
        <x:f>IF(A956="",0,E956*F956)</x:f>
        <x:v>0</x:v>
      </x:c>
      <x:c r="H956" s="62"/>
      <x:c r="I956" s="62"/>
      <x:c r="J956" s="62"/>
      <x:c r="K956" s="62"/>
    </x:row>
    <x:row r="957">
      <x:c r="A957" s="66"/>
      <x:c r="B957" s="62"/>
      <x:c r="C957" s="62"/>
      <x:c r="D957" s="62"/>
      <x:c r="E957" s="68"/>
      <x:c r="F957" s="75"/>
      <x:c r="G957" s="71" t="n">
        <x:f>IF(A957="",0,E957*F957)</x:f>
        <x:v>0</x:v>
      </x:c>
      <x:c r="H957" s="62"/>
      <x:c r="I957" s="62"/>
      <x:c r="J957" s="62"/>
      <x:c r="K957" s="62"/>
    </x:row>
    <x:row r="958">
      <x:c r="A958" s="66"/>
      <x:c r="B958" s="62"/>
      <x:c r="C958" s="62"/>
      <x:c r="D958" s="62"/>
      <x:c r="E958" s="68"/>
      <x:c r="F958" s="75"/>
      <x:c r="G958" s="71" t="n">
        <x:f>IF(A958="",0,E958*F958)</x:f>
        <x:v>0</x:v>
      </x:c>
      <x:c r="H958" s="62"/>
      <x:c r="I958" s="62"/>
      <x:c r="J958" s="62"/>
      <x:c r="K958" s="62"/>
    </x:row>
    <x:row r="959">
      <x:c r="A959" s="66"/>
      <x:c r="B959" s="62"/>
      <x:c r="C959" s="62"/>
      <x:c r="D959" s="62"/>
      <x:c r="E959" s="68"/>
      <x:c r="F959" s="75"/>
      <x:c r="G959" s="71" t="n">
        <x:f>IF(A959="",0,E959*F959)</x:f>
        <x:v>0</x:v>
      </x:c>
      <x:c r="H959" s="62"/>
      <x:c r="I959" s="62"/>
      <x:c r="J959" s="62"/>
      <x:c r="K959" s="62"/>
    </x:row>
    <x:row r="960">
      <x:c r="A960" s="66"/>
      <x:c r="B960" s="62"/>
      <x:c r="C960" s="62"/>
      <x:c r="D960" s="62"/>
      <x:c r="E960" s="68"/>
      <x:c r="F960" s="75"/>
      <x:c r="G960" s="71" t="n">
        <x:f>IF(A960="",0,E960*F960)</x:f>
        <x:v>0</x:v>
      </x:c>
      <x:c r="H960" s="62"/>
      <x:c r="I960" s="62"/>
      <x:c r="J960" s="62"/>
      <x:c r="K960" s="62"/>
    </x:row>
    <x:row r="961">
      <x:c r="A961" s="66"/>
      <x:c r="B961" s="62"/>
      <x:c r="C961" s="62"/>
      <x:c r="D961" s="62"/>
      <x:c r="E961" s="68"/>
      <x:c r="F961" s="75"/>
      <x:c r="G961" s="71" t="n">
        <x:f>IF(A961="",0,E961*F961)</x:f>
        <x:v>0</x:v>
      </x:c>
      <x:c r="H961" s="62"/>
      <x:c r="I961" s="62"/>
      <x:c r="J961" s="62"/>
      <x:c r="K961" s="62"/>
    </x:row>
    <x:row r="962">
      <x:c r="A962" s="66"/>
      <x:c r="B962" s="62"/>
      <x:c r="C962" s="62"/>
      <x:c r="D962" s="62"/>
      <x:c r="E962" s="68"/>
      <x:c r="F962" s="75"/>
      <x:c r="G962" s="71" t="n">
        <x:f>IF(A962="",0,E962*F962)</x:f>
        <x:v>0</x:v>
      </x:c>
      <x:c r="H962" s="62"/>
      <x:c r="I962" s="62"/>
      <x:c r="J962" s="62"/>
      <x:c r="K962" s="62"/>
    </x:row>
    <x:row r="963">
      <x:c r="A963" s="66"/>
      <x:c r="B963" s="62"/>
      <x:c r="C963" s="62"/>
      <x:c r="D963" s="62"/>
      <x:c r="E963" s="68"/>
      <x:c r="F963" s="75"/>
      <x:c r="G963" s="71" t="n">
        <x:f>IF(A963="",0,E963*F963)</x:f>
        <x:v>0</x:v>
      </x:c>
      <x:c r="H963" s="62"/>
      <x:c r="I963" s="62"/>
      <x:c r="J963" s="62"/>
      <x:c r="K963" s="62"/>
    </x:row>
    <x:row r="964">
      <x:c r="A964" s="66"/>
      <x:c r="B964" s="62"/>
      <x:c r="C964" s="62"/>
      <x:c r="D964" s="62"/>
      <x:c r="E964" s="68"/>
      <x:c r="F964" s="75"/>
      <x:c r="G964" s="71" t="n">
        <x:f>IF(A964="",0,E964*F964)</x:f>
        <x:v>0</x:v>
      </x:c>
      <x:c r="H964" s="62"/>
      <x:c r="I964" s="62"/>
      <x:c r="J964" s="62"/>
      <x:c r="K964" s="62"/>
    </x:row>
    <x:row r="965">
      <x:c r="A965" s="66"/>
      <x:c r="B965" s="62"/>
      <x:c r="C965" s="62"/>
      <x:c r="D965" s="62"/>
      <x:c r="E965" s="68"/>
      <x:c r="F965" s="75"/>
      <x:c r="G965" s="71" t="n">
        <x:f>IF(A965="",0,E965*F965)</x:f>
        <x:v>0</x:v>
      </x:c>
      <x:c r="H965" s="62"/>
      <x:c r="I965" s="62"/>
      <x:c r="J965" s="62"/>
      <x:c r="K965" s="62"/>
    </x:row>
    <x:row r="966">
      <x:c r="A966" s="66"/>
      <x:c r="B966" s="62"/>
      <x:c r="C966" s="62"/>
      <x:c r="D966" s="62"/>
      <x:c r="E966" s="68"/>
      <x:c r="F966" s="75"/>
      <x:c r="G966" s="71" t="n">
        <x:f>IF(A966="",0,E966*F966)</x:f>
        <x:v>0</x:v>
      </x:c>
      <x:c r="H966" s="62"/>
      <x:c r="I966" s="62"/>
      <x:c r="J966" s="62"/>
      <x:c r="K966" s="62"/>
    </x:row>
    <x:row r="967">
      <x:c r="A967" s="66"/>
      <x:c r="B967" s="62"/>
      <x:c r="C967" s="62"/>
      <x:c r="D967" s="62"/>
      <x:c r="E967" s="68"/>
      <x:c r="F967" s="75"/>
      <x:c r="G967" s="71" t="n">
        <x:f>IF(A967="",0,E967*F967)</x:f>
        <x:v>0</x:v>
      </x:c>
      <x:c r="H967" s="62"/>
      <x:c r="I967" s="62"/>
      <x:c r="J967" s="62"/>
      <x:c r="K967" s="62"/>
    </x:row>
    <x:row r="968">
      <x:c r="A968" s="66"/>
      <x:c r="B968" s="62"/>
      <x:c r="C968" s="62"/>
      <x:c r="D968" s="62"/>
      <x:c r="E968" s="68"/>
      <x:c r="F968" s="75"/>
      <x:c r="G968" s="71" t="n">
        <x:f>IF(A968="",0,E968*F968)</x:f>
        <x:v>0</x:v>
      </x:c>
      <x:c r="H968" s="62"/>
      <x:c r="I968" s="62"/>
      <x:c r="J968" s="62"/>
      <x:c r="K968" s="62"/>
    </x:row>
    <x:row r="969">
      <x:c r="A969" s="66"/>
      <x:c r="B969" s="62"/>
      <x:c r="C969" s="62"/>
      <x:c r="D969" s="62"/>
      <x:c r="E969" s="68"/>
      <x:c r="F969" s="75"/>
      <x:c r="G969" s="71" t="n">
        <x:f>IF(A969="",0,E969*F969)</x:f>
        <x:v>0</x:v>
      </x:c>
      <x:c r="H969" s="62"/>
      <x:c r="I969" s="62"/>
      <x:c r="J969" s="62"/>
      <x:c r="K969" s="62"/>
    </x:row>
    <x:row r="970">
      <x:c r="A970" s="66"/>
      <x:c r="B970" s="62"/>
      <x:c r="C970" s="62"/>
      <x:c r="D970" s="62"/>
      <x:c r="E970" s="68"/>
      <x:c r="F970" s="75"/>
      <x:c r="G970" s="71" t="n">
        <x:f>IF(A970="",0,E970*F970)</x:f>
        <x:v>0</x:v>
      </x:c>
      <x:c r="H970" s="62"/>
      <x:c r="I970" s="62"/>
      <x:c r="J970" s="62"/>
      <x:c r="K970" s="62"/>
    </x:row>
    <x:row r="971">
      <x:c r="A971" s="66"/>
      <x:c r="B971" s="62"/>
      <x:c r="C971" s="62"/>
      <x:c r="D971" s="62"/>
      <x:c r="E971" s="68"/>
      <x:c r="F971" s="75"/>
      <x:c r="G971" s="71" t="n">
        <x:f>IF(A971="",0,E971*F971)</x:f>
        <x:v>0</x:v>
      </x:c>
      <x:c r="H971" s="62"/>
      <x:c r="I971" s="62"/>
      <x:c r="J971" s="62"/>
      <x:c r="K971" s="62"/>
    </x:row>
    <x:row r="972">
      <x:c r="A972" s="66"/>
      <x:c r="B972" s="62"/>
      <x:c r="C972" s="62"/>
      <x:c r="D972" s="62"/>
      <x:c r="E972" s="68"/>
      <x:c r="F972" s="75"/>
      <x:c r="G972" s="71" t="n">
        <x:f>IF(A972="",0,E972*F972)</x:f>
        <x:v>0</x:v>
      </x:c>
      <x:c r="H972" s="62"/>
      <x:c r="I972" s="62"/>
      <x:c r="J972" s="62"/>
      <x:c r="K972" s="62"/>
    </x:row>
    <x:row r="973">
      <x:c r="A973" s="66"/>
      <x:c r="B973" s="62"/>
      <x:c r="C973" s="62"/>
      <x:c r="D973" s="62"/>
      <x:c r="E973" s="68"/>
      <x:c r="F973" s="75"/>
      <x:c r="G973" s="71" t="n">
        <x:f>IF(A973="",0,E973*F973)</x:f>
        <x:v>0</x:v>
      </x:c>
      <x:c r="H973" s="62"/>
      <x:c r="I973" s="62"/>
      <x:c r="J973" s="62"/>
      <x:c r="K973" s="62"/>
    </x:row>
    <x:row r="974">
      <x:c r="A974" s="66"/>
      <x:c r="B974" s="62"/>
      <x:c r="C974" s="62"/>
      <x:c r="D974" s="62"/>
      <x:c r="E974" s="68"/>
      <x:c r="F974" s="75"/>
      <x:c r="G974" s="71" t="n">
        <x:f>IF(A974="",0,E974*F974)</x:f>
        <x:v>0</x:v>
      </x:c>
      <x:c r="H974" s="62"/>
      <x:c r="I974" s="62"/>
      <x:c r="J974" s="62"/>
      <x:c r="K974" s="62"/>
    </x:row>
    <x:row r="975">
      <x:c r="A975" s="66"/>
      <x:c r="B975" s="62"/>
      <x:c r="C975" s="62"/>
      <x:c r="D975" s="62"/>
      <x:c r="E975" s="68"/>
      <x:c r="F975" s="75"/>
      <x:c r="G975" s="71" t="n">
        <x:f>IF(A975="",0,E975*F975)</x:f>
        <x:v>0</x:v>
      </x:c>
      <x:c r="H975" s="62"/>
      <x:c r="I975" s="62"/>
      <x:c r="J975" s="62"/>
      <x:c r="K975" s="62"/>
    </x:row>
    <x:row r="976">
      <x:c r="A976" s="66"/>
      <x:c r="B976" s="62"/>
      <x:c r="C976" s="62"/>
      <x:c r="D976" s="62"/>
      <x:c r="E976" s="68"/>
      <x:c r="F976" s="75"/>
      <x:c r="G976" s="71" t="n">
        <x:f>IF(A976="",0,E976*F976)</x:f>
        <x:v>0</x:v>
      </x:c>
      <x:c r="H976" s="62"/>
      <x:c r="I976" s="62"/>
      <x:c r="J976" s="62"/>
      <x:c r="K976" s="62"/>
    </x:row>
    <x:row r="977">
      <x:c r="A977" s="66"/>
      <x:c r="B977" s="62"/>
      <x:c r="C977" s="62"/>
      <x:c r="D977" s="62"/>
      <x:c r="E977" s="68"/>
      <x:c r="F977" s="75"/>
      <x:c r="G977" s="71" t="n">
        <x:f>IF(A977="",0,E977*F977)</x:f>
        <x:v>0</x:v>
      </x:c>
      <x:c r="H977" s="62"/>
      <x:c r="I977" s="62"/>
      <x:c r="J977" s="62"/>
      <x:c r="K977" s="62"/>
    </x:row>
    <x:row r="978">
      <x:c r="A978" s="66"/>
      <x:c r="B978" s="62"/>
      <x:c r="C978" s="62"/>
      <x:c r="D978" s="62"/>
      <x:c r="E978" s="68"/>
      <x:c r="F978" s="75"/>
      <x:c r="G978" s="71" t="n">
        <x:f>IF(A978="",0,E978*F978)</x:f>
        <x:v>0</x:v>
      </x:c>
      <x:c r="H978" s="62"/>
      <x:c r="I978" s="62"/>
      <x:c r="J978" s="62"/>
      <x:c r="K978" s="62"/>
    </x:row>
    <x:row r="979">
      <x:c r="A979" s="66"/>
      <x:c r="B979" s="62"/>
      <x:c r="C979" s="62"/>
      <x:c r="D979" s="62"/>
      <x:c r="E979" s="68"/>
      <x:c r="F979" s="75"/>
      <x:c r="G979" s="71" t="n">
        <x:f>IF(A979="",0,E979*F979)</x:f>
        <x:v>0</x:v>
      </x:c>
      <x:c r="H979" s="62"/>
      <x:c r="I979" s="62"/>
      <x:c r="J979" s="62"/>
      <x:c r="K979" s="62"/>
    </x:row>
    <x:row r="980">
      <x:c r="A980" s="66"/>
      <x:c r="B980" s="62"/>
      <x:c r="C980" s="62"/>
      <x:c r="D980" s="62"/>
      <x:c r="E980" s="68"/>
      <x:c r="F980" s="75"/>
      <x:c r="G980" s="71" t="n">
        <x:f>IF(A980="",0,E980*F980)</x:f>
        <x:v>0</x:v>
      </x:c>
      <x:c r="H980" s="62"/>
      <x:c r="I980" s="62"/>
      <x:c r="J980" s="62"/>
      <x:c r="K980" s="62"/>
    </x:row>
    <x:row r="981">
      <x:c r="A981" s="66"/>
      <x:c r="B981" s="62"/>
      <x:c r="C981" s="62"/>
      <x:c r="D981" s="62"/>
      <x:c r="E981" s="68"/>
      <x:c r="F981" s="75"/>
      <x:c r="G981" s="71" t="n">
        <x:f>IF(A981="",0,E981*F981)</x:f>
        <x:v>0</x:v>
      </x:c>
      <x:c r="H981" s="62"/>
      <x:c r="I981" s="62"/>
      <x:c r="J981" s="62"/>
      <x:c r="K981" s="62"/>
    </x:row>
    <x:row r="982">
      <x:c r="A982" s="66"/>
      <x:c r="B982" s="62"/>
      <x:c r="C982" s="62"/>
      <x:c r="D982" s="62"/>
      <x:c r="E982" s="68"/>
      <x:c r="F982" s="75"/>
      <x:c r="G982" s="71" t="n">
        <x:f>IF(A982="",0,E982*F982)</x:f>
        <x:v>0</x:v>
      </x:c>
      <x:c r="H982" s="62"/>
      <x:c r="I982" s="62"/>
      <x:c r="J982" s="62"/>
      <x:c r="K982" s="62"/>
    </x:row>
    <x:row r="983">
      <x:c r="A983" s="66"/>
      <x:c r="B983" s="62"/>
      <x:c r="C983" s="62"/>
      <x:c r="D983" s="62"/>
      <x:c r="E983" s="68"/>
      <x:c r="F983" s="75"/>
      <x:c r="G983" s="71" t="n">
        <x:f>IF(A983="",0,E983*F983)</x:f>
        <x:v>0</x:v>
      </x:c>
      <x:c r="H983" s="62"/>
      <x:c r="I983" s="62"/>
      <x:c r="J983" s="62"/>
      <x:c r="K983" s="62"/>
    </x:row>
    <x:row r="984">
      <x:c r="A984" s="66"/>
      <x:c r="B984" s="62"/>
      <x:c r="C984" s="62"/>
      <x:c r="D984" s="62"/>
      <x:c r="E984" s="68"/>
      <x:c r="F984" s="75"/>
      <x:c r="G984" s="71" t="n">
        <x:f>IF(A984="",0,E984*F984)</x:f>
        <x:v>0</x:v>
      </x:c>
      <x:c r="H984" s="62"/>
      <x:c r="I984" s="62"/>
      <x:c r="J984" s="62"/>
      <x:c r="K984" s="62"/>
    </x:row>
    <x:row r="985">
      <x:c r="A985" s="66"/>
      <x:c r="B985" s="62"/>
      <x:c r="C985" s="62"/>
      <x:c r="D985" s="62"/>
      <x:c r="E985" s="68"/>
      <x:c r="F985" s="75"/>
      <x:c r="G985" s="71" t="n">
        <x:f>IF(A985="",0,E985*F985)</x:f>
        <x:v>0</x:v>
      </x:c>
      <x:c r="H985" s="62"/>
      <x:c r="I985" s="62"/>
      <x:c r="J985" s="62"/>
      <x:c r="K985" s="62"/>
    </x:row>
    <x:row r="986">
      <x:c r="A986" s="66"/>
      <x:c r="B986" s="62"/>
      <x:c r="C986" s="62"/>
      <x:c r="D986" s="62"/>
      <x:c r="E986" s="68"/>
      <x:c r="F986" s="75"/>
      <x:c r="G986" s="71" t="n">
        <x:f>IF(A986="",0,E986*F986)</x:f>
        <x:v>0</x:v>
      </x:c>
      <x:c r="H986" s="62"/>
      <x:c r="I986" s="62"/>
      <x:c r="J986" s="62"/>
      <x:c r="K986" s="62"/>
    </x:row>
    <x:row r="987">
      <x:c r="A987" s="66"/>
      <x:c r="B987" s="62"/>
      <x:c r="C987" s="62"/>
      <x:c r="D987" s="62"/>
      <x:c r="E987" s="68"/>
      <x:c r="F987" s="75"/>
      <x:c r="G987" s="71" t="n">
        <x:f>IF(A987="",0,E987*F987)</x:f>
        <x:v>0</x:v>
      </x:c>
      <x:c r="H987" s="62"/>
      <x:c r="I987" s="62"/>
      <x:c r="J987" s="62"/>
      <x:c r="K987" s="62"/>
    </x:row>
    <x:row r="988">
      <x:c r="A988" s="66"/>
      <x:c r="B988" s="62"/>
      <x:c r="C988" s="62"/>
      <x:c r="D988" s="62"/>
      <x:c r="E988" s="68"/>
      <x:c r="F988" s="75"/>
      <x:c r="G988" s="71" t="n">
        <x:f>IF(A988="",0,E988*F988)</x:f>
        <x:v>0</x:v>
      </x:c>
      <x:c r="H988" s="62"/>
      <x:c r="I988" s="62"/>
      <x:c r="J988" s="62"/>
      <x:c r="K988" s="62"/>
    </x:row>
    <x:row r="989">
      <x:c r="A989" s="66"/>
      <x:c r="B989" s="62"/>
      <x:c r="C989" s="62"/>
      <x:c r="D989" s="62"/>
      <x:c r="E989" s="68"/>
      <x:c r="F989" s="75"/>
      <x:c r="G989" s="71" t="n">
        <x:f>IF(A989="",0,E989*F989)</x:f>
        <x:v>0</x:v>
      </x:c>
      <x:c r="H989" s="62"/>
      <x:c r="I989" s="62"/>
      <x:c r="J989" s="62"/>
      <x:c r="K989" s="62"/>
    </x:row>
    <x:row r="990">
      <x:c r="A990" s="66"/>
      <x:c r="B990" s="62"/>
      <x:c r="C990" s="62"/>
      <x:c r="D990" s="62"/>
      <x:c r="E990" s="68"/>
      <x:c r="F990" s="75"/>
      <x:c r="G990" s="71" t="n">
        <x:f>IF(A990="",0,E990*F990)</x:f>
        <x:v>0</x:v>
      </x:c>
      <x:c r="H990" s="62"/>
      <x:c r="I990" s="62"/>
      <x:c r="J990" s="62"/>
      <x:c r="K990" s="62"/>
    </x:row>
    <x:row r="991">
      <x:c r="A991" s="66"/>
      <x:c r="B991" s="62"/>
      <x:c r="C991" s="62"/>
      <x:c r="D991" s="62"/>
      <x:c r="E991" s="68"/>
      <x:c r="F991" s="75"/>
      <x:c r="G991" s="71" t="n">
        <x:f>IF(A991="",0,E991*F991)</x:f>
        <x:v>0</x:v>
      </x:c>
      <x:c r="H991" s="62"/>
      <x:c r="I991" s="62"/>
      <x:c r="J991" s="62"/>
      <x:c r="K991" s="62"/>
    </x:row>
    <x:row r="992">
      <x:c r="A992" s="66"/>
      <x:c r="B992" s="62"/>
      <x:c r="C992" s="62"/>
      <x:c r="D992" s="62"/>
      <x:c r="E992" s="68"/>
      <x:c r="F992" s="75"/>
      <x:c r="G992" s="71" t="n">
        <x:f>IF(A992="",0,E992*F992)</x:f>
        <x:v>0</x:v>
      </x:c>
      <x:c r="H992" s="62"/>
      <x:c r="I992" s="62"/>
      <x:c r="J992" s="62"/>
      <x:c r="K992" s="62"/>
    </x:row>
    <x:row r="993">
      <x:c r="A993" s="66"/>
      <x:c r="B993" s="62"/>
      <x:c r="C993" s="62"/>
      <x:c r="D993" s="62"/>
      <x:c r="E993" s="68"/>
      <x:c r="F993" s="75"/>
      <x:c r="G993" s="71" t="n">
        <x:f>IF(A993="",0,E993*F993)</x:f>
        <x:v>0</x:v>
      </x:c>
      <x:c r="H993" s="62"/>
      <x:c r="I993" s="62"/>
      <x:c r="J993" s="62"/>
      <x:c r="K993" s="62"/>
    </x:row>
    <x:row r="994">
      <x:c r="A994" s="66"/>
      <x:c r="B994" s="62"/>
      <x:c r="C994" s="62"/>
      <x:c r="D994" s="62"/>
      <x:c r="E994" s="68"/>
      <x:c r="F994" s="75"/>
      <x:c r="G994" s="71" t="n">
        <x:f>IF(A994="",0,E994*F994)</x:f>
        <x:v>0</x:v>
      </x:c>
      <x:c r="H994" s="62"/>
      <x:c r="I994" s="62"/>
      <x:c r="J994" s="62"/>
      <x:c r="K994" s="62"/>
    </x:row>
    <x:row r="995">
      <x:c r="A995" s="66"/>
      <x:c r="B995" s="62"/>
      <x:c r="C995" s="62"/>
      <x:c r="D995" s="62"/>
      <x:c r="E995" s="68"/>
      <x:c r="F995" s="75"/>
      <x:c r="G995" s="71" t="n">
        <x:f>IF(A995="",0,E995*F995)</x:f>
        <x:v>0</x:v>
      </x:c>
      <x:c r="H995" s="62"/>
      <x:c r="I995" s="62"/>
      <x:c r="J995" s="62"/>
      <x:c r="K995" s="62"/>
    </x:row>
    <x:row r="996">
      <x:c r="A996" s="66"/>
      <x:c r="B996" s="62"/>
      <x:c r="C996" s="62"/>
      <x:c r="D996" s="62"/>
      <x:c r="E996" s="68"/>
      <x:c r="F996" s="75"/>
      <x:c r="G996" s="71" t="n">
        <x:f>IF(A996="",0,E996*F996)</x:f>
        <x:v>0</x:v>
      </x:c>
      <x:c r="H996" s="62"/>
      <x:c r="I996" s="62"/>
      <x:c r="J996" s="62"/>
      <x:c r="K996" s="62"/>
    </x:row>
    <x:row r="997">
      <x:c r="A997" s="66"/>
      <x:c r="B997" s="62"/>
      <x:c r="C997" s="62"/>
      <x:c r="D997" s="62"/>
      <x:c r="E997" s="68"/>
      <x:c r="F997" s="75"/>
      <x:c r="G997" s="71" t="n">
        <x:f>IF(A997="",0,E997*F997)</x:f>
        <x:v>0</x:v>
      </x:c>
      <x:c r="H997" s="62"/>
      <x:c r="I997" s="62"/>
      <x:c r="J997" s="62"/>
      <x:c r="K997" s="62"/>
    </x:row>
    <x:row r="998">
      <x:c r="A998" s="66"/>
      <x:c r="B998" s="62"/>
      <x:c r="C998" s="62"/>
      <x:c r="D998" s="62"/>
      <x:c r="E998" s="68"/>
      <x:c r="F998" s="75"/>
      <x:c r="G998" s="71" t="n">
        <x:f>IF(A998="",0,E998*F998)</x:f>
        <x:v>0</x:v>
      </x:c>
      <x:c r="H998" s="62"/>
      <x:c r="I998" s="62"/>
      <x:c r="J998" s="62"/>
      <x:c r="K998" s="62"/>
    </x:row>
    <x:row r="999">
      <x:c r="A999" s="66"/>
      <x:c r="B999" s="62"/>
      <x:c r="C999" s="62"/>
      <x:c r="D999" s="62"/>
      <x:c r="E999" s="68"/>
      <x:c r="F999" s="75"/>
      <x:c r="G999" s="71" t="n">
        <x:f>IF(A999="",0,E999*F999)</x:f>
        <x:v>0</x:v>
      </x:c>
      <x:c r="H999" s="62"/>
      <x:c r="I999" s="62"/>
      <x:c r="J999" s="62"/>
      <x:c r="K999" s="62"/>
    </x:row>
    <x:row r="1000">
      <x:c r="A1000" s="66"/>
      <x:c r="B1000" s="62"/>
      <x:c r="C1000" s="62"/>
      <x:c r="D1000" s="62"/>
      <x:c r="E1000" s="68"/>
      <x:c r="F1000" s="75"/>
      <x:c r="G1000" s="71" t="n">
        <x:f>IF(A1000="",0,E1000*F1000)</x:f>
        <x:v>0</x:v>
      </x:c>
      <x:c r="H1000" s="62"/>
      <x:c r="I1000" s="62"/>
      <x:c r="J1000" s="62"/>
      <x:c r="K1000" s="62"/>
    </x:row>
    <x:row r="1001">
      <x:c r="A1001" s="66"/>
      <x:c r="B1001" s="62"/>
      <x:c r="C1001" s="62"/>
      <x:c r="D1001" s="62"/>
      <x:c r="E1001" s="68"/>
      <x:c r="F1001" s="75"/>
      <x:c r="G1001" s="71" t="n">
        <x:f>IF(A1001="",0,E1001*F1001)</x:f>
        <x:v>0</x:v>
      </x:c>
      <x:c r="H1001" s="62"/>
      <x:c r="I1001" s="62"/>
      <x:c r="J1001" s="62"/>
      <x:c r="K1001" s="62"/>
    </x:row>
    <x:row r="1002">
      <x:c r="A1002" s="66"/>
      <x:c r="B1002" s="62"/>
      <x:c r="C1002" s="62"/>
      <x:c r="D1002" s="62"/>
      <x:c r="E1002" s="68"/>
      <x:c r="F1002" s="75"/>
      <x:c r="G1002" s="71" t="n">
        <x:f>IF(A1002="",0,E1002*F1002)</x:f>
        <x:v>0</x:v>
      </x:c>
      <x:c r="H1002" s="62"/>
      <x:c r="I1002" s="62"/>
      <x:c r="J1002" s="62"/>
      <x:c r="K1002" s="62"/>
    </x:row>
    <x:row r="1003">
      <x:c r="A1003" s="66"/>
      <x:c r="B1003" s="62"/>
      <x:c r="C1003" s="62"/>
      <x:c r="D1003" s="62"/>
      <x:c r="E1003" s="68"/>
      <x:c r="F1003" s="75"/>
      <x:c r="G1003" s="71" t="n">
        <x:f>IF(A1003="",0,E1003*F1003)</x:f>
        <x:v>0</x:v>
      </x:c>
      <x:c r="H1003" s="62"/>
      <x:c r="I1003" s="62"/>
      <x:c r="J1003" s="62"/>
      <x:c r="K1003" s="62"/>
    </x:row>
    <x:row r="1004">
      <x:c r="A1004" s="66"/>
      <x:c r="B1004" s="62"/>
      <x:c r="C1004" s="62"/>
      <x:c r="D1004" s="62"/>
      <x:c r="E1004" s="68"/>
      <x:c r="F1004" s="75"/>
      <x:c r="G1004" s="71" t="n">
        <x:f>IF(A1004="",0,E1004*F1004)</x:f>
        <x:v>0</x:v>
      </x:c>
      <x:c r="H1004" s="62"/>
      <x:c r="I1004" s="62"/>
      <x:c r="J1004" s="62"/>
      <x:c r="K1004" s="62"/>
    </x:row>
    <x:row r="1005">
      <x:c r="A1005" s="66"/>
      <x:c r="B1005" s="62"/>
      <x:c r="C1005" s="62"/>
      <x:c r="D1005" s="62"/>
      <x:c r="E1005" s="68"/>
      <x:c r="F1005" s="75"/>
      <x:c r="G1005" s="71" t="n">
        <x:f>IF(A1005="",0,E1005*F1005)</x:f>
        <x:v>0</x:v>
      </x:c>
      <x:c r="H1005" s="62"/>
      <x:c r="I1005" s="62"/>
      <x:c r="J1005" s="62"/>
      <x:c r="K1005" s="62"/>
    </x:row>
    <x:row r="1006">
      <x:c r="A1006" s="66"/>
      <x:c r="B1006" s="62"/>
      <x:c r="C1006" s="62"/>
      <x:c r="D1006" s="62"/>
      <x:c r="E1006" s="68"/>
      <x:c r="F1006" s="75"/>
      <x:c r="G1006" s="71" t="n">
        <x:f>IF(A1006="",0,E1006*F1006)</x:f>
        <x:v>0</x:v>
      </x:c>
      <x:c r="H1006" s="62"/>
      <x:c r="I1006" s="62"/>
      <x:c r="J1006" s="62"/>
      <x:c r="K1006" s="62"/>
    </x:row>
    <x:row r="1007">
      <x:c r="A1007" s="66"/>
      <x:c r="B1007" s="62"/>
      <x:c r="C1007" s="62"/>
      <x:c r="D1007" s="62"/>
      <x:c r="E1007" s="68"/>
      <x:c r="F1007" s="75"/>
      <x:c r="G1007" s="71" t="n">
        <x:f>IF(A1007="",0,E1007*F1007)</x:f>
        <x:v>0</x:v>
      </x:c>
      <x:c r="H1007" s="62"/>
      <x:c r="I1007" s="62"/>
      <x:c r="J1007" s="62"/>
      <x:c r="K1007" s="62"/>
    </x:row>
    <x:row r="1008">
      <x:c r="A1008" s="66"/>
      <x:c r="B1008" s="62"/>
      <x:c r="C1008" s="62"/>
      <x:c r="D1008" s="62"/>
      <x:c r="E1008" s="68"/>
      <x:c r="F1008" s="75"/>
      <x:c r="G1008" s="71" t="n">
        <x:f>IF(A1008="",0,E1008*F1008)</x:f>
        <x:v>0</x:v>
      </x:c>
      <x:c r="H1008" s="62"/>
      <x:c r="I1008" s="62"/>
      <x:c r="J1008" s="62"/>
      <x:c r="K1008" s="62"/>
    </x:row>
    <x:row r="1009">
      <x:c r="A1009" s="66"/>
      <x:c r="B1009" s="62"/>
      <x:c r="C1009" s="62"/>
      <x:c r="D1009" s="62"/>
      <x:c r="E1009" s="68"/>
      <x:c r="F1009" s="75"/>
      <x:c r="G1009" s="71" t="n">
        <x:f>IF(A1009="",0,E1009*F1009)</x:f>
        <x:v>0</x:v>
      </x:c>
      <x:c r="H1009" s="62"/>
      <x:c r="I1009" s="62"/>
      <x:c r="J1009" s="62"/>
      <x:c r="K1009" s="62"/>
    </x:row>
    <x:row r="1010">
      <x:c r="A1010" s="66"/>
      <x:c r="B1010" s="62"/>
      <x:c r="C1010" s="62"/>
      <x:c r="D1010" s="62"/>
      <x:c r="E1010" s="68"/>
      <x:c r="F1010" s="75"/>
      <x:c r="G1010" s="71" t="n">
        <x:f>IF(A1010="",0,E1010*F1010)</x:f>
        <x:v>0</x:v>
      </x:c>
      <x:c r="H1010" s="62"/>
      <x:c r="I1010" s="62"/>
      <x:c r="J1010" s="62"/>
      <x:c r="K1010" s="62"/>
    </x:row>
    <x:row r="1011">
      <x:c r="A1011" s="66"/>
      <x:c r="B1011" s="62"/>
      <x:c r="C1011" s="62"/>
      <x:c r="D1011" s="62"/>
      <x:c r="E1011" s="68"/>
      <x:c r="F1011" s="75"/>
      <x:c r="G1011" s="71" t="n">
        <x:f>IF(A1011="",0,E1011*F1011)</x:f>
        <x:v>0</x:v>
      </x:c>
      <x:c r="H1011" s="62"/>
      <x:c r="I1011" s="62"/>
      <x:c r="J1011" s="62"/>
      <x:c r="K1011" s="62"/>
    </x:row>
    <x:row r="1012">
      <x:c r="A1012" s="66"/>
      <x:c r="B1012" s="62"/>
      <x:c r="C1012" s="62"/>
      <x:c r="D1012" s="62"/>
      <x:c r="E1012" s="68"/>
      <x:c r="F1012" s="75"/>
      <x:c r="G1012" s="71" t="n">
        <x:f>IF(A1012="",0,E1012*F1012)</x:f>
        <x:v>0</x:v>
      </x:c>
      <x:c r="H1012" s="62"/>
      <x:c r="I1012" s="62"/>
      <x:c r="J1012" s="62"/>
      <x:c r="K1012" s="62"/>
    </x:row>
    <x:row r="1013">
      <x:c r="A1013" s="66"/>
      <x:c r="B1013" s="62"/>
      <x:c r="C1013" s="62"/>
      <x:c r="D1013" s="62"/>
      <x:c r="E1013" s="68"/>
      <x:c r="F1013" s="75"/>
      <x:c r="G1013" s="71" t="n">
        <x:f>IF(A1013="",0,E1013*F1013)</x:f>
        <x:v>0</x:v>
      </x:c>
      <x:c r="H1013" s="62"/>
      <x:c r="I1013" s="62"/>
      <x:c r="J1013" s="62"/>
      <x:c r="K1013" s="62"/>
    </x:row>
    <x:row r="1014">
      <x:c r="A1014" s="66"/>
      <x:c r="B1014" s="62"/>
      <x:c r="C1014" s="62"/>
      <x:c r="D1014" s="62"/>
      <x:c r="E1014" s="68"/>
      <x:c r="F1014" s="75"/>
      <x:c r="G1014" s="71" t="n">
        <x:f>IF(A1014="",0,E1014*F1014)</x:f>
        <x:v>0</x:v>
      </x:c>
      <x:c r="H1014" s="62"/>
      <x:c r="I1014" s="62"/>
      <x:c r="J1014" s="62"/>
      <x:c r="K1014" s="62"/>
    </x:row>
    <x:row r="1015">
      <x:c r="A1015" s="66"/>
      <x:c r="B1015" s="62"/>
      <x:c r="C1015" s="62"/>
      <x:c r="D1015" s="62"/>
      <x:c r="E1015" s="68"/>
      <x:c r="F1015" s="75"/>
      <x:c r="G1015" s="71" t="n">
        <x:f>IF(A1015="",0,E1015*F1015)</x:f>
        <x:v>0</x:v>
      </x:c>
      <x:c r="H1015" s="62"/>
      <x:c r="I1015" s="62"/>
      <x:c r="J1015" s="62"/>
      <x:c r="K1015" s="62"/>
    </x:row>
    <x:row r="1016">
      <x:c r="A1016" s="66"/>
      <x:c r="B1016" s="62"/>
      <x:c r="C1016" s="62"/>
      <x:c r="D1016" s="62"/>
      <x:c r="E1016" s="68"/>
      <x:c r="F1016" s="75"/>
      <x:c r="G1016" s="71" t="n">
        <x:f>IF(A1016="",0,E1016*F1016)</x:f>
        <x:v>0</x:v>
      </x:c>
      <x:c r="H1016" s="62"/>
      <x:c r="I1016" s="62"/>
      <x:c r="J1016" s="62"/>
      <x:c r="K1016" s="62"/>
    </x:row>
    <x:row r="1017">
      <x:c r="A1017" s="66"/>
      <x:c r="B1017" s="62"/>
      <x:c r="C1017" s="62"/>
      <x:c r="D1017" s="62"/>
      <x:c r="E1017" s="68"/>
      <x:c r="F1017" s="75"/>
      <x:c r="G1017" s="71" t="n">
        <x:f>IF(A1017="",0,E1017*F1017)</x:f>
        <x:v>0</x:v>
      </x:c>
      <x:c r="H1017" s="62"/>
      <x:c r="I1017" s="62"/>
      <x:c r="J1017" s="62"/>
      <x:c r="K1017" s="62"/>
    </x:row>
    <x:row r="1018">
      <x:c r="A1018" s="66"/>
      <x:c r="B1018" s="62"/>
      <x:c r="C1018" s="62"/>
      <x:c r="D1018" s="62"/>
      <x:c r="E1018" s="68"/>
      <x:c r="F1018" s="75"/>
      <x:c r="G1018" s="71" t="n">
        <x:f>IF(A1018="",0,E1018*F1018)</x:f>
        <x:v>0</x:v>
      </x:c>
      <x:c r="H1018" s="62"/>
      <x:c r="I1018" s="62"/>
      <x:c r="J1018" s="62"/>
      <x:c r="K1018" s="62"/>
    </x:row>
    <x:row r="1019">
      <x:c r="A1019" s="66"/>
      <x:c r="B1019" s="62"/>
      <x:c r="C1019" s="62"/>
      <x:c r="D1019" s="62"/>
      <x:c r="E1019" s="68"/>
      <x:c r="F1019" s="75"/>
      <x:c r="G1019" s="71" t="n">
        <x:f>IF(A1019="",0,E1019*F1019)</x:f>
        <x:v>0</x:v>
      </x:c>
      <x:c r="H1019" s="62"/>
      <x:c r="I1019" s="62"/>
      <x:c r="J1019" s="62"/>
      <x:c r="K1019" s="62"/>
    </x:row>
    <x:row r="1020">
      <x:c r="A1020" s="66"/>
      <x:c r="B1020" s="62"/>
      <x:c r="C1020" s="62"/>
      <x:c r="D1020" s="62"/>
      <x:c r="E1020" s="68"/>
      <x:c r="F1020" s="75"/>
      <x:c r="G1020" s="71" t="n">
        <x:f>IF(A1020="",0,E1020*F1020)</x:f>
        <x:v>0</x:v>
      </x:c>
      <x:c r="H1020" s="62"/>
      <x:c r="I1020" s="62"/>
      <x:c r="J1020" s="62"/>
      <x:c r="K1020" s="62"/>
    </x:row>
    <x:row r="1021">
      <x:c r="A1021" s="66"/>
      <x:c r="B1021" s="62"/>
      <x:c r="C1021" s="62"/>
      <x:c r="D1021" s="62"/>
      <x:c r="E1021" s="68"/>
      <x:c r="F1021" s="75"/>
      <x:c r="G1021" s="71" t="n">
        <x:f>IF(A1021="",0,E1021*F1021)</x:f>
        <x:v>0</x:v>
      </x:c>
      <x:c r="H1021" s="62"/>
      <x:c r="I1021" s="62"/>
      <x:c r="J1021" s="62"/>
      <x:c r="K1021" s="62"/>
    </x:row>
    <x:row r="1022">
      <x:c r="A1022" s="66"/>
      <x:c r="B1022" s="62"/>
      <x:c r="C1022" s="62"/>
      <x:c r="D1022" s="62"/>
      <x:c r="E1022" s="68"/>
      <x:c r="F1022" s="75"/>
      <x:c r="G1022" s="71" t="n">
        <x:f>IF(A1022="",0,E1022*F1022)</x:f>
        <x:v>0</x:v>
      </x:c>
      <x:c r="H1022" s="62"/>
      <x:c r="I1022" s="62"/>
      <x:c r="J1022" s="62"/>
      <x:c r="K1022" s="62"/>
    </x:row>
    <x:row r="1023">
      <x:c r="A1023" s="66"/>
      <x:c r="B1023" s="62"/>
      <x:c r="C1023" s="62"/>
      <x:c r="D1023" s="62"/>
      <x:c r="E1023" s="68"/>
      <x:c r="F1023" s="75"/>
      <x:c r="G1023" s="71" t="n">
        <x:f>IF(A1023="",0,E1023*F1023)</x:f>
        <x:v>0</x:v>
      </x:c>
      <x:c r="H1023" s="62"/>
      <x:c r="I1023" s="62"/>
      <x:c r="J1023" s="62"/>
      <x:c r="K1023" s="62"/>
    </x:row>
    <x:row r="1024">
      <x:c r="A1024" s="66"/>
      <x:c r="B1024" s="62"/>
      <x:c r="C1024" s="62"/>
      <x:c r="D1024" s="62"/>
      <x:c r="E1024" s="68"/>
      <x:c r="F1024" s="75"/>
      <x:c r="G1024" s="71" t="n">
        <x:f>IF(A1024="",0,E1024*F1024)</x:f>
        <x:v>0</x:v>
      </x:c>
      <x:c r="H1024" s="62"/>
      <x:c r="I1024" s="62"/>
      <x:c r="J1024" s="62"/>
      <x:c r="K1024" s="62"/>
    </x:row>
    <x:row r="1025">
      <x:c r="A1025" s="66"/>
      <x:c r="B1025" s="62"/>
      <x:c r="C1025" s="62"/>
      <x:c r="D1025" s="62"/>
      <x:c r="E1025" s="68"/>
      <x:c r="F1025" s="75"/>
      <x:c r="G1025" s="71" t="n">
        <x:f>IF(A1025="",0,E1025*F1025)</x:f>
        <x:v>0</x:v>
      </x:c>
      <x:c r="H1025" s="62"/>
      <x:c r="I1025" s="62"/>
      <x:c r="J1025" s="62"/>
      <x:c r="K1025" s="62"/>
    </x:row>
    <x:row r="1026">
      <x:c r="A1026" s="66"/>
      <x:c r="B1026" s="62"/>
      <x:c r="C1026" s="62"/>
      <x:c r="D1026" s="62"/>
      <x:c r="E1026" s="68"/>
      <x:c r="F1026" s="75"/>
      <x:c r="G1026" s="71" t="n">
        <x:f>IF(A1026="",0,E1026*F1026)</x:f>
        <x:v>0</x:v>
      </x:c>
      <x:c r="H1026" s="62"/>
      <x:c r="I1026" s="62"/>
      <x:c r="J1026" s="62"/>
      <x:c r="K1026" s="62"/>
    </x:row>
    <x:row r="1027">
      <x:c r="A1027" s="66"/>
      <x:c r="B1027" s="62"/>
      <x:c r="C1027" s="62"/>
      <x:c r="D1027" s="62"/>
      <x:c r="E1027" s="68"/>
      <x:c r="F1027" s="75"/>
      <x:c r="G1027" s="71" t="n">
        <x:f>IF(A1027="",0,E1027*F1027)</x:f>
        <x:v>0</x:v>
      </x:c>
      <x:c r="H1027" s="62"/>
      <x:c r="I1027" s="62"/>
      <x:c r="J1027" s="62"/>
      <x:c r="K1027" s="62"/>
    </x:row>
    <x:row r="1028">
      <x:c r="A1028" s="66"/>
      <x:c r="B1028" s="62"/>
      <x:c r="C1028" s="62"/>
      <x:c r="D1028" s="62"/>
      <x:c r="E1028" s="68"/>
      <x:c r="F1028" s="75"/>
      <x:c r="G1028" s="71" t="n">
        <x:f>IF(A1028="",0,E1028*F1028)</x:f>
        <x:v>0</x:v>
      </x:c>
      <x:c r="H1028" s="62"/>
      <x:c r="I1028" s="62"/>
      <x:c r="J1028" s="62"/>
      <x:c r="K1028" s="62"/>
    </x:row>
    <x:row r="1029">
      <x:c r="A1029" s="66"/>
      <x:c r="B1029" s="62"/>
      <x:c r="C1029" s="62"/>
      <x:c r="D1029" s="62"/>
      <x:c r="E1029" s="68"/>
      <x:c r="F1029" s="75"/>
      <x:c r="G1029" s="71" t="n">
        <x:f>IF(A1029="",0,E1029*F1029)</x:f>
        <x:v>0</x:v>
      </x:c>
      <x:c r="H1029" s="62"/>
      <x:c r="I1029" s="62"/>
      <x:c r="J1029" s="62"/>
      <x:c r="K1029" s="62"/>
    </x:row>
    <x:row r="1030">
      <x:c r="A1030" s="66"/>
      <x:c r="B1030" s="62"/>
      <x:c r="C1030" s="62"/>
      <x:c r="D1030" s="62"/>
      <x:c r="E1030" s="68"/>
      <x:c r="F1030" s="75"/>
      <x:c r="G1030" s="71" t="n">
        <x:f>IF(A1030="",0,E1030*F1030)</x:f>
        <x:v>0</x:v>
      </x:c>
      <x:c r="H1030" s="62"/>
      <x:c r="I1030" s="62"/>
      <x:c r="J1030" s="62"/>
      <x:c r="K1030" s="62"/>
    </x:row>
    <x:row r="1031">
      <x:c r="A1031" s="66"/>
      <x:c r="B1031" s="62"/>
      <x:c r="C1031" s="62"/>
      <x:c r="D1031" s="62"/>
      <x:c r="E1031" s="68"/>
      <x:c r="F1031" s="75"/>
      <x:c r="G1031" s="71" t="n">
        <x:f>IF(A1031="",0,E1031*F1031)</x:f>
        <x:v>0</x:v>
      </x:c>
      <x:c r="H1031" s="62"/>
      <x:c r="I1031" s="62"/>
      <x:c r="J1031" s="62"/>
      <x:c r="K1031" s="62"/>
    </x:row>
    <x:row r="1032">
      <x:c r="A1032" s="66"/>
      <x:c r="B1032" s="62"/>
      <x:c r="C1032" s="62"/>
      <x:c r="D1032" s="62"/>
      <x:c r="E1032" s="68"/>
      <x:c r="F1032" s="75"/>
      <x:c r="G1032" s="71" t="n">
        <x:f>IF(A1032="",0,E1032*F1032)</x:f>
        <x:v>0</x:v>
      </x:c>
      <x:c r="H1032" s="62"/>
      <x:c r="I1032" s="62"/>
      <x:c r="J1032" s="62"/>
      <x:c r="K1032" s="62"/>
    </x:row>
    <x:row r="1033">
      <x:c r="A1033" s="66"/>
      <x:c r="B1033" s="62"/>
      <x:c r="C1033" s="62"/>
      <x:c r="D1033" s="62"/>
      <x:c r="E1033" s="68"/>
      <x:c r="F1033" s="75"/>
      <x:c r="G1033" s="71" t="n">
        <x:f>IF(A1033="",0,E1033*F1033)</x:f>
        <x:v>0</x:v>
      </x:c>
      <x:c r="H1033" s="62"/>
      <x:c r="I1033" s="62"/>
      <x:c r="J1033" s="62"/>
      <x:c r="K1033" s="62"/>
    </x:row>
    <x:row r="1034">
      <x:c r="A1034" s="66"/>
      <x:c r="B1034" s="62"/>
      <x:c r="C1034" s="62"/>
      <x:c r="D1034" s="62"/>
      <x:c r="E1034" s="68"/>
      <x:c r="F1034" s="75"/>
      <x:c r="G1034" s="71" t="n">
        <x:f>IF(A1034="",0,E1034*F1034)</x:f>
        <x:v>0</x:v>
      </x:c>
      <x:c r="H1034" s="62"/>
      <x:c r="I1034" s="62"/>
      <x:c r="J1034" s="62"/>
      <x:c r="K1034" s="62"/>
    </x:row>
    <x:row r="1035">
      <x:c r="A1035" s="66"/>
      <x:c r="B1035" s="62"/>
      <x:c r="C1035" s="62"/>
      <x:c r="D1035" s="62"/>
      <x:c r="E1035" s="68"/>
      <x:c r="F1035" s="75"/>
      <x:c r="G1035" s="71" t="n">
        <x:f>IF(A1035="",0,E1035*F1035)</x:f>
        <x:v>0</x:v>
      </x:c>
      <x:c r="H1035" s="62"/>
      <x:c r="I1035" s="62"/>
      <x:c r="J1035" s="62"/>
      <x:c r="K1035" s="62"/>
    </x:row>
    <x:row r="1036">
      <x:c r="A1036" s="66"/>
      <x:c r="B1036" s="62"/>
      <x:c r="C1036" s="62"/>
      <x:c r="D1036" s="62"/>
      <x:c r="E1036" s="68"/>
      <x:c r="F1036" s="75"/>
      <x:c r="G1036" s="71" t="n">
        <x:f>IF(A1036="",0,E1036*F1036)</x:f>
        <x:v>0</x:v>
      </x:c>
      <x:c r="H1036" s="62"/>
      <x:c r="I1036" s="62"/>
      <x:c r="J1036" s="62"/>
      <x:c r="K1036" s="62"/>
    </x:row>
    <x:row r="1037">
      <x:c r="A1037" s="66"/>
      <x:c r="B1037" s="62"/>
      <x:c r="C1037" s="62"/>
      <x:c r="D1037" s="62"/>
      <x:c r="E1037" s="68"/>
      <x:c r="F1037" s="75"/>
      <x:c r="G1037" s="71" t="n">
        <x:f>IF(A1037="",0,E1037*F1037)</x:f>
        <x:v>0</x:v>
      </x:c>
      <x:c r="H1037" s="62"/>
      <x:c r="I1037" s="62"/>
      <x:c r="J1037" s="62"/>
      <x:c r="K1037" s="62"/>
    </x:row>
    <x:row r="1038">
      <x:c r="A1038" s="66"/>
      <x:c r="B1038" s="62"/>
      <x:c r="C1038" s="62"/>
      <x:c r="D1038" s="62"/>
      <x:c r="E1038" s="68"/>
      <x:c r="F1038" s="75"/>
      <x:c r="G1038" s="71" t="n">
        <x:f>IF(A1038="",0,E1038*F1038)</x:f>
        <x:v>0</x:v>
      </x:c>
      <x:c r="H1038" s="62"/>
      <x:c r="I1038" s="62"/>
      <x:c r="J1038" s="62"/>
      <x:c r="K1038" s="62"/>
    </x:row>
    <x:row r="1039">
      <x:c r="A1039" s="66"/>
      <x:c r="B1039" s="62"/>
      <x:c r="C1039" s="62"/>
      <x:c r="D1039" s="62"/>
      <x:c r="E1039" s="68"/>
      <x:c r="F1039" s="75"/>
      <x:c r="G1039" s="71" t="n">
        <x:f>IF(A1039="",0,E1039*F1039)</x:f>
        <x:v>0</x:v>
      </x:c>
      <x:c r="H1039" s="62"/>
      <x:c r="I1039" s="62"/>
      <x:c r="J1039" s="62"/>
      <x:c r="K1039" s="62"/>
    </x:row>
    <x:row r="1040">
      <x:c r="A1040" s="66"/>
      <x:c r="B1040" s="62"/>
      <x:c r="C1040" s="62"/>
      <x:c r="D1040" s="62"/>
      <x:c r="E1040" s="68"/>
      <x:c r="F1040" s="75"/>
      <x:c r="G1040" s="71" t="n">
        <x:f>IF(A1040="",0,E1040*F1040)</x:f>
        <x:v>0</x:v>
      </x:c>
      <x:c r="H1040" s="62"/>
      <x:c r="I1040" s="62"/>
      <x:c r="J1040" s="62"/>
      <x:c r="K1040" s="62"/>
    </x:row>
    <x:row r="1041">
      <x:c r="A1041" s="66"/>
      <x:c r="B1041" s="62"/>
      <x:c r="C1041" s="62"/>
      <x:c r="D1041" s="62"/>
      <x:c r="E1041" s="68"/>
      <x:c r="F1041" s="75"/>
      <x:c r="G1041" s="71" t="n">
        <x:f>IF(A1041="",0,E1041*F1041)</x:f>
        <x:v>0</x:v>
      </x:c>
      <x:c r="H1041" s="62"/>
      <x:c r="I1041" s="62"/>
      <x:c r="J1041" s="62"/>
      <x:c r="K1041" s="62"/>
    </x:row>
    <x:row r="1042">
      <x:c r="A1042" s="66"/>
      <x:c r="B1042" s="62"/>
      <x:c r="C1042" s="62"/>
      <x:c r="D1042" s="62"/>
      <x:c r="E1042" s="68"/>
      <x:c r="F1042" s="75"/>
      <x:c r="G1042" s="71" t="n">
        <x:f>IF(A1042="",0,E1042*F1042)</x:f>
        <x:v>0</x:v>
      </x:c>
      <x:c r="H1042" s="62"/>
      <x:c r="I1042" s="62"/>
      <x:c r="J1042" s="62"/>
      <x:c r="K1042" s="62"/>
    </x:row>
    <x:row r="1043">
      <x:c r="A1043" s="66"/>
      <x:c r="B1043" s="62"/>
      <x:c r="C1043" s="62"/>
      <x:c r="D1043" s="62"/>
      <x:c r="E1043" s="68"/>
      <x:c r="F1043" s="75"/>
      <x:c r="G1043" s="71" t="n">
        <x:f>IF(A1043="",0,E1043*F1043)</x:f>
        <x:v>0</x:v>
      </x:c>
      <x:c r="H1043" s="62"/>
      <x:c r="I1043" s="62"/>
      <x:c r="J1043" s="62"/>
      <x:c r="K1043" s="62"/>
    </x:row>
    <x:row r="1044">
      <x:c r="A1044" s="66"/>
      <x:c r="B1044" s="62"/>
      <x:c r="C1044" s="62"/>
      <x:c r="D1044" s="62"/>
      <x:c r="E1044" s="68"/>
      <x:c r="F1044" s="75"/>
      <x:c r="G1044" s="71" t="n">
        <x:f>IF(A1044="",0,E1044*F1044)</x:f>
        <x:v>0</x:v>
      </x:c>
      <x:c r="H1044" s="62"/>
      <x:c r="I1044" s="62"/>
      <x:c r="J1044" s="62"/>
      <x:c r="K1044" s="62"/>
    </x:row>
    <x:row r="1045">
      <x:c r="A1045" s="66"/>
      <x:c r="B1045" s="62"/>
      <x:c r="C1045" s="62"/>
      <x:c r="D1045" s="62"/>
      <x:c r="E1045" s="68"/>
      <x:c r="F1045" s="75"/>
      <x:c r="G1045" s="71" t="n">
        <x:f>IF(A1045="",0,E1045*F1045)</x:f>
        <x:v>0</x:v>
      </x:c>
      <x:c r="H1045" s="62"/>
      <x:c r="I1045" s="62"/>
      <x:c r="J1045" s="62"/>
      <x:c r="K1045" s="62"/>
    </x:row>
    <x:row r="1046">
      <x:c r="A1046" s="66"/>
      <x:c r="B1046" s="62"/>
      <x:c r="C1046" s="62"/>
      <x:c r="D1046" s="62"/>
      <x:c r="E1046" s="68"/>
      <x:c r="F1046" s="75"/>
      <x:c r="G1046" s="71" t="n">
        <x:f>IF(A1046="",0,E1046*F1046)</x:f>
        <x:v>0</x:v>
      </x:c>
      <x:c r="H1046" s="62"/>
      <x:c r="I1046" s="62"/>
      <x:c r="J1046" s="62"/>
      <x:c r="K1046" s="62"/>
    </x:row>
    <x:row r="1047">
      <x:c r="A1047" s="66"/>
      <x:c r="B1047" s="62"/>
      <x:c r="C1047" s="62"/>
      <x:c r="D1047" s="62"/>
      <x:c r="E1047" s="68"/>
      <x:c r="F1047" s="75"/>
      <x:c r="G1047" s="71" t="n">
        <x:f>IF(A1047="",0,E1047*F1047)</x:f>
        <x:v>0</x:v>
      </x:c>
      <x:c r="H1047" s="62"/>
      <x:c r="I1047" s="62"/>
      <x:c r="J1047" s="62"/>
      <x:c r="K1047" s="62"/>
    </x:row>
    <x:row r="1048">
      <x:c r="A1048" s="66"/>
      <x:c r="B1048" s="62"/>
      <x:c r="C1048" s="62"/>
      <x:c r="D1048" s="62"/>
      <x:c r="E1048" s="68"/>
      <x:c r="F1048" s="75"/>
      <x:c r="G1048" s="71" t="n">
        <x:f>IF(A1048="",0,E1048*F1048)</x:f>
        <x:v>0</x:v>
      </x:c>
      <x:c r="H1048" s="62"/>
      <x:c r="I1048" s="62"/>
      <x:c r="J1048" s="62"/>
      <x:c r="K1048" s="62"/>
    </x:row>
    <x:row r="1049">
      <x:c r="A1049" s="66"/>
      <x:c r="B1049" s="62"/>
      <x:c r="C1049" s="62"/>
      <x:c r="D1049" s="62"/>
      <x:c r="E1049" s="68"/>
      <x:c r="F1049" s="75"/>
      <x:c r="G1049" s="71" t="n">
        <x:f>IF(A1049="",0,E1049*F1049)</x:f>
        <x:v>0</x:v>
      </x:c>
      <x:c r="H1049" s="62"/>
      <x:c r="I1049" s="62"/>
      <x:c r="J1049" s="62"/>
      <x:c r="K1049" s="62"/>
    </x:row>
    <x:row r="1050">
      <x:c r="A1050" s="66"/>
      <x:c r="B1050" s="62"/>
      <x:c r="C1050" s="62"/>
      <x:c r="D1050" s="62"/>
      <x:c r="E1050" s="68"/>
      <x:c r="F1050" s="75"/>
      <x:c r="G1050" s="71" t="n">
        <x:f>IF(A1050="",0,E1050*F1050)</x:f>
        <x:v>0</x:v>
      </x:c>
      <x:c r="H1050" s="62"/>
      <x:c r="I1050" s="62"/>
      <x:c r="J1050" s="62"/>
      <x:c r="K1050" s="62"/>
    </x:row>
    <x:row r="1051">
      <x:c r="A1051" s="66"/>
      <x:c r="B1051" s="62"/>
      <x:c r="C1051" s="62"/>
      <x:c r="D1051" s="62"/>
      <x:c r="E1051" s="68"/>
      <x:c r="F1051" s="75"/>
      <x:c r="G1051" s="71" t="n">
        <x:f>IF(A1051="",0,E1051*F1051)</x:f>
        <x:v>0</x:v>
      </x:c>
      <x:c r="H1051" s="62"/>
      <x:c r="I1051" s="62"/>
      <x:c r="J1051" s="62"/>
      <x:c r="K1051" s="62"/>
    </x:row>
    <x:row r="1052">
      <x:c r="A1052" s="66"/>
      <x:c r="B1052" s="62"/>
      <x:c r="C1052" s="62"/>
      <x:c r="D1052" s="62"/>
      <x:c r="E1052" s="68"/>
      <x:c r="F1052" s="75"/>
      <x:c r="G1052" s="71" t="n">
        <x:f>IF(A1052="",0,E1052*F1052)</x:f>
        <x:v>0</x:v>
      </x:c>
      <x:c r="H1052" s="62"/>
      <x:c r="I1052" s="62"/>
      <x:c r="J1052" s="62"/>
      <x:c r="K1052" s="62"/>
    </x:row>
    <x:row r="1053">
      <x:c r="A1053" s="66"/>
      <x:c r="B1053" s="62"/>
      <x:c r="C1053" s="62"/>
      <x:c r="D1053" s="62"/>
      <x:c r="E1053" s="68"/>
      <x:c r="F1053" s="75"/>
      <x:c r="G1053" s="71" t="n">
        <x:f>IF(A1053="",0,E1053*F1053)</x:f>
        <x:v>0</x:v>
      </x:c>
      <x:c r="H1053" s="62"/>
      <x:c r="I1053" s="62"/>
      <x:c r="J1053" s="62"/>
      <x:c r="K1053" s="62"/>
    </x:row>
    <x:row r="1054">
      <x:c r="A1054" s="66"/>
      <x:c r="B1054" s="62"/>
      <x:c r="C1054" s="62"/>
      <x:c r="D1054" s="62"/>
      <x:c r="E1054" s="68"/>
      <x:c r="F1054" s="75"/>
      <x:c r="G1054" s="71" t="n">
        <x:f>IF(A1054="",0,E1054*F1054)</x:f>
        <x:v>0</x:v>
      </x:c>
      <x:c r="H1054" s="62"/>
      <x:c r="I1054" s="62"/>
      <x:c r="J1054" s="62"/>
      <x:c r="K1054" s="62"/>
    </x:row>
    <x:row r="1055">
      <x:c r="A1055" s="66"/>
      <x:c r="B1055" s="62"/>
      <x:c r="C1055" s="62"/>
      <x:c r="D1055" s="62"/>
      <x:c r="E1055" s="68"/>
      <x:c r="F1055" s="75"/>
      <x:c r="G1055" s="71" t="n">
        <x:f>IF(A1055="",0,E1055*F1055)</x:f>
        <x:v>0</x:v>
      </x:c>
      <x:c r="H1055" s="62"/>
      <x:c r="I1055" s="62"/>
      <x:c r="J1055" s="62"/>
      <x:c r="K1055" s="62"/>
    </x:row>
    <x:row r="1056">
      <x:c r="A1056" s="66"/>
      <x:c r="B1056" s="62"/>
      <x:c r="C1056" s="62"/>
      <x:c r="D1056" s="62"/>
      <x:c r="E1056" s="68"/>
      <x:c r="F1056" s="75"/>
      <x:c r="G1056" s="71" t="n">
        <x:f>IF(A1056="",0,E1056*F1056)</x:f>
        <x:v>0</x:v>
      </x:c>
      <x:c r="H1056" s="62"/>
      <x:c r="I1056" s="62"/>
      <x:c r="J1056" s="62"/>
      <x:c r="K1056" s="62"/>
    </x:row>
    <x:row r="1057">
      <x:c r="A1057" s="66"/>
      <x:c r="B1057" s="62"/>
      <x:c r="C1057" s="62"/>
      <x:c r="D1057" s="62"/>
      <x:c r="E1057" s="68"/>
      <x:c r="F1057" s="75"/>
      <x:c r="G1057" s="71" t="n">
        <x:f>IF(A1057="",0,E1057*F1057)</x:f>
        <x:v>0</x:v>
      </x:c>
      <x:c r="H1057" s="62"/>
      <x:c r="I1057" s="62"/>
      <x:c r="J1057" s="62"/>
      <x:c r="K1057" s="62"/>
    </x:row>
    <x:row r="1058">
      <x:c r="A1058" s="66"/>
      <x:c r="B1058" s="62"/>
      <x:c r="C1058" s="62"/>
      <x:c r="D1058" s="62"/>
      <x:c r="E1058" s="68"/>
      <x:c r="F1058" s="75"/>
      <x:c r="G1058" s="71" t="n">
        <x:f>IF(A1058="",0,E1058*F1058)</x:f>
        <x:v>0</x:v>
      </x:c>
      <x:c r="H1058" s="62"/>
      <x:c r="I1058" s="62"/>
      <x:c r="J1058" s="62"/>
      <x:c r="K1058" s="62"/>
    </x:row>
    <x:row r="1059">
      <x:c r="A1059" s="66"/>
      <x:c r="B1059" s="62"/>
      <x:c r="C1059" s="62"/>
      <x:c r="D1059" s="62"/>
      <x:c r="E1059" s="68"/>
      <x:c r="F1059" s="75"/>
      <x:c r="G1059" s="71" t="n">
        <x:f>IF(A1059="",0,E1059*F1059)</x:f>
        <x:v>0</x:v>
      </x:c>
      <x:c r="H1059" s="62"/>
      <x:c r="I1059" s="62"/>
      <x:c r="J1059" s="62"/>
      <x:c r="K1059" s="62"/>
    </x:row>
    <x:row r="1060">
      <x:c r="A1060" s="66"/>
      <x:c r="B1060" s="62"/>
      <x:c r="C1060" s="62"/>
      <x:c r="D1060" s="62"/>
      <x:c r="E1060" s="68"/>
      <x:c r="F1060" s="75"/>
      <x:c r="G1060" s="71" t="n">
        <x:f>IF(A1060="",0,E1060*F1060)</x:f>
        <x:v>0</x:v>
      </x:c>
      <x:c r="H1060" s="62"/>
      <x:c r="I1060" s="62"/>
      <x:c r="J1060" s="62"/>
      <x:c r="K1060" s="62"/>
    </x:row>
    <x:row r="1061">
      <x:c r="A1061" s="66"/>
      <x:c r="B1061" s="62"/>
      <x:c r="C1061" s="62"/>
      <x:c r="D1061" s="62"/>
      <x:c r="E1061" s="68"/>
      <x:c r="F1061" s="75"/>
      <x:c r="G1061" s="71" t="n">
        <x:f>IF(A1061="",0,E1061*F1061)</x:f>
        <x:v>0</x:v>
      </x:c>
      <x:c r="H1061" s="62"/>
      <x:c r="I1061" s="62"/>
      <x:c r="J1061" s="62"/>
      <x:c r="K1061" s="62"/>
    </x:row>
    <x:row r="1062">
      <x:c r="A1062" s="66"/>
      <x:c r="B1062" s="62"/>
      <x:c r="C1062" s="62"/>
      <x:c r="D1062" s="62"/>
      <x:c r="E1062" s="68"/>
      <x:c r="F1062" s="75"/>
      <x:c r="G1062" s="71" t="n">
        <x:f>IF(A1062="",0,E1062*F1062)</x:f>
        <x:v>0</x:v>
      </x:c>
      <x:c r="H1062" s="62"/>
      <x:c r="I1062" s="62"/>
      <x:c r="J1062" s="62"/>
      <x:c r="K1062" s="62"/>
    </x:row>
    <x:row r="1063">
      <x:c r="A1063" s="66"/>
      <x:c r="B1063" s="62"/>
      <x:c r="C1063" s="62"/>
      <x:c r="D1063" s="62"/>
      <x:c r="E1063" s="68"/>
      <x:c r="F1063" s="75"/>
      <x:c r="G1063" s="71" t="n">
        <x:f>IF(A1063="",0,E1063*F1063)</x:f>
        <x:v>0</x:v>
      </x:c>
      <x:c r="H1063" s="62"/>
      <x:c r="I1063" s="62"/>
      <x:c r="J1063" s="62"/>
      <x:c r="K1063" s="62"/>
    </x:row>
    <x:row r="1064">
      <x:c r="A1064" s="66"/>
      <x:c r="B1064" s="62"/>
      <x:c r="C1064" s="62"/>
      <x:c r="D1064" s="62"/>
      <x:c r="E1064" s="68"/>
      <x:c r="F1064" s="75"/>
      <x:c r="G1064" s="71" t="n">
        <x:f>IF(A1064="",0,E1064*F1064)</x:f>
        <x:v>0</x:v>
      </x:c>
      <x:c r="H1064" s="62"/>
      <x:c r="I1064" s="62"/>
      <x:c r="J1064" s="62"/>
      <x:c r="K1064" s="62"/>
    </x:row>
    <x:row r="1065">
      <x:c r="A1065" s="66"/>
      <x:c r="B1065" s="62"/>
      <x:c r="C1065" s="62"/>
      <x:c r="D1065" s="62"/>
      <x:c r="E1065" s="68"/>
      <x:c r="F1065" s="75"/>
      <x:c r="G1065" s="71" t="n">
        <x:f>IF(A1065="",0,E1065*F1065)</x:f>
        <x:v>0</x:v>
      </x:c>
      <x:c r="H1065" s="62"/>
      <x:c r="I1065" s="62"/>
      <x:c r="J1065" s="62"/>
      <x:c r="K1065" s="62"/>
    </x:row>
    <x:row r="1066">
      <x:c r="A1066" s="66"/>
      <x:c r="B1066" s="62"/>
      <x:c r="C1066" s="62"/>
      <x:c r="D1066" s="62"/>
      <x:c r="E1066" s="68"/>
      <x:c r="F1066" s="75"/>
      <x:c r="G1066" s="71" t="n">
        <x:f>IF(A1066="",0,E1066*F1066)</x:f>
        <x:v>0</x:v>
      </x:c>
      <x:c r="H1066" s="62"/>
      <x:c r="I1066" s="62"/>
      <x:c r="J1066" s="62"/>
      <x:c r="K1066" s="62"/>
    </x:row>
    <x:row r="1067">
      <x:c r="A1067" s="66"/>
      <x:c r="B1067" s="62"/>
      <x:c r="C1067" s="62"/>
      <x:c r="D1067" s="62"/>
      <x:c r="E1067" s="68"/>
      <x:c r="F1067" s="75"/>
      <x:c r="G1067" s="71" t="n">
        <x:f>IF(A1067="",0,E1067*F1067)</x:f>
        <x:v>0</x:v>
      </x:c>
      <x:c r="H1067" s="62"/>
      <x:c r="I1067" s="62"/>
      <x:c r="J1067" s="62"/>
      <x:c r="K1067" s="62"/>
    </x:row>
    <x:row r="1068">
      <x:c r="A1068" s="66"/>
      <x:c r="B1068" s="62"/>
      <x:c r="C1068" s="62"/>
      <x:c r="D1068" s="62"/>
      <x:c r="E1068" s="68"/>
      <x:c r="F1068" s="75"/>
      <x:c r="G1068" s="71" t="n">
        <x:f>IF(A1068="",0,E1068*F1068)</x:f>
        <x:v>0</x:v>
      </x:c>
      <x:c r="H1068" s="62"/>
      <x:c r="I1068" s="62"/>
      <x:c r="J1068" s="62"/>
      <x:c r="K1068" s="62"/>
    </x:row>
    <x:row r="1069">
      <x:c r="A1069" s="66"/>
      <x:c r="B1069" s="62"/>
      <x:c r="C1069" s="62"/>
      <x:c r="D1069" s="62"/>
      <x:c r="E1069" s="68"/>
      <x:c r="F1069" s="75"/>
      <x:c r="G1069" s="71" t="n">
        <x:f>IF(A1069="",0,E1069*F1069)</x:f>
        <x:v>0</x:v>
      </x:c>
      <x:c r="H1069" s="62"/>
      <x:c r="I1069" s="62"/>
      <x:c r="J1069" s="62"/>
      <x:c r="K1069" s="62"/>
    </x:row>
    <x:row r="1070">
      <x:c r="A1070" s="66"/>
      <x:c r="B1070" s="62"/>
      <x:c r="C1070" s="62"/>
      <x:c r="D1070" s="62"/>
      <x:c r="E1070" s="68"/>
      <x:c r="F1070" s="75"/>
      <x:c r="G1070" s="71" t="n">
        <x:f>IF(A1070="",0,E1070*F1070)</x:f>
        <x:v>0</x:v>
      </x:c>
      <x:c r="H1070" s="62"/>
      <x:c r="I1070" s="62"/>
      <x:c r="J1070" s="62"/>
      <x:c r="K1070" s="62"/>
    </x:row>
    <x:row r="1071">
      <x:c r="A1071" s="66"/>
      <x:c r="B1071" s="62"/>
      <x:c r="C1071" s="62"/>
      <x:c r="D1071" s="62"/>
      <x:c r="E1071" s="68"/>
      <x:c r="F1071" s="75"/>
      <x:c r="G1071" s="71" t="n">
        <x:f>IF(A1071="",0,E1071*F1071)</x:f>
        <x:v>0</x:v>
      </x:c>
      <x:c r="H1071" s="62"/>
      <x:c r="I1071" s="62"/>
      <x:c r="J1071" s="62"/>
      <x:c r="K1071" s="62"/>
    </x:row>
    <x:row r="1072">
      <x:c r="A1072" s="66"/>
      <x:c r="B1072" s="62"/>
      <x:c r="C1072" s="62"/>
      <x:c r="D1072" s="62"/>
      <x:c r="E1072" s="68"/>
      <x:c r="F1072" s="75"/>
      <x:c r="G1072" s="71" t="n">
        <x:f>IF(A1072="",0,E1072*F1072)</x:f>
        <x:v>0</x:v>
      </x:c>
      <x:c r="H1072" s="62"/>
      <x:c r="I1072" s="62"/>
      <x:c r="J1072" s="62"/>
      <x:c r="K1072" s="62"/>
    </x:row>
    <x:row r="1073">
      <x:c r="A1073" s="66"/>
      <x:c r="B1073" s="62"/>
      <x:c r="C1073" s="62"/>
      <x:c r="D1073" s="62"/>
      <x:c r="E1073" s="68"/>
      <x:c r="F1073" s="75"/>
      <x:c r="G1073" s="71" t="n">
        <x:f>IF(A1073="",0,E1073*F1073)</x:f>
        <x:v>0</x:v>
      </x:c>
      <x:c r="H1073" s="62"/>
      <x:c r="I1073" s="62"/>
      <x:c r="J1073" s="62"/>
      <x:c r="K1073" s="62"/>
    </x:row>
    <x:row r="1074">
      <x:c r="A1074" s="66"/>
      <x:c r="B1074" s="62"/>
      <x:c r="C1074" s="62"/>
      <x:c r="D1074" s="62"/>
      <x:c r="E1074" s="68"/>
      <x:c r="F1074" s="75"/>
      <x:c r="G1074" s="71" t="n">
        <x:f>IF(A1074="",0,E1074*F1074)</x:f>
        <x:v>0</x:v>
      </x:c>
      <x:c r="H1074" s="62"/>
      <x:c r="I1074" s="62"/>
      <x:c r="J1074" s="62"/>
      <x:c r="K1074" s="62"/>
    </x:row>
    <x:row r="1075">
      <x:c r="A1075" s="66"/>
      <x:c r="B1075" s="62"/>
      <x:c r="C1075" s="62"/>
      <x:c r="D1075" s="62"/>
      <x:c r="E1075" s="68"/>
      <x:c r="F1075" s="75"/>
      <x:c r="G1075" s="71" t="n">
        <x:f>IF(A1075="",0,E1075*F1075)</x:f>
        <x:v>0</x:v>
      </x:c>
      <x:c r="H1075" s="62"/>
      <x:c r="I1075" s="62"/>
      <x:c r="J1075" s="62"/>
      <x:c r="K1075" s="62"/>
    </x:row>
    <x:row r="1076">
      <x:c r="A1076" s="66"/>
      <x:c r="B1076" s="62"/>
      <x:c r="C1076" s="62"/>
      <x:c r="D1076" s="62"/>
      <x:c r="E1076" s="68"/>
      <x:c r="F1076" s="75"/>
      <x:c r="G1076" s="71" t="n">
        <x:f>IF(A1076="",0,E1076*F1076)</x:f>
        <x:v>0</x:v>
      </x:c>
      <x:c r="H1076" s="62"/>
      <x:c r="I1076" s="62"/>
      <x:c r="J1076" s="62"/>
      <x:c r="K1076" s="62"/>
    </x:row>
    <x:row r="1077">
      <x:c r="A1077" s="66"/>
      <x:c r="B1077" s="62"/>
      <x:c r="C1077" s="62"/>
      <x:c r="D1077" s="62"/>
      <x:c r="E1077" s="68"/>
      <x:c r="F1077" s="75"/>
      <x:c r="G1077" s="71" t="n">
        <x:f>IF(A1077="",0,E1077*F1077)</x:f>
        <x:v>0</x:v>
      </x:c>
      <x:c r="H1077" s="62"/>
      <x:c r="I1077" s="62"/>
      <x:c r="J1077" s="62"/>
      <x:c r="K1077" s="62"/>
    </x:row>
    <x:row r="1078">
      <x:c r="A1078" s="66"/>
      <x:c r="B1078" s="62"/>
      <x:c r="C1078" s="62"/>
      <x:c r="D1078" s="62"/>
      <x:c r="E1078" s="68"/>
      <x:c r="F1078" s="75"/>
      <x:c r="G1078" s="71" t="n">
        <x:f>IF(A1078="",0,E1078*F1078)</x:f>
        <x:v>0</x:v>
      </x:c>
      <x:c r="H1078" s="62"/>
      <x:c r="I1078" s="62"/>
      <x:c r="J1078" s="62"/>
      <x:c r="K1078" s="62"/>
    </x:row>
    <x:row r="1079">
      <x:c r="A1079" s="66"/>
      <x:c r="B1079" s="62"/>
      <x:c r="C1079" s="62"/>
      <x:c r="D1079" s="62"/>
      <x:c r="E1079" s="68"/>
      <x:c r="F1079" s="75"/>
      <x:c r="G1079" s="71" t="n">
        <x:f>IF(A1079="",0,E1079*F1079)</x:f>
        <x:v>0</x:v>
      </x:c>
      <x:c r="H1079" s="62"/>
      <x:c r="I1079" s="62"/>
      <x:c r="J1079" s="62"/>
      <x:c r="K1079" s="62"/>
    </x:row>
    <x:row r="1080">
      <x:c r="A1080" s="66"/>
      <x:c r="B1080" s="62"/>
      <x:c r="C1080" s="62"/>
      <x:c r="D1080" s="62"/>
      <x:c r="E1080" s="68"/>
      <x:c r="F1080" s="75"/>
      <x:c r="G1080" s="71" t="n">
        <x:f>IF(A1080="",0,E1080*F1080)</x:f>
        <x:v>0</x:v>
      </x:c>
      <x:c r="H1080" s="62"/>
      <x:c r="I1080" s="62"/>
      <x:c r="J1080" s="62"/>
      <x:c r="K1080" s="62"/>
    </x:row>
    <x:row r="1081">
      <x:c r="A1081" s="66"/>
      <x:c r="B1081" s="62"/>
      <x:c r="C1081" s="62"/>
      <x:c r="D1081" s="62"/>
      <x:c r="E1081" s="68"/>
      <x:c r="F1081" s="75"/>
      <x:c r="G1081" s="71" t="n">
        <x:f>IF(A1081="",0,E1081*F1081)</x:f>
        <x:v>0</x:v>
      </x:c>
      <x:c r="H1081" s="62"/>
      <x:c r="I1081" s="62"/>
      <x:c r="J1081" s="62"/>
      <x:c r="K1081" s="62"/>
    </x:row>
    <x:row r="1082">
      <x:c r="A1082" s="66"/>
      <x:c r="B1082" s="62"/>
      <x:c r="C1082" s="62"/>
      <x:c r="D1082" s="62"/>
      <x:c r="E1082" s="68"/>
      <x:c r="F1082" s="75"/>
      <x:c r="G1082" s="71" t="n">
        <x:f>IF(A1082="",0,E1082*F1082)</x:f>
        <x:v>0</x:v>
      </x:c>
      <x:c r="H1082" s="62"/>
      <x:c r="I1082" s="62"/>
      <x:c r="J1082" s="62"/>
      <x:c r="K1082" s="62"/>
    </x:row>
    <x:row r="1083">
      <x:c r="A1083" s="66"/>
      <x:c r="B1083" s="62"/>
      <x:c r="C1083" s="62"/>
      <x:c r="D1083" s="62"/>
      <x:c r="E1083" s="68"/>
      <x:c r="F1083" s="75"/>
      <x:c r="G1083" s="71" t="n">
        <x:f>IF(A1083="",0,E1083*F1083)</x:f>
        <x:v>0</x:v>
      </x:c>
      <x:c r="H1083" s="62"/>
      <x:c r="I1083" s="62"/>
      <x:c r="J1083" s="62"/>
      <x:c r="K1083" s="62"/>
    </x:row>
    <x:row r="1084">
      <x:c r="A1084" s="66"/>
      <x:c r="B1084" s="62"/>
      <x:c r="C1084" s="62"/>
      <x:c r="D1084" s="62"/>
      <x:c r="E1084" s="68"/>
      <x:c r="F1084" s="75"/>
      <x:c r="G1084" s="71" t="n">
        <x:f>IF(A1084="",0,E1084*F1084)</x:f>
        <x:v>0</x:v>
      </x:c>
      <x:c r="H1084" s="62"/>
      <x:c r="I1084" s="62"/>
      <x:c r="J1084" s="62"/>
      <x:c r="K1084" s="62"/>
    </x:row>
    <x:row r="1085">
      <x:c r="A1085" s="66"/>
      <x:c r="B1085" s="62"/>
      <x:c r="C1085" s="62"/>
      <x:c r="D1085" s="62"/>
      <x:c r="E1085" s="68"/>
      <x:c r="F1085" s="75"/>
      <x:c r="G1085" s="71" t="n">
        <x:f>IF(A1085="",0,E1085*F1085)</x:f>
        <x:v>0</x:v>
      </x:c>
      <x:c r="H1085" s="62"/>
      <x:c r="I1085" s="62"/>
      <x:c r="J1085" s="62"/>
      <x:c r="K1085" s="62"/>
    </x:row>
    <x:row r="1086">
      <x:c r="A1086" s="66"/>
      <x:c r="B1086" s="62"/>
      <x:c r="C1086" s="62"/>
      <x:c r="D1086" s="62"/>
      <x:c r="E1086" s="68"/>
      <x:c r="F1086" s="75"/>
      <x:c r="G1086" s="71" t="n">
        <x:f>IF(A1086="",0,E1086*F1086)</x:f>
        <x:v>0</x:v>
      </x:c>
      <x:c r="H1086" s="62"/>
      <x:c r="I1086" s="62"/>
      <x:c r="J1086" s="62"/>
      <x:c r="K1086" s="62"/>
    </x:row>
    <x:row r="1087">
      <x:c r="A1087" s="66"/>
      <x:c r="B1087" s="62"/>
      <x:c r="C1087" s="62"/>
      <x:c r="D1087" s="62"/>
      <x:c r="E1087" s="68"/>
      <x:c r="F1087" s="75"/>
      <x:c r="G1087" s="71" t="n">
        <x:f>IF(A1087="",0,E1087*F1087)</x:f>
        <x:v>0</x:v>
      </x:c>
      <x:c r="H1087" s="62"/>
      <x:c r="I1087" s="62"/>
      <x:c r="J1087" s="62"/>
      <x:c r="K1087" s="62"/>
    </x:row>
    <x:row r="1088">
      <x:c r="A1088" s="66"/>
      <x:c r="B1088" s="62"/>
      <x:c r="C1088" s="62"/>
      <x:c r="D1088" s="62"/>
      <x:c r="E1088" s="68"/>
      <x:c r="F1088" s="75"/>
      <x:c r="G1088" s="71" t="n">
        <x:f>IF(A1088="",0,E1088*F1088)</x:f>
        <x:v>0</x:v>
      </x:c>
      <x:c r="H1088" s="62"/>
      <x:c r="I1088" s="62"/>
      <x:c r="J1088" s="62"/>
      <x:c r="K1088" s="62"/>
    </x:row>
    <x:row r="1089">
      <x:c r="A1089" s="66"/>
      <x:c r="B1089" s="62"/>
      <x:c r="C1089" s="62"/>
      <x:c r="D1089" s="62"/>
      <x:c r="E1089" s="68"/>
      <x:c r="F1089" s="75"/>
      <x:c r="G1089" s="71" t="n">
        <x:f>IF(A1089="",0,E1089*F1089)</x:f>
        <x:v>0</x:v>
      </x:c>
      <x:c r="H1089" s="62"/>
      <x:c r="I1089" s="62"/>
      <x:c r="J1089" s="62"/>
      <x:c r="K1089" s="62"/>
    </x:row>
    <x:row r="1090">
      <x:c r="A1090" s="66"/>
      <x:c r="B1090" s="62"/>
      <x:c r="C1090" s="62"/>
      <x:c r="D1090" s="62"/>
      <x:c r="E1090" s="68"/>
      <x:c r="F1090" s="75"/>
      <x:c r="G1090" s="71" t="n">
        <x:f>IF(A1090="",0,E1090*F1090)</x:f>
        <x:v>0</x:v>
      </x:c>
      <x:c r="H1090" s="62"/>
      <x:c r="I1090" s="62"/>
      <x:c r="J1090" s="62"/>
      <x:c r="K1090" s="62"/>
    </x:row>
    <x:row r="1091">
      <x:c r="A1091" s="66"/>
      <x:c r="B1091" s="62"/>
      <x:c r="C1091" s="62"/>
      <x:c r="D1091" s="62"/>
      <x:c r="E1091" s="68"/>
      <x:c r="F1091" s="75"/>
      <x:c r="G1091" s="71" t="n">
        <x:f>IF(A1091="",0,E1091*F1091)</x:f>
        <x:v>0</x:v>
      </x:c>
      <x:c r="H1091" s="62"/>
      <x:c r="I1091" s="62"/>
      <x:c r="J1091" s="62"/>
      <x:c r="K1091" s="62"/>
    </x:row>
    <x:row r="1092">
      <x:c r="A1092" s="66"/>
      <x:c r="B1092" s="62"/>
      <x:c r="C1092" s="62"/>
      <x:c r="D1092" s="62"/>
      <x:c r="E1092" s="68"/>
      <x:c r="F1092" s="75"/>
      <x:c r="G1092" s="71" t="n">
        <x:f>IF(A1092="",0,E1092*F1092)</x:f>
        <x:v>0</x:v>
      </x:c>
      <x:c r="H1092" s="62"/>
      <x:c r="I1092" s="62"/>
      <x:c r="J1092" s="62"/>
      <x:c r="K1092" s="62"/>
    </x:row>
    <x:row r="1093">
      <x:c r="A1093" s="66"/>
      <x:c r="B1093" s="62"/>
      <x:c r="C1093" s="62"/>
      <x:c r="D1093" s="62"/>
      <x:c r="E1093" s="68"/>
      <x:c r="F1093" s="75"/>
      <x:c r="G1093" s="71" t="n">
        <x:f>IF(A1093="",0,E1093*F1093)</x:f>
        <x:v>0</x:v>
      </x:c>
      <x:c r="H1093" s="62"/>
      <x:c r="I1093" s="62"/>
      <x:c r="J1093" s="62"/>
      <x:c r="K1093" s="62"/>
    </x:row>
    <x:row r="1094">
      <x:c r="A1094" s="66"/>
      <x:c r="B1094" s="62"/>
      <x:c r="C1094" s="62"/>
      <x:c r="D1094" s="62"/>
      <x:c r="E1094" s="68"/>
      <x:c r="F1094" s="75"/>
      <x:c r="G1094" s="71" t="n">
        <x:f>IF(A1094="",0,E1094*F1094)</x:f>
        <x:v>0</x:v>
      </x:c>
      <x:c r="H1094" s="62"/>
      <x:c r="I1094" s="62"/>
      <x:c r="J1094" s="62"/>
      <x:c r="K1094" s="62"/>
    </x:row>
    <x:row r="1095">
      <x:c r="A1095" s="66"/>
      <x:c r="B1095" s="62"/>
      <x:c r="C1095" s="62"/>
      <x:c r="D1095" s="62"/>
      <x:c r="E1095" s="68"/>
      <x:c r="F1095" s="75"/>
      <x:c r="G1095" s="71" t="n">
        <x:f>IF(A1095="",0,E1095*F1095)</x:f>
        <x:v>0</x:v>
      </x:c>
      <x:c r="H1095" s="62"/>
      <x:c r="I1095" s="62"/>
      <x:c r="J1095" s="62"/>
      <x:c r="K1095" s="62"/>
    </x:row>
    <x:row r="1096">
      <x:c r="A1096" s="66"/>
      <x:c r="B1096" s="62"/>
      <x:c r="C1096" s="62"/>
      <x:c r="D1096" s="62"/>
      <x:c r="E1096" s="68"/>
      <x:c r="F1096" s="75"/>
      <x:c r="G1096" s="71" t="n">
        <x:f>IF(A1096="",0,E1096*F1096)</x:f>
        <x:v>0</x:v>
      </x:c>
      <x:c r="H1096" s="62"/>
      <x:c r="I1096" s="62"/>
      <x:c r="J1096" s="62"/>
      <x:c r="K1096" s="62"/>
    </x:row>
    <x:row r="1097">
      <x:c r="A1097" s="66"/>
      <x:c r="B1097" s="62"/>
      <x:c r="C1097" s="62"/>
      <x:c r="D1097" s="62"/>
      <x:c r="E1097" s="68"/>
      <x:c r="F1097" s="75"/>
      <x:c r="G1097" s="71" t="n">
        <x:f>IF(A1097="",0,E1097*F1097)</x:f>
        <x:v>0</x:v>
      </x:c>
      <x:c r="H1097" s="62"/>
      <x:c r="I1097" s="62"/>
      <x:c r="J1097" s="62"/>
      <x:c r="K1097" s="62"/>
    </x:row>
    <x:row r="1098">
      <x:c r="A1098" s="66"/>
      <x:c r="B1098" s="62"/>
      <x:c r="C1098" s="62"/>
      <x:c r="D1098" s="62"/>
      <x:c r="E1098" s="68"/>
      <x:c r="F1098" s="75"/>
      <x:c r="G1098" s="71" t="n">
        <x:f>IF(A1098="",0,E1098*F1098)</x:f>
        <x:v>0</x:v>
      </x:c>
      <x:c r="H1098" s="62"/>
      <x:c r="I1098" s="62"/>
      <x:c r="J1098" s="62"/>
      <x:c r="K1098" s="62"/>
    </x:row>
    <x:row r="1099">
      <x:c r="A1099" s="66"/>
      <x:c r="B1099" s="62"/>
      <x:c r="C1099" s="62"/>
      <x:c r="D1099" s="62"/>
      <x:c r="E1099" s="68"/>
      <x:c r="F1099" s="75"/>
      <x:c r="G1099" s="71" t="n">
        <x:f>IF(A1099="",0,E1099*F1099)</x:f>
        <x:v>0</x:v>
      </x:c>
      <x:c r="H1099" s="62"/>
      <x:c r="I1099" s="62"/>
      <x:c r="J1099" s="62"/>
      <x:c r="K1099" s="62"/>
    </x:row>
    <x:row r="1100">
      <x:c r="A1100" s="66"/>
      <x:c r="B1100" s="62"/>
      <x:c r="C1100" s="62"/>
      <x:c r="D1100" s="62"/>
      <x:c r="E1100" s="68"/>
      <x:c r="F1100" s="75"/>
      <x:c r="G1100" s="71" t="n">
        <x:f>IF(A1100="",0,E1100*F1100)</x:f>
        <x:v>0</x:v>
      </x:c>
      <x:c r="H1100" s="62"/>
      <x:c r="I1100" s="62"/>
      <x:c r="J1100" s="62"/>
      <x:c r="K1100" s="62"/>
    </x:row>
    <x:row r="1101">
      <x:c r="A1101" s="66"/>
      <x:c r="B1101" s="62"/>
      <x:c r="C1101" s="62"/>
      <x:c r="D1101" s="62"/>
      <x:c r="E1101" s="68"/>
      <x:c r="F1101" s="75"/>
      <x:c r="G1101" s="71" t="n">
        <x:f>IF(A1101="",0,E1101*F1101)</x:f>
        <x:v>0</x:v>
      </x:c>
      <x:c r="H1101" s="62"/>
      <x:c r="I1101" s="62"/>
      <x:c r="J1101" s="62"/>
      <x:c r="K1101" s="62"/>
    </x:row>
    <x:row r="1102">
      <x:c r="A1102" s="66"/>
      <x:c r="B1102" s="62"/>
      <x:c r="C1102" s="62"/>
      <x:c r="D1102" s="62"/>
      <x:c r="E1102" s="68"/>
      <x:c r="F1102" s="75"/>
      <x:c r="G1102" s="71" t="n">
        <x:f>IF(A1102="",0,E1102*F1102)</x:f>
        <x:v>0</x:v>
      </x:c>
      <x:c r="H1102" s="62"/>
      <x:c r="I1102" s="62"/>
      <x:c r="J1102" s="62"/>
      <x:c r="K1102" s="62"/>
    </x:row>
    <x:row r="1103">
      <x:c r="A1103" s="66"/>
      <x:c r="B1103" s="62"/>
      <x:c r="C1103" s="62"/>
      <x:c r="D1103" s="62"/>
      <x:c r="E1103" s="68"/>
      <x:c r="F1103" s="75"/>
      <x:c r="G1103" s="71" t="n">
        <x:f>IF(A1103="",0,E1103*F1103)</x:f>
        <x:v>0</x:v>
      </x:c>
      <x:c r="H1103" s="62"/>
      <x:c r="I1103" s="62"/>
      <x:c r="J1103" s="62"/>
      <x:c r="K1103" s="62"/>
    </x:row>
    <x:row r="1104">
      <x:c r="A1104" s="66"/>
      <x:c r="B1104" s="62"/>
      <x:c r="C1104" s="62"/>
      <x:c r="D1104" s="62"/>
      <x:c r="E1104" s="68"/>
      <x:c r="F1104" s="75"/>
      <x:c r="G1104" s="71" t="n">
        <x:f>IF(A1104="",0,E1104*F1104)</x:f>
        <x:v>0</x:v>
      </x:c>
      <x:c r="H1104" s="62"/>
      <x:c r="I1104" s="62"/>
      <x:c r="J1104" s="62"/>
      <x:c r="K1104" s="62"/>
    </x:row>
    <x:row r="1105">
      <x:c r="A1105" s="66"/>
      <x:c r="B1105" s="62"/>
      <x:c r="C1105" s="62"/>
      <x:c r="D1105" s="62"/>
      <x:c r="E1105" s="68"/>
      <x:c r="F1105" s="75"/>
      <x:c r="G1105" s="71" t="n">
        <x:f>IF(A1105="",0,E1105*F1105)</x:f>
        <x:v>0</x:v>
      </x:c>
      <x:c r="H1105" s="62"/>
      <x:c r="I1105" s="62"/>
      <x:c r="J1105" s="62"/>
      <x:c r="K1105" s="62"/>
    </x:row>
    <x:row r="1106">
      <x:c r="A1106" s="66"/>
      <x:c r="B1106" s="62"/>
      <x:c r="C1106" s="62"/>
      <x:c r="D1106" s="62"/>
      <x:c r="E1106" s="68"/>
      <x:c r="F1106" s="75"/>
      <x:c r="G1106" s="71" t="n">
        <x:f>IF(A1106="",0,E1106*F1106)</x:f>
        <x:v>0</x:v>
      </x:c>
      <x:c r="H1106" s="62"/>
      <x:c r="I1106" s="62"/>
      <x:c r="J1106" s="62"/>
      <x:c r="K1106" s="62"/>
    </x:row>
    <x:row r="1107">
      <x:c r="A1107" s="66"/>
      <x:c r="B1107" s="62"/>
      <x:c r="C1107" s="62"/>
      <x:c r="D1107" s="62"/>
      <x:c r="E1107" s="68"/>
      <x:c r="F1107" s="75"/>
      <x:c r="G1107" s="71" t="n">
        <x:f>IF(A1107="",0,E1107*F1107)</x:f>
        <x:v>0</x:v>
      </x:c>
      <x:c r="H1107" s="62"/>
      <x:c r="I1107" s="62"/>
      <x:c r="J1107" s="62"/>
      <x:c r="K1107" s="62"/>
    </x:row>
    <x:row r="1108">
      <x:c r="A1108" s="66"/>
      <x:c r="B1108" s="62"/>
      <x:c r="C1108" s="62"/>
      <x:c r="D1108" s="62"/>
      <x:c r="E1108" s="68"/>
      <x:c r="F1108" s="75"/>
      <x:c r="G1108" s="71" t="n">
        <x:f>IF(A1108="",0,E1108*F1108)</x:f>
        <x:v>0</x:v>
      </x:c>
      <x:c r="H1108" s="62"/>
      <x:c r="I1108" s="62"/>
      <x:c r="J1108" s="62"/>
      <x:c r="K1108" s="62"/>
    </x:row>
    <x:row r="1109">
      <x:c r="A1109" s="66"/>
      <x:c r="B1109" s="62"/>
      <x:c r="C1109" s="62"/>
      <x:c r="D1109" s="62"/>
      <x:c r="E1109" s="68"/>
      <x:c r="F1109" s="75"/>
      <x:c r="G1109" s="71" t="n">
        <x:f>IF(A1109="",0,E1109*F1109)</x:f>
        <x:v>0</x:v>
      </x:c>
      <x:c r="H1109" s="62"/>
      <x:c r="I1109" s="62"/>
      <x:c r="J1109" s="62"/>
      <x:c r="K1109" s="62"/>
    </x:row>
    <x:row r="1110">
      <x:c r="A1110" s="66"/>
      <x:c r="B1110" s="62"/>
      <x:c r="C1110" s="62"/>
      <x:c r="D1110" s="62"/>
      <x:c r="E1110" s="68"/>
      <x:c r="F1110" s="75"/>
      <x:c r="G1110" s="71" t="n">
        <x:f>IF(A1110="",0,E1110*F1110)</x:f>
        <x:v>0</x:v>
      </x:c>
      <x:c r="H1110" s="62"/>
      <x:c r="I1110" s="62"/>
      <x:c r="J1110" s="62"/>
      <x:c r="K1110" s="62"/>
    </x:row>
    <x:row r="1111">
      <x:c r="A1111" s="66"/>
      <x:c r="B1111" s="62"/>
      <x:c r="C1111" s="62"/>
      <x:c r="D1111" s="62"/>
      <x:c r="E1111" s="68"/>
      <x:c r="F1111" s="75"/>
      <x:c r="G1111" s="71" t="n">
        <x:f>IF(A1111="",0,E1111*F1111)</x:f>
        <x:v>0</x:v>
      </x:c>
      <x:c r="H1111" s="62"/>
      <x:c r="I1111" s="62"/>
      <x:c r="J1111" s="62"/>
      <x:c r="K1111" s="62"/>
    </x:row>
    <x:row r="1112">
      <x:c r="A1112" s="66"/>
      <x:c r="B1112" s="62"/>
      <x:c r="C1112" s="62"/>
      <x:c r="D1112" s="62"/>
      <x:c r="E1112" s="68"/>
      <x:c r="F1112" s="75"/>
      <x:c r="G1112" s="71" t="n">
        <x:f>IF(A1112="",0,E1112*F1112)</x:f>
        <x:v>0</x:v>
      </x:c>
      <x:c r="H1112" s="62"/>
      <x:c r="I1112" s="62"/>
      <x:c r="J1112" s="62"/>
      <x:c r="K1112" s="62"/>
    </x:row>
    <x:row r="1113">
      <x:c r="A1113" s="66"/>
      <x:c r="B1113" s="62"/>
      <x:c r="C1113" s="62"/>
      <x:c r="D1113" s="62"/>
      <x:c r="E1113" s="68"/>
      <x:c r="F1113" s="75"/>
      <x:c r="G1113" s="71" t="n">
        <x:f>IF(A1113="",0,E1113*F1113)</x:f>
        <x:v>0</x:v>
      </x:c>
      <x:c r="H1113" s="62"/>
      <x:c r="I1113" s="62"/>
      <x:c r="J1113" s="62"/>
      <x:c r="K1113" s="62"/>
    </x:row>
    <x:row r="1114">
      <x:c r="A1114" s="66"/>
      <x:c r="B1114" s="62"/>
      <x:c r="C1114" s="62"/>
      <x:c r="D1114" s="62"/>
      <x:c r="E1114" s="68"/>
      <x:c r="F1114" s="75"/>
      <x:c r="G1114" s="71" t="n">
        <x:f>IF(A1114="",0,E1114*F1114)</x:f>
        <x:v>0</x:v>
      </x:c>
      <x:c r="H1114" s="62"/>
      <x:c r="I1114" s="62"/>
      <x:c r="J1114" s="62"/>
      <x:c r="K1114" s="62"/>
    </x:row>
    <x:row r="1115">
      <x:c r="A1115" s="66"/>
      <x:c r="B1115" s="62"/>
      <x:c r="C1115" s="62"/>
      <x:c r="D1115" s="62"/>
      <x:c r="E1115" s="68"/>
      <x:c r="F1115" s="75"/>
      <x:c r="G1115" s="71" t="n">
        <x:f>IF(A1115="",0,E1115*F1115)</x:f>
        <x:v>0</x:v>
      </x:c>
      <x:c r="H1115" s="62"/>
      <x:c r="I1115" s="62"/>
      <x:c r="J1115" s="62"/>
      <x:c r="K1115" s="62"/>
    </x:row>
    <x:row r="1116">
      <x:c r="A1116" s="66"/>
      <x:c r="B1116" s="62"/>
      <x:c r="C1116" s="62"/>
      <x:c r="D1116" s="62"/>
      <x:c r="E1116" s="68"/>
      <x:c r="F1116" s="75"/>
      <x:c r="G1116" s="71" t="n">
        <x:f>IF(A1116="",0,E1116*F1116)</x:f>
        <x:v>0</x:v>
      </x:c>
      <x:c r="H1116" s="62"/>
      <x:c r="I1116" s="62"/>
      <x:c r="J1116" s="62"/>
      <x:c r="K1116" s="62"/>
    </x:row>
    <x:row r="1117">
      <x:c r="A1117" s="66"/>
      <x:c r="B1117" s="62"/>
      <x:c r="C1117" s="62"/>
      <x:c r="D1117" s="62"/>
      <x:c r="E1117" s="68"/>
      <x:c r="F1117" s="75"/>
      <x:c r="G1117" s="71" t="n">
        <x:f>IF(A1117="",0,E1117*F1117)</x:f>
        <x:v>0</x:v>
      </x:c>
      <x:c r="H1117" s="62"/>
      <x:c r="I1117" s="62"/>
      <x:c r="J1117" s="62"/>
      <x:c r="K1117" s="62"/>
    </x:row>
    <x:row r="1118">
      <x:c r="A1118" s="66"/>
      <x:c r="B1118" s="62"/>
      <x:c r="C1118" s="62"/>
      <x:c r="D1118" s="62"/>
      <x:c r="E1118" s="68"/>
      <x:c r="F1118" s="75"/>
      <x:c r="G1118" s="71" t="n">
        <x:f>IF(A1118="",0,E1118*F1118)</x:f>
        <x:v>0</x:v>
      </x:c>
      <x:c r="H1118" s="62"/>
      <x:c r="I1118" s="62"/>
      <x:c r="J1118" s="62"/>
      <x:c r="K1118" s="62"/>
    </x:row>
    <x:row r="1119">
      <x:c r="A1119" s="66"/>
      <x:c r="B1119" s="62"/>
      <x:c r="C1119" s="62"/>
      <x:c r="D1119" s="62"/>
      <x:c r="E1119" s="68"/>
      <x:c r="F1119" s="75"/>
      <x:c r="G1119" s="71" t="n">
        <x:f>IF(A1119="",0,E1119*F1119)</x:f>
        <x:v>0</x:v>
      </x:c>
      <x:c r="H1119" s="62"/>
      <x:c r="I1119" s="62"/>
      <x:c r="J1119" s="62"/>
      <x:c r="K1119" s="62"/>
    </x:row>
    <x:row r="1120">
      <x:c r="A1120" s="66"/>
      <x:c r="B1120" s="62"/>
      <x:c r="C1120" s="62"/>
      <x:c r="D1120" s="62"/>
      <x:c r="E1120" s="68"/>
      <x:c r="F1120" s="75"/>
      <x:c r="G1120" s="71" t="n">
        <x:f>IF(A1120="",0,E1120*F1120)</x:f>
        <x:v>0</x:v>
      </x:c>
      <x:c r="H1120" s="62"/>
      <x:c r="I1120" s="62"/>
      <x:c r="J1120" s="62"/>
      <x:c r="K1120" s="62"/>
    </x:row>
    <x:row r="1121">
      <x:c r="A1121" s="66"/>
      <x:c r="B1121" s="62"/>
      <x:c r="C1121" s="62"/>
      <x:c r="D1121" s="62"/>
      <x:c r="E1121" s="68"/>
      <x:c r="F1121" s="75"/>
      <x:c r="G1121" s="71" t="n">
        <x:f>IF(A1121="",0,E1121*F1121)</x:f>
        <x:v>0</x:v>
      </x:c>
      <x:c r="H1121" s="62"/>
      <x:c r="I1121" s="62"/>
      <x:c r="J1121" s="62"/>
      <x:c r="K1121" s="62"/>
    </x:row>
    <x:row r="1122">
      <x:c r="A1122" s="66"/>
      <x:c r="B1122" s="62"/>
      <x:c r="C1122" s="62"/>
      <x:c r="D1122" s="62"/>
      <x:c r="E1122" s="68"/>
      <x:c r="F1122" s="75"/>
      <x:c r="G1122" s="71" t="n">
        <x:f>IF(A1122="",0,E1122*F1122)</x:f>
        <x:v>0</x:v>
      </x:c>
      <x:c r="H1122" s="62"/>
      <x:c r="I1122" s="62"/>
      <x:c r="J1122" s="62"/>
      <x:c r="K1122" s="62"/>
    </x:row>
    <x:row r="1123">
      <x:c r="A1123" s="66"/>
      <x:c r="B1123" s="62"/>
      <x:c r="C1123" s="62"/>
      <x:c r="D1123" s="62"/>
      <x:c r="E1123" s="68"/>
      <x:c r="F1123" s="75"/>
      <x:c r="G1123" s="71" t="n">
        <x:f>IF(A1123="",0,E1123*F1123)</x:f>
        <x:v>0</x:v>
      </x:c>
      <x:c r="H1123" s="62"/>
      <x:c r="I1123" s="62"/>
      <x:c r="J1123" s="62"/>
      <x:c r="K1123" s="62"/>
    </x:row>
    <x:row r="1124">
      <x:c r="A1124" s="66"/>
      <x:c r="B1124" s="62"/>
      <x:c r="C1124" s="62"/>
      <x:c r="D1124" s="62"/>
      <x:c r="E1124" s="68"/>
      <x:c r="F1124" s="75"/>
      <x:c r="G1124" s="71" t="n">
        <x:f>IF(A1124="",0,E1124*F1124)</x:f>
        <x:v>0</x:v>
      </x:c>
      <x:c r="H1124" s="62"/>
      <x:c r="I1124" s="62"/>
      <x:c r="J1124" s="62"/>
      <x:c r="K1124" s="62"/>
    </x:row>
    <x:row r="1125">
      <x:c r="A1125" s="66"/>
      <x:c r="B1125" s="62"/>
      <x:c r="C1125" s="62"/>
      <x:c r="D1125" s="62"/>
      <x:c r="E1125" s="68"/>
      <x:c r="F1125" s="75"/>
      <x:c r="G1125" s="71" t="n">
        <x:f>IF(A1125="",0,E1125*F1125)</x:f>
        <x:v>0</x:v>
      </x:c>
      <x:c r="H1125" s="62"/>
      <x:c r="I1125" s="62"/>
      <x:c r="J1125" s="62"/>
      <x:c r="K1125" s="62"/>
    </x:row>
    <x:row r="1126">
      <x:c r="A1126" s="66"/>
      <x:c r="B1126" s="62"/>
      <x:c r="C1126" s="62"/>
      <x:c r="D1126" s="62"/>
      <x:c r="E1126" s="68"/>
      <x:c r="F1126" s="75"/>
      <x:c r="G1126" s="71" t="n">
        <x:f>IF(A1126="",0,E1126*F1126)</x:f>
        <x:v>0</x:v>
      </x:c>
      <x:c r="H1126" s="62"/>
      <x:c r="I1126" s="62"/>
      <x:c r="J1126" s="62"/>
      <x:c r="K1126" s="62"/>
    </x:row>
    <x:row r="1127">
      <x:c r="A1127" s="66"/>
      <x:c r="B1127" s="62"/>
      <x:c r="C1127" s="62"/>
      <x:c r="D1127" s="62"/>
      <x:c r="E1127" s="68"/>
      <x:c r="F1127" s="75"/>
      <x:c r="G1127" s="71" t="n">
        <x:f>IF(A1127="",0,E1127*F1127)</x:f>
        <x:v>0</x:v>
      </x:c>
      <x:c r="H1127" s="62"/>
      <x:c r="I1127" s="62"/>
      <x:c r="J1127" s="62"/>
      <x:c r="K1127" s="62"/>
    </x:row>
    <x:row r="1128">
      <x:c r="A1128" s="66"/>
      <x:c r="B1128" s="62"/>
      <x:c r="C1128" s="62"/>
      <x:c r="D1128" s="62"/>
      <x:c r="E1128" s="68"/>
      <x:c r="F1128" s="75"/>
      <x:c r="G1128" s="71" t="n">
        <x:f>IF(A1128="",0,E1128*F1128)</x:f>
        <x:v>0</x:v>
      </x:c>
      <x:c r="H1128" s="62"/>
      <x:c r="I1128" s="62"/>
      <x:c r="J1128" s="62"/>
      <x:c r="K1128" s="62"/>
    </x:row>
    <x:row r="1129">
      <x:c r="A1129" s="66"/>
      <x:c r="B1129" s="62"/>
      <x:c r="C1129" s="62"/>
      <x:c r="D1129" s="62"/>
      <x:c r="E1129" s="68"/>
      <x:c r="F1129" s="75"/>
      <x:c r="G1129" s="71" t="n">
        <x:f>IF(A1129="",0,E1129*F1129)</x:f>
        <x:v>0</x:v>
      </x:c>
      <x:c r="H1129" s="62"/>
      <x:c r="I1129" s="62"/>
      <x:c r="J1129" s="62"/>
      <x:c r="K1129" s="62"/>
    </x:row>
    <x:row r="1130">
      <x:c r="A1130" s="66"/>
      <x:c r="B1130" s="62"/>
      <x:c r="C1130" s="62"/>
      <x:c r="D1130" s="62"/>
      <x:c r="E1130" s="68"/>
      <x:c r="F1130" s="75"/>
      <x:c r="G1130" s="71" t="n">
        <x:f>IF(A1130="",0,E1130*F1130)</x:f>
        <x:v>0</x:v>
      </x:c>
      <x:c r="H1130" s="62"/>
      <x:c r="I1130" s="62"/>
      <x:c r="J1130" s="62"/>
      <x:c r="K1130" s="62"/>
    </x:row>
    <x:row r="1131">
      <x:c r="A1131" s="66"/>
      <x:c r="B1131" s="62"/>
      <x:c r="C1131" s="62"/>
      <x:c r="D1131" s="62"/>
      <x:c r="E1131" s="68"/>
      <x:c r="F1131" s="75"/>
      <x:c r="G1131" s="71" t="n">
        <x:f>IF(A1131="",0,E1131*F1131)</x:f>
        <x:v>0</x:v>
      </x:c>
      <x:c r="H1131" s="62"/>
      <x:c r="I1131" s="62"/>
      <x:c r="J1131" s="62"/>
      <x:c r="K1131" s="62"/>
    </x:row>
    <x:row r="1132">
      <x:c r="A1132" s="66"/>
      <x:c r="B1132" s="62"/>
      <x:c r="C1132" s="62"/>
      <x:c r="D1132" s="62"/>
      <x:c r="E1132" s="68"/>
      <x:c r="F1132" s="75"/>
      <x:c r="G1132" s="71" t="n">
        <x:f>IF(A1132="",0,E1132*F1132)</x:f>
        <x:v>0</x:v>
      </x:c>
      <x:c r="H1132" s="62"/>
      <x:c r="I1132" s="62"/>
      <x:c r="J1132" s="62"/>
      <x:c r="K1132" s="62"/>
    </x:row>
    <x:row r="1133">
      <x:c r="A1133" s="66"/>
      <x:c r="B1133" s="62"/>
      <x:c r="C1133" s="62"/>
      <x:c r="D1133" s="62"/>
      <x:c r="E1133" s="68"/>
      <x:c r="F1133" s="75"/>
      <x:c r="G1133" s="71" t="n">
        <x:f>IF(A1133="",0,E1133*F1133)</x:f>
        <x:v>0</x:v>
      </x:c>
      <x:c r="H1133" s="62"/>
      <x:c r="I1133" s="62"/>
      <x:c r="J1133" s="62"/>
      <x:c r="K1133" s="62"/>
    </x:row>
    <x:row r="1134">
      <x:c r="A1134" s="66"/>
      <x:c r="B1134" s="62"/>
      <x:c r="C1134" s="62"/>
      <x:c r="D1134" s="62"/>
      <x:c r="E1134" s="68"/>
      <x:c r="F1134" s="75"/>
      <x:c r="G1134" s="71" t="n">
        <x:f>IF(A1134="",0,E1134*F1134)</x:f>
        <x:v>0</x:v>
      </x:c>
      <x:c r="H1134" s="62"/>
      <x:c r="I1134" s="62"/>
      <x:c r="J1134" s="62"/>
      <x:c r="K1134" s="62"/>
    </x:row>
    <x:row r="1135">
      <x:c r="A1135" s="66"/>
      <x:c r="B1135" s="62"/>
      <x:c r="C1135" s="62"/>
      <x:c r="D1135" s="62"/>
      <x:c r="E1135" s="68"/>
      <x:c r="F1135" s="75"/>
      <x:c r="G1135" s="71" t="n">
        <x:f>IF(A1135="",0,E1135*F1135)</x:f>
        <x:v>0</x:v>
      </x:c>
      <x:c r="H1135" s="62"/>
      <x:c r="I1135" s="62"/>
      <x:c r="J1135" s="62"/>
      <x:c r="K1135" s="62"/>
    </x:row>
    <x:row r="1136">
      <x:c r="A1136" s="66"/>
      <x:c r="B1136" s="62"/>
      <x:c r="C1136" s="62"/>
      <x:c r="D1136" s="62"/>
      <x:c r="E1136" s="68"/>
      <x:c r="F1136" s="75"/>
      <x:c r="G1136" s="71" t="n">
        <x:f>IF(A1136="",0,E1136*F1136)</x:f>
        <x:v>0</x:v>
      </x:c>
      <x:c r="H1136" s="62"/>
      <x:c r="I1136" s="62"/>
      <x:c r="J1136" s="62"/>
      <x:c r="K1136" s="62"/>
    </x:row>
    <x:row r="1137">
      <x:c r="A1137" s="66"/>
      <x:c r="B1137" s="62"/>
      <x:c r="C1137" s="62"/>
      <x:c r="D1137" s="62"/>
      <x:c r="E1137" s="68"/>
      <x:c r="F1137" s="75"/>
      <x:c r="G1137" s="71" t="n">
        <x:f>IF(A1137="",0,E1137*F1137)</x:f>
        <x:v>0</x:v>
      </x:c>
      <x:c r="H1137" s="62"/>
      <x:c r="I1137" s="62"/>
      <x:c r="J1137" s="62"/>
      <x:c r="K1137" s="62"/>
    </x:row>
    <x:row r="1138">
      <x:c r="A1138" s="66"/>
      <x:c r="B1138" s="62"/>
      <x:c r="C1138" s="62"/>
      <x:c r="D1138" s="62"/>
      <x:c r="E1138" s="68"/>
      <x:c r="F1138" s="75"/>
      <x:c r="G1138" s="71" t="n">
        <x:f>IF(A1138="",0,E1138*F1138)</x:f>
        <x:v>0</x:v>
      </x:c>
      <x:c r="H1138" s="62"/>
      <x:c r="I1138" s="62"/>
      <x:c r="J1138" s="62"/>
      <x:c r="K1138" s="62"/>
    </x:row>
    <x:row r="1139">
      <x:c r="A1139" s="66"/>
      <x:c r="B1139" s="62"/>
      <x:c r="C1139" s="62"/>
      <x:c r="D1139" s="62"/>
      <x:c r="E1139" s="68"/>
      <x:c r="F1139" s="75"/>
      <x:c r="G1139" s="71" t="n">
        <x:f>IF(A1139="",0,E1139*F1139)</x:f>
        <x:v>0</x:v>
      </x:c>
      <x:c r="H1139" s="62"/>
      <x:c r="I1139" s="62"/>
      <x:c r="J1139" s="62"/>
      <x:c r="K1139" s="62"/>
    </x:row>
    <x:row r="1140">
      <x:c r="A1140" s="66"/>
      <x:c r="B1140" s="62"/>
      <x:c r="C1140" s="62"/>
      <x:c r="D1140" s="62"/>
      <x:c r="E1140" s="68"/>
      <x:c r="F1140" s="75"/>
      <x:c r="G1140" s="71" t="n">
        <x:f>IF(A1140="",0,E1140*F1140)</x:f>
        <x:v>0</x:v>
      </x:c>
      <x:c r="H1140" s="62"/>
      <x:c r="I1140" s="62"/>
      <x:c r="J1140" s="62"/>
      <x:c r="K1140" s="62"/>
    </x:row>
    <x:row r="1141">
      <x:c r="A1141" s="66"/>
      <x:c r="B1141" s="62"/>
      <x:c r="C1141" s="62"/>
      <x:c r="D1141" s="62"/>
      <x:c r="E1141" s="68"/>
      <x:c r="F1141" s="75"/>
      <x:c r="G1141" s="71" t="n">
        <x:f>IF(A1141="",0,E1141*F1141)</x:f>
        <x:v>0</x:v>
      </x:c>
      <x:c r="H1141" s="62"/>
      <x:c r="I1141" s="62"/>
      <x:c r="J1141" s="62"/>
      <x:c r="K1141" s="62"/>
    </x:row>
    <x:row r="1142">
      <x:c r="A1142" s="66"/>
      <x:c r="B1142" s="62"/>
      <x:c r="C1142" s="62"/>
      <x:c r="D1142" s="62"/>
      <x:c r="E1142" s="68"/>
      <x:c r="F1142" s="75"/>
      <x:c r="G1142" s="71" t="n">
        <x:f>IF(A1142="",0,E1142*F1142)</x:f>
        <x:v>0</x:v>
      </x:c>
      <x:c r="H1142" s="62"/>
      <x:c r="I1142" s="62"/>
      <x:c r="J1142" s="62"/>
      <x:c r="K1142" s="62"/>
    </x:row>
    <x:row r="1143">
      <x:c r="A1143" s="66"/>
      <x:c r="B1143" s="62"/>
      <x:c r="C1143" s="62"/>
      <x:c r="D1143" s="62"/>
      <x:c r="E1143" s="68"/>
      <x:c r="F1143" s="75"/>
      <x:c r="G1143" s="71" t="n">
        <x:f>IF(A1143="",0,E1143*F1143)</x:f>
        <x:v>0</x:v>
      </x:c>
      <x:c r="H1143" s="62"/>
      <x:c r="I1143" s="62"/>
      <x:c r="J1143" s="62"/>
      <x:c r="K1143" s="62"/>
    </x:row>
    <x:row r="1144">
      <x:c r="A1144" s="66"/>
      <x:c r="B1144" s="62"/>
      <x:c r="C1144" s="62"/>
      <x:c r="D1144" s="62"/>
      <x:c r="E1144" s="68"/>
      <x:c r="F1144" s="75"/>
      <x:c r="G1144" s="71" t="n">
        <x:f>IF(A1144="",0,E1144*F1144)</x:f>
        <x:v>0</x:v>
      </x:c>
      <x:c r="H1144" s="62"/>
      <x:c r="I1144" s="62"/>
      <x:c r="J1144" s="62"/>
      <x:c r="K1144" s="62"/>
    </x:row>
    <x:row r="1145">
      <x:c r="A1145" s="66"/>
      <x:c r="B1145" s="62"/>
      <x:c r="C1145" s="62"/>
      <x:c r="D1145" s="62"/>
      <x:c r="E1145" s="68"/>
      <x:c r="F1145" s="75"/>
      <x:c r="G1145" s="71" t="n">
        <x:f>IF(A1145="",0,E1145*F1145)</x:f>
        <x:v>0</x:v>
      </x:c>
      <x:c r="H1145" s="62"/>
      <x:c r="I1145" s="62"/>
      <x:c r="J1145" s="62"/>
      <x:c r="K1145" s="62"/>
    </x:row>
    <x:row r="1146">
      <x:c r="A1146" s="66"/>
      <x:c r="B1146" s="62"/>
      <x:c r="C1146" s="62"/>
      <x:c r="D1146" s="62"/>
      <x:c r="E1146" s="68"/>
      <x:c r="F1146" s="75"/>
      <x:c r="G1146" s="71" t="n">
        <x:f>IF(A1146="",0,E1146*F1146)</x:f>
        <x:v>0</x:v>
      </x:c>
      <x:c r="H1146" s="62"/>
      <x:c r="I1146" s="62"/>
      <x:c r="J1146" s="62"/>
      <x:c r="K1146" s="62"/>
    </x:row>
    <x:row r="1147">
      <x:c r="A1147" s="66"/>
      <x:c r="B1147" s="62"/>
      <x:c r="C1147" s="62"/>
      <x:c r="D1147" s="62"/>
      <x:c r="E1147" s="68"/>
      <x:c r="F1147" s="75"/>
      <x:c r="G1147" s="71" t="n">
        <x:f>IF(A1147="",0,E1147*F1147)</x:f>
        <x:v>0</x:v>
      </x:c>
      <x:c r="H1147" s="62"/>
      <x:c r="I1147" s="62"/>
      <x:c r="J1147" s="62"/>
      <x:c r="K1147" s="62"/>
    </x:row>
    <x:row r="1148">
      <x:c r="A1148" s="66"/>
      <x:c r="B1148" s="62"/>
      <x:c r="C1148" s="62"/>
      <x:c r="D1148" s="62"/>
      <x:c r="E1148" s="68"/>
      <x:c r="F1148" s="75"/>
      <x:c r="G1148" s="71" t="n">
        <x:f>IF(A1148="",0,E1148*F1148)</x:f>
        <x:v>0</x:v>
      </x:c>
      <x:c r="H1148" s="62"/>
      <x:c r="I1148" s="62"/>
      <x:c r="J1148" s="62"/>
      <x:c r="K1148" s="62"/>
    </x:row>
    <x:row r="1149">
      <x:c r="A1149" s="66"/>
      <x:c r="B1149" s="62"/>
      <x:c r="C1149" s="62"/>
      <x:c r="D1149" s="62"/>
      <x:c r="E1149" s="68"/>
      <x:c r="F1149" s="75"/>
      <x:c r="G1149" s="71" t="n">
        <x:f>IF(A1149="",0,E1149*F1149)</x:f>
        <x:v>0</x:v>
      </x:c>
      <x:c r="H1149" s="62"/>
      <x:c r="I1149" s="62"/>
      <x:c r="J1149" s="62"/>
      <x:c r="K1149" s="62"/>
    </x:row>
    <x:row r="1150">
      <x:c r="A1150" s="66"/>
      <x:c r="B1150" s="62"/>
      <x:c r="C1150" s="62"/>
      <x:c r="D1150" s="62"/>
      <x:c r="E1150" s="68"/>
      <x:c r="F1150" s="75"/>
      <x:c r="G1150" s="71" t="n">
        <x:f>IF(A1150="",0,E1150*F1150)</x:f>
        <x:v>0</x:v>
      </x:c>
      <x:c r="H1150" s="62"/>
      <x:c r="I1150" s="62"/>
      <x:c r="J1150" s="62"/>
      <x:c r="K1150" s="62"/>
    </x:row>
    <x:row r="1151">
      <x:c r="A1151" s="66"/>
      <x:c r="B1151" s="62"/>
      <x:c r="C1151" s="62"/>
      <x:c r="D1151" s="62"/>
      <x:c r="E1151" s="68"/>
      <x:c r="F1151" s="75"/>
      <x:c r="G1151" s="71" t="n">
        <x:f>IF(A1151="",0,E1151*F1151)</x:f>
        <x:v>0</x:v>
      </x:c>
      <x:c r="H1151" s="62"/>
      <x:c r="I1151" s="62"/>
      <x:c r="J1151" s="62"/>
      <x:c r="K1151" s="62"/>
    </x:row>
    <x:row r="1152">
      <x:c r="A1152" s="66"/>
      <x:c r="B1152" s="62"/>
      <x:c r="C1152" s="62"/>
      <x:c r="D1152" s="62"/>
      <x:c r="E1152" s="68"/>
      <x:c r="F1152" s="75"/>
      <x:c r="G1152" s="71" t="n">
        <x:f>IF(A1152="",0,E1152*F1152)</x:f>
        <x:v>0</x:v>
      </x:c>
      <x:c r="H1152" s="62"/>
      <x:c r="I1152" s="62"/>
      <x:c r="J1152" s="62"/>
      <x:c r="K1152" s="62"/>
    </x:row>
    <x:row r="1153">
      <x:c r="A1153" s="66"/>
      <x:c r="B1153" s="62"/>
      <x:c r="C1153" s="62"/>
      <x:c r="D1153" s="62"/>
      <x:c r="E1153" s="68"/>
      <x:c r="F1153" s="75"/>
      <x:c r="G1153" s="71" t="n">
        <x:f>IF(A1153="",0,E1153*F1153)</x:f>
        <x:v>0</x:v>
      </x:c>
      <x:c r="H1153" s="62"/>
      <x:c r="I1153" s="62"/>
      <x:c r="J1153" s="62"/>
      <x:c r="K1153" s="62"/>
    </x:row>
    <x:row r="1154">
      <x:c r="A1154" s="66"/>
      <x:c r="B1154" s="62"/>
      <x:c r="C1154" s="62"/>
      <x:c r="D1154" s="62"/>
      <x:c r="E1154" s="68"/>
      <x:c r="F1154" s="75"/>
      <x:c r="G1154" s="71" t="n">
        <x:f>IF(A1154="",0,E1154*F1154)</x:f>
        <x:v>0</x:v>
      </x:c>
      <x:c r="H1154" s="62"/>
      <x:c r="I1154" s="62"/>
      <x:c r="J1154" s="62"/>
      <x:c r="K1154" s="62"/>
    </x:row>
    <x:row r="1155">
      <x:c r="A1155" s="66"/>
      <x:c r="B1155" s="62"/>
      <x:c r="C1155" s="62"/>
      <x:c r="D1155" s="62"/>
      <x:c r="E1155" s="68"/>
      <x:c r="F1155" s="75"/>
      <x:c r="G1155" s="71" t="n">
        <x:f>IF(A1155="",0,E1155*F1155)</x:f>
        <x:v>0</x:v>
      </x:c>
      <x:c r="H1155" s="62"/>
      <x:c r="I1155" s="62"/>
      <x:c r="J1155" s="62"/>
      <x:c r="K1155" s="62"/>
    </x:row>
    <x:row r="1156">
      <x:c r="A1156" s="66"/>
      <x:c r="B1156" s="62"/>
      <x:c r="C1156" s="62"/>
      <x:c r="D1156" s="62"/>
      <x:c r="E1156" s="68"/>
      <x:c r="F1156" s="75"/>
      <x:c r="G1156" s="71" t="n">
        <x:f>IF(A1156="",0,E1156*F1156)</x:f>
        <x:v>0</x:v>
      </x:c>
      <x:c r="H1156" s="62"/>
      <x:c r="I1156" s="62"/>
      <x:c r="J1156" s="62"/>
      <x:c r="K1156" s="62"/>
    </x:row>
    <x:row r="1157">
      <x:c r="A1157" s="66"/>
      <x:c r="B1157" s="62"/>
      <x:c r="C1157" s="62"/>
      <x:c r="D1157" s="62"/>
      <x:c r="E1157" s="68"/>
      <x:c r="F1157" s="75"/>
      <x:c r="G1157" s="71" t="n">
        <x:f>IF(A1157="",0,E1157*F1157)</x:f>
        <x:v>0</x:v>
      </x:c>
      <x:c r="H1157" s="62"/>
      <x:c r="I1157" s="62"/>
      <x:c r="J1157" s="62"/>
      <x:c r="K1157" s="62"/>
    </x:row>
    <x:row r="1158">
      <x:c r="A1158" s="66"/>
      <x:c r="B1158" s="62"/>
      <x:c r="C1158" s="62"/>
      <x:c r="D1158" s="62"/>
      <x:c r="E1158" s="68"/>
      <x:c r="F1158" s="75"/>
      <x:c r="G1158" s="71" t="n">
        <x:f>IF(A1158="",0,E1158*F1158)</x:f>
        <x:v>0</x:v>
      </x:c>
      <x:c r="H1158" s="62"/>
      <x:c r="I1158" s="62"/>
      <x:c r="J1158" s="62"/>
      <x:c r="K1158" s="62"/>
    </x:row>
    <x:row r="1159">
      <x:c r="A1159" s="66"/>
      <x:c r="B1159" s="62"/>
      <x:c r="C1159" s="62"/>
      <x:c r="D1159" s="62"/>
      <x:c r="E1159" s="68"/>
      <x:c r="F1159" s="75"/>
      <x:c r="G1159" s="71" t="n">
        <x:f>IF(A1159="",0,E1159*F1159)</x:f>
        <x:v>0</x:v>
      </x:c>
      <x:c r="H1159" s="62"/>
      <x:c r="I1159" s="62"/>
      <x:c r="J1159" s="62"/>
      <x:c r="K1159" s="62"/>
    </x:row>
    <x:row r="1160">
      <x:c r="A1160" s="66"/>
      <x:c r="B1160" s="62"/>
      <x:c r="C1160" s="62"/>
      <x:c r="D1160" s="62"/>
      <x:c r="E1160" s="68"/>
      <x:c r="F1160" s="75"/>
      <x:c r="G1160" s="71" t="n">
        <x:f>IF(A1160="",0,E1160*F1160)</x:f>
        <x:v>0</x:v>
      </x:c>
      <x:c r="H1160" s="62"/>
      <x:c r="I1160" s="62"/>
      <x:c r="J1160" s="62"/>
      <x:c r="K1160" s="62"/>
    </x:row>
    <x:row r="1161">
      <x:c r="A1161" s="66"/>
      <x:c r="B1161" s="62"/>
      <x:c r="C1161" s="62"/>
      <x:c r="D1161" s="62"/>
      <x:c r="E1161" s="68"/>
      <x:c r="F1161" s="75"/>
      <x:c r="G1161" s="71" t="n">
        <x:f>IF(A1161="",0,E1161*F1161)</x:f>
        <x:v>0</x:v>
      </x:c>
      <x:c r="H1161" s="62"/>
      <x:c r="I1161" s="62"/>
      <x:c r="J1161" s="62"/>
      <x:c r="K1161" s="62"/>
    </x:row>
    <x:row r="1162">
      <x:c r="A1162" s="66"/>
      <x:c r="B1162" s="62"/>
      <x:c r="C1162" s="62"/>
      <x:c r="D1162" s="62"/>
      <x:c r="E1162" s="68"/>
      <x:c r="F1162" s="75"/>
      <x:c r="G1162" s="71" t="n">
        <x:f>IF(A1162="",0,E1162*F1162)</x:f>
        <x:v>0</x:v>
      </x:c>
      <x:c r="H1162" s="62"/>
      <x:c r="I1162" s="62"/>
      <x:c r="J1162" s="62"/>
      <x:c r="K1162" s="62"/>
    </x:row>
    <x:row r="1163">
      <x:c r="A1163" s="66"/>
      <x:c r="B1163" s="62"/>
      <x:c r="C1163" s="62"/>
      <x:c r="D1163" s="62"/>
      <x:c r="E1163" s="68"/>
      <x:c r="F1163" s="75"/>
      <x:c r="G1163" s="71" t="n">
        <x:f>IF(A1163="",0,E1163*F1163)</x:f>
        <x:v>0</x:v>
      </x:c>
      <x:c r="H1163" s="62"/>
      <x:c r="I1163" s="62"/>
      <x:c r="J1163" s="62"/>
      <x:c r="K1163" s="62"/>
    </x:row>
    <x:row r="1164">
      <x:c r="A1164" s="66"/>
      <x:c r="B1164" s="62"/>
      <x:c r="C1164" s="62"/>
      <x:c r="D1164" s="62"/>
      <x:c r="E1164" s="68"/>
      <x:c r="F1164" s="75"/>
      <x:c r="G1164" s="71" t="n">
        <x:f>IF(A1164="",0,E1164*F1164)</x:f>
        <x:v>0</x:v>
      </x:c>
      <x:c r="H1164" s="62"/>
      <x:c r="I1164" s="62"/>
      <x:c r="J1164" s="62"/>
      <x:c r="K1164" s="62"/>
    </x:row>
    <x:row r="1165">
      <x:c r="A1165" s="66"/>
      <x:c r="B1165" s="62"/>
      <x:c r="C1165" s="62"/>
      <x:c r="D1165" s="62"/>
      <x:c r="E1165" s="68"/>
      <x:c r="F1165" s="75"/>
      <x:c r="G1165" s="71" t="n">
        <x:f>IF(A1165="",0,E1165*F1165)</x:f>
        <x:v>0</x:v>
      </x:c>
      <x:c r="H1165" s="62"/>
      <x:c r="I1165" s="62"/>
      <x:c r="J1165" s="62"/>
      <x:c r="K1165" s="62"/>
    </x:row>
    <x:row r="1166">
      <x:c r="A1166" s="66"/>
      <x:c r="B1166" s="62"/>
      <x:c r="C1166" s="62"/>
      <x:c r="D1166" s="62"/>
      <x:c r="E1166" s="68"/>
      <x:c r="F1166" s="75"/>
      <x:c r="G1166" s="71" t="n">
        <x:f>IF(A1166="",0,E1166*F1166)</x:f>
        <x:v>0</x:v>
      </x:c>
      <x:c r="H1166" s="62"/>
      <x:c r="I1166" s="62"/>
      <x:c r="J1166" s="62"/>
      <x:c r="K1166" s="62"/>
    </x:row>
    <x:row r="1167">
      <x:c r="A1167" s="66"/>
      <x:c r="B1167" s="62"/>
      <x:c r="C1167" s="62"/>
      <x:c r="D1167" s="62"/>
      <x:c r="E1167" s="68"/>
      <x:c r="F1167" s="75"/>
      <x:c r="G1167" s="71" t="n">
        <x:f>IF(A1167="",0,E1167*F1167)</x:f>
        <x:v>0</x:v>
      </x:c>
      <x:c r="H1167" s="62"/>
      <x:c r="I1167" s="62"/>
      <x:c r="J1167" s="62"/>
      <x:c r="K1167" s="62"/>
    </x:row>
    <x:row r="1168">
      <x:c r="A1168" s="66"/>
      <x:c r="B1168" s="62"/>
      <x:c r="C1168" s="62"/>
      <x:c r="D1168" s="62"/>
      <x:c r="E1168" s="68"/>
      <x:c r="F1168" s="75"/>
      <x:c r="G1168" s="71" t="n">
        <x:f>IF(A1168="",0,E1168*F1168)</x:f>
        <x:v>0</x:v>
      </x:c>
      <x:c r="H1168" s="62"/>
      <x:c r="I1168" s="62"/>
      <x:c r="J1168" s="62"/>
      <x:c r="K1168" s="62"/>
    </x:row>
    <x:row r="1169">
      <x:c r="A1169" s="66"/>
      <x:c r="B1169" s="62"/>
      <x:c r="C1169" s="62"/>
      <x:c r="D1169" s="62"/>
      <x:c r="E1169" s="68"/>
      <x:c r="F1169" s="75"/>
      <x:c r="G1169" s="71" t="n">
        <x:f>IF(A1169="",0,E1169*F1169)</x:f>
        <x:v>0</x:v>
      </x:c>
      <x:c r="H1169" s="62"/>
      <x:c r="I1169" s="62"/>
      <x:c r="J1169" s="62"/>
      <x:c r="K1169" s="62"/>
    </x:row>
    <x:row r="1170">
      <x:c r="A1170" s="66"/>
      <x:c r="B1170" s="62"/>
      <x:c r="C1170" s="62"/>
      <x:c r="D1170" s="62"/>
      <x:c r="E1170" s="68"/>
      <x:c r="F1170" s="75"/>
      <x:c r="G1170" s="71" t="n">
        <x:f>IF(A1170="",0,E1170*F1170)</x:f>
        <x:v>0</x:v>
      </x:c>
      <x:c r="H1170" s="62"/>
      <x:c r="I1170" s="62"/>
      <x:c r="J1170" s="62"/>
      <x:c r="K1170" s="62"/>
    </x:row>
    <x:row r="1171">
      <x:c r="A1171" s="66"/>
      <x:c r="B1171" s="62"/>
      <x:c r="C1171" s="62"/>
      <x:c r="D1171" s="62"/>
      <x:c r="E1171" s="68"/>
      <x:c r="F1171" s="75"/>
      <x:c r="G1171" s="71" t="n">
        <x:f>IF(A1171="",0,E1171*F1171)</x:f>
        <x:v>0</x:v>
      </x:c>
      <x:c r="H1171" s="62"/>
      <x:c r="I1171" s="62"/>
      <x:c r="J1171" s="62"/>
      <x:c r="K1171" s="62"/>
    </x:row>
    <x:row r="1172">
      <x:c r="A1172" s="66"/>
      <x:c r="B1172" s="62"/>
      <x:c r="C1172" s="62"/>
      <x:c r="D1172" s="62"/>
      <x:c r="E1172" s="68"/>
      <x:c r="F1172" s="75"/>
      <x:c r="G1172" s="71" t="n">
        <x:f>IF(A1172="",0,E1172*F1172)</x:f>
        <x:v>0</x:v>
      </x:c>
      <x:c r="H1172" s="62"/>
      <x:c r="I1172" s="62"/>
      <x:c r="J1172" s="62"/>
      <x:c r="K1172" s="62"/>
    </x:row>
    <x:row r="1173">
      <x:c r="A1173" s="66"/>
      <x:c r="B1173" s="62"/>
      <x:c r="C1173" s="62"/>
      <x:c r="D1173" s="62"/>
      <x:c r="E1173" s="68"/>
      <x:c r="F1173" s="75"/>
      <x:c r="G1173" s="71" t="n">
        <x:f>IF(A1173="",0,E1173*F1173)</x:f>
        <x:v>0</x:v>
      </x:c>
      <x:c r="H1173" s="62"/>
      <x:c r="I1173" s="62"/>
      <x:c r="J1173" s="62"/>
      <x:c r="K1173" s="62"/>
    </x:row>
    <x:row r="1174">
      <x:c r="A1174" s="66"/>
      <x:c r="B1174" s="62"/>
      <x:c r="C1174" s="62"/>
      <x:c r="D1174" s="62"/>
      <x:c r="E1174" s="68"/>
      <x:c r="F1174" s="75"/>
      <x:c r="G1174" s="71" t="n">
        <x:f>IF(A1174="",0,E1174*F1174)</x:f>
        <x:v>0</x:v>
      </x:c>
      <x:c r="H1174" s="62"/>
      <x:c r="I1174" s="62"/>
      <x:c r="J1174" s="62"/>
      <x:c r="K1174" s="62"/>
    </x:row>
    <x:row r="1175">
      <x:c r="A1175" s="66"/>
      <x:c r="B1175" s="62"/>
      <x:c r="C1175" s="62"/>
      <x:c r="D1175" s="62"/>
      <x:c r="E1175" s="68"/>
      <x:c r="F1175" s="75"/>
      <x:c r="G1175" s="71" t="n">
        <x:f>IF(A1175="",0,E1175*F1175)</x:f>
        <x:v>0</x:v>
      </x:c>
      <x:c r="H1175" s="62"/>
      <x:c r="I1175" s="62"/>
      <x:c r="J1175" s="62"/>
      <x:c r="K1175" s="62"/>
    </x:row>
    <x:row r="1176">
      <x:c r="A1176" s="66"/>
      <x:c r="B1176" s="62"/>
      <x:c r="C1176" s="62"/>
      <x:c r="D1176" s="62"/>
      <x:c r="E1176" s="68"/>
      <x:c r="F1176" s="75"/>
      <x:c r="G1176" s="71" t="n">
        <x:f>IF(A1176="",0,E1176*F1176)</x:f>
        <x:v>0</x:v>
      </x:c>
      <x:c r="H1176" s="62"/>
      <x:c r="I1176" s="62"/>
      <x:c r="J1176" s="62"/>
      <x:c r="K1176" s="62"/>
    </x:row>
    <x:row r="1177">
      <x:c r="A1177" s="66"/>
      <x:c r="B1177" s="62"/>
      <x:c r="C1177" s="62"/>
      <x:c r="D1177" s="62"/>
      <x:c r="E1177" s="68"/>
      <x:c r="F1177" s="75"/>
      <x:c r="G1177" s="71" t="n">
        <x:f>IF(A1177="",0,E1177*F1177)</x:f>
        <x:v>0</x:v>
      </x:c>
      <x:c r="H1177" s="62"/>
      <x:c r="I1177" s="62"/>
      <x:c r="J1177" s="62"/>
      <x:c r="K1177" s="62"/>
    </x:row>
    <x:row r="1178">
      <x:c r="A1178" s="66"/>
      <x:c r="B1178" s="62"/>
      <x:c r="C1178" s="62"/>
      <x:c r="D1178" s="62"/>
      <x:c r="E1178" s="68"/>
      <x:c r="F1178" s="75"/>
      <x:c r="G1178" s="71" t="n">
        <x:f>IF(A1178="",0,E1178*F1178)</x:f>
        <x:v>0</x:v>
      </x:c>
      <x:c r="H1178" s="62"/>
      <x:c r="I1178" s="62"/>
      <x:c r="J1178" s="62"/>
      <x:c r="K1178" s="62"/>
    </x:row>
    <x:row r="1179">
      <x:c r="A1179" s="66"/>
      <x:c r="B1179" s="62"/>
      <x:c r="C1179" s="62"/>
      <x:c r="D1179" s="62"/>
      <x:c r="E1179" s="68"/>
      <x:c r="F1179" s="75"/>
      <x:c r="G1179" s="71" t="n">
        <x:f>IF(A1179="",0,E1179*F1179)</x:f>
        <x:v>0</x:v>
      </x:c>
      <x:c r="H1179" s="62"/>
      <x:c r="I1179" s="62"/>
      <x:c r="J1179" s="62"/>
      <x:c r="K1179" s="62"/>
    </x:row>
    <x:row r="1180">
      <x:c r="A1180" s="66"/>
      <x:c r="B1180" s="62"/>
      <x:c r="C1180" s="62"/>
      <x:c r="D1180" s="62"/>
      <x:c r="E1180" s="68"/>
      <x:c r="F1180" s="75"/>
      <x:c r="G1180" s="71" t="n">
        <x:f>IF(A1180="",0,E1180*F1180)</x:f>
        <x:v>0</x:v>
      </x:c>
      <x:c r="H1180" s="62"/>
      <x:c r="I1180" s="62"/>
      <x:c r="J1180" s="62"/>
      <x:c r="K1180" s="62"/>
    </x:row>
    <x:row r="1181">
      <x:c r="A1181" s="66"/>
      <x:c r="B1181" s="62"/>
      <x:c r="C1181" s="62"/>
      <x:c r="D1181" s="62"/>
      <x:c r="E1181" s="68"/>
      <x:c r="F1181" s="75"/>
      <x:c r="G1181" s="71" t="n">
        <x:f>IF(A1181="",0,E1181*F1181)</x:f>
        <x:v>0</x:v>
      </x:c>
      <x:c r="H1181" s="62"/>
      <x:c r="I1181" s="62"/>
      <x:c r="J1181" s="62"/>
      <x:c r="K1181" s="62"/>
    </x:row>
    <x:row r="1182">
      <x:c r="A1182" s="66"/>
      <x:c r="B1182" s="62"/>
      <x:c r="C1182" s="62"/>
      <x:c r="D1182" s="62"/>
      <x:c r="E1182" s="68"/>
      <x:c r="F1182" s="75"/>
      <x:c r="G1182" s="71" t="n">
        <x:f>IF(A1182="",0,E1182*F1182)</x:f>
        <x:v>0</x:v>
      </x:c>
      <x:c r="H1182" s="62"/>
      <x:c r="I1182" s="62"/>
      <x:c r="J1182" s="62"/>
      <x:c r="K1182" s="62"/>
    </x:row>
    <x:row r="1183">
      <x:c r="A1183" s="66"/>
      <x:c r="B1183" s="62"/>
      <x:c r="C1183" s="62"/>
      <x:c r="D1183" s="62"/>
      <x:c r="E1183" s="68"/>
      <x:c r="F1183" s="75"/>
      <x:c r="G1183" s="71" t="n">
        <x:f>IF(A1183="",0,E1183*F1183)</x:f>
        <x:v>0</x:v>
      </x:c>
      <x:c r="H1183" s="62"/>
      <x:c r="I1183" s="62"/>
      <x:c r="J1183" s="62"/>
      <x:c r="K1183" s="62"/>
    </x:row>
    <x:row r="1184">
      <x:c r="A1184" s="66"/>
      <x:c r="B1184" s="62"/>
      <x:c r="C1184" s="62"/>
      <x:c r="D1184" s="62"/>
      <x:c r="E1184" s="68"/>
      <x:c r="F1184" s="75"/>
      <x:c r="G1184" s="71" t="n">
        <x:f>IF(A1184="",0,E1184*F1184)</x:f>
        <x:v>0</x:v>
      </x:c>
      <x:c r="H1184" s="62"/>
      <x:c r="I1184" s="62"/>
      <x:c r="J1184" s="62"/>
      <x:c r="K1184" s="62"/>
    </x:row>
    <x:row r="1185">
      <x:c r="A1185" s="66"/>
      <x:c r="B1185" s="62"/>
      <x:c r="C1185" s="62"/>
      <x:c r="D1185" s="62"/>
      <x:c r="E1185" s="68"/>
      <x:c r="F1185" s="75"/>
      <x:c r="G1185" s="71" t="n">
        <x:f>IF(A1185="",0,E1185*F1185)</x:f>
        <x:v>0</x:v>
      </x:c>
      <x:c r="H1185" s="62"/>
      <x:c r="I1185" s="62"/>
      <x:c r="J1185" s="62"/>
      <x:c r="K1185" s="62"/>
    </x:row>
    <x:row r="1186">
      <x:c r="A1186" s="66"/>
      <x:c r="B1186" s="62"/>
      <x:c r="C1186" s="62"/>
      <x:c r="D1186" s="62"/>
      <x:c r="E1186" s="68"/>
      <x:c r="F1186" s="75"/>
      <x:c r="G1186" s="71" t="n">
        <x:f>IF(A1186="",0,E1186*F1186)</x:f>
        <x:v>0</x:v>
      </x:c>
      <x:c r="H1186" s="62"/>
      <x:c r="I1186" s="62"/>
      <x:c r="J1186" s="62"/>
      <x:c r="K1186" s="62"/>
    </x:row>
    <x:row r="1187">
      <x:c r="A1187" s="66"/>
      <x:c r="B1187" s="62"/>
      <x:c r="C1187" s="62"/>
      <x:c r="D1187" s="62"/>
      <x:c r="E1187" s="68"/>
      <x:c r="F1187" s="75"/>
      <x:c r="G1187" s="71" t="n">
        <x:f>IF(A1187="",0,E1187*F1187)</x:f>
        <x:v>0</x:v>
      </x:c>
      <x:c r="H1187" s="62"/>
      <x:c r="I1187" s="62"/>
      <x:c r="J1187" s="62"/>
      <x:c r="K1187" s="62"/>
    </x:row>
    <x:row r="1188">
      <x:c r="A1188" s="66"/>
      <x:c r="B1188" s="62"/>
      <x:c r="C1188" s="62"/>
      <x:c r="D1188" s="62"/>
      <x:c r="E1188" s="68"/>
      <x:c r="F1188" s="75"/>
      <x:c r="G1188" s="71" t="n">
        <x:f>IF(A1188="",0,E1188*F1188)</x:f>
        <x:v>0</x:v>
      </x:c>
      <x:c r="H1188" s="62"/>
      <x:c r="I1188" s="62"/>
      <x:c r="J1188" s="62"/>
      <x:c r="K1188" s="62"/>
    </x:row>
    <x:row r="1189">
      <x:c r="A1189" s="66"/>
      <x:c r="B1189" s="62"/>
      <x:c r="C1189" s="62"/>
      <x:c r="D1189" s="62"/>
      <x:c r="E1189" s="68"/>
      <x:c r="F1189" s="75"/>
      <x:c r="G1189" s="71" t="n">
        <x:f>IF(A1189="",0,E1189*F1189)</x:f>
        <x:v>0</x:v>
      </x:c>
      <x:c r="H1189" s="62"/>
      <x:c r="I1189" s="62"/>
      <x:c r="J1189" s="62"/>
      <x:c r="K1189" s="62"/>
    </x:row>
    <x:row r="1190">
      <x:c r="A1190" s="66"/>
      <x:c r="B1190" s="62"/>
      <x:c r="C1190" s="62"/>
      <x:c r="D1190" s="62"/>
      <x:c r="E1190" s="68"/>
      <x:c r="F1190" s="75"/>
      <x:c r="G1190" s="71" t="n">
        <x:f>IF(A1190="",0,E1190*F1190)</x:f>
        <x:v>0</x:v>
      </x:c>
      <x:c r="H1190" s="62"/>
      <x:c r="I1190" s="62"/>
      <x:c r="J1190" s="62"/>
      <x:c r="K1190" s="62"/>
    </x:row>
    <x:row r="1191">
      <x:c r="A1191" s="66"/>
      <x:c r="B1191" s="62"/>
      <x:c r="C1191" s="62"/>
      <x:c r="D1191" s="62"/>
      <x:c r="E1191" s="68"/>
      <x:c r="F1191" s="75"/>
      <x:c r="G1191" s="71" t="n">
        <x:f>IF(A1191="",0,E1191*F1191)</x:f>
        <x:v>0</x:v>
      </x:c>
      <x:c r="H1191" s="62"/>
      <x:c r="I1191" s="62"/>
      <x:c r="J1191" s="62"/>
      <x:c r="K1191" s="62"/>
    </x:row>
    <x:row r="1192">
      <x:c r="A1192" s="66"/>
      <x:c r="B1192" s="62"/>
      <x:c r="C1192" s="62"/>
      <x:c r="D1192" s="62"/>
      <x:c r="E1192" s="68"/>
      <x:c r="F1192" s="75"/>
      <x:c r="G1192" s="71" t="n">
        <x:f>IF(A1192="",0,E1192*F1192)</x:f>
        <x:v>0</x:v>
      </x:c>
      <x:c r="H1192" s="62"/>
      <x:c r="I1192" s="62"/>
      <x:c r="J1192" s="62"/>
      <x:c r="K1192" s="62"/>
    </x:row>
    <x:row r="1193">
      <x:c r="A1193" s="66"/>
      <x:c r="B1193" s="62"/>
      <x:c r="C1193" s="62"/>
      <x:c r="D1193" s="62"/>
      <x:c r="E1193" s="68"/>
      <x:c r="F1193" s="75"/>
      <x:c r="G1193" s="71" t="n">
        <x:f>IF(A1193="",0,E1193*F1193)</x:f>
        <x:v>0</x:v>
      </x:c>
      <x:c r="H1193" s="62"/>
      <x:c r="I1193" s="62"/>
      <x:c r="J1193" s="62"/>
      <x:c r="K1193" s="62"/>
    </x:row>
    <x:row r="1194">
      <x:c r="A1194" s="66"/>
      <x:c r="B1194" s="62"/>
      <x:c r="C1194" s="62"/>
      <x:c r="D1194" s="62"/>
      <x:c r="E1194" s="68"/>
      <x:c r="F1194" s="75"/>
      <x:c r="G1194" s="71" t="n">
        <x:f>IF(A1194="",0,E1194*F1194)</x:f>
        <x:v>0</x:v>
      </x:c>
      <x:c r="H1194" s="62"/>
      <x:c r="I1194" s="62"/>
      <x:c r="J1194" s="62"/>
      <x:c r="K1194" s="62"/>
    </x:row>
    <x:row r="1195">
      <x:c r="A1195" s="66"/>
      <x:c r="B1195" s="62"/>
      <x:c r="C1195" s="62"/>
      <x:c r="D1195" s="62"/>
      <x:c r="E1195" s="68"/>
      <x:c r="F1195" s="75"/>
      <x:c r="G1195" s="71" t="n">
        <x:f>IF(A1195="",0,E1195*F1195)</x:f>
        <x:v>0</x:v>
      </x:c>
      <x:c r="H1195" s="62"/>
      <x:c r="I1195" s="62"/>
      <x:c r="J1195" s="62"/>
      <x:c r="K1195" s="62"/>
    </x:row>
    <x:row r="1196">
      <x:c r="A1196" s="66"/>
      <x:c r="B1196" s="62"/>
      <x:c r="C1196" s="62"/>
      <x:c r="D1196" s="62"/>
      <x:c r="E1196" s="68"/>
      <x:c r="F1196" s="75"/>
      <x:c r="G1196" s="71" t="n">
        <x:f>IF(A1196="",0,E1196*F1196)</x:f>
        <x:v>0</x:v>
      </x:c>
      <x:c r="H1196" s="62"/>
      <x:c r="I1196" s="62"/>
      <x:c r="J1196" s="62"/>
      <x:c r="K1196" s="62"/>
    </x:row>
    <x:row r="1197">
      <x:c r="A1197" s="66"/>
      <x:c r="B1197" s="62"/>
      <x:c r="C1197" s="62"/>
      <x:c r="D1197" s="62"/>
      <x:c r="E1197" s="68"/>
      <x:c r="F1197" s="75"/>
      <x:c r="G1197" s="71" t="n">
        <x:f>IF(A1197="",0,E1197*F1197)</x:f>
        <x:v>0</x:v>
      </x:c>
      <x:c r="H1197" s="62"/>
      <x:c r="I1197" s="62"/>
      <x:c r="J1197" s="62"/>
      <x:c r="K1197" s="62"/>
    </x:row>
    <x:row r="1198">
      <x:c r="A1198" s="66"/>
      <x:c r="B1198" s="62"/>
      <x:c r="C1198" s="62"/>
      <x:c r="D1198" s="62"/>
      <x:c r="E1198" s="68"/>
      <x:c r="F1198" s="75"/>
      <x:c r="G1198" s="71" t="n">
        <x:f>IF(A1198="",0,E1198*F1198)</x:f>
        <x:v>0</x:v>
      </x:c>
      <x:c r="H1198" s="62"/>
      <x:c r="I1198" s="62"/>
      <x:c r="J1198" s="62"/>
      <x:c r="K1198" s="62"/>
    </x:row>
    <x:row r="1199">
      <x:c r="A1199" s="66"/>
      <x:c r="B1199" s="62"/>
      <x:c r="C1199" s="62"/>
      <x:c r="D1199" s="62"/>
      <x:c r="E1199" s="68"/>
      <x:c r="F1199" s="75"/>
      <x:c r="G1199" s="71" t="n">
        <x:f>IF(A1199="",0,E1199*F1199)</x:f>
        <x:v>0</x:v>
      </x:c>
      <x:c r="H1199" s="62"/>
      <x:c r="I1199" s="62"/>
      <x:c r="J1199" s="62"/>
      <x:c r="K1199" s="62"/>
    </x:row>
    <x:row r="1200">
      <x:c r="A1200" s="66"/>
      <x:c r="B1200" s="62"/>
      <x:c r="C1200" s="62"/>
      <x:c r="D1200" s="62"/>
      <x:c r="E1200" s="68"/>
      <x:c r="F1200" s="75"/>
      <x:c r="G1200" s="71" t="n">
        <x:f>IF(A1200="",0,E1200*F1200)</x:f>
        <x:v>0</x:v>
      </x:c>
      <x:c r="H1200" s="62"/>
      <x:c r="I1200" s="62"/>
      <x:c r="J1200" s="62"/>
      <x:c r="K1200" s="62"/>
    </x:row>
    <x:row r="1201">
      <x:c r="A1201" s="66"/>
      <x:c r="B1201" s="62"/>
      <x:c r="C1201" s="62"/>
      <x:c r="D1201" s="62"/>
      <x:c r="E1201" s="68"/>
      <x:c r="F1201" s="75"/>
      <x:c r="G1201" s="71" t="n">
        <x:f>IF(A1201="",0,E1201*F1201)</x:f>
        <x:v>0</x:v>
      </x:c>
      <x:c r="H1201" s="62"/>
      <x:c r="I1201" s="62"/>
      <x:c r="J1201" s="62"/>
      <x:c r="K1201" s="62"/>
    </x:row>
    <x:row r="1202">
      <x:c r="A1202" s="66"/>
      <x:c r="B1202" s="62"/>
      <x:c r="C1202" s="62"/>
      <x:c r="D1202" s="62"/>
      <x:c r="E1202" s="68"/>
      <x:c r="F1202" s="75"/>
      <x:c r="G1202" s="71" t="n">
        <x:f>IF(A1202="",0,E1202*F1202)</x:f>
        <x:v>0</x:v>
      </x:c>
      <x:c r="H1202" s="62"/>
      <x:c r="I1202" s="62"/>
      <x:c r="J1202" s="62"/>
      <x:c r="K1202" s="62"/>
    </x:row>
    <x:row r="1203">
      <x:c r="A1203" s="66"/>
      <x:c r="B1203" s="62"/>
      <x:c r="C1203" s="62"/>
      <x:c r="D1203" s="62"/>
      <x:c r="E1203" s="68"/>
      <x:c r="F1203" s="75"/>
      <x:c r="G1203" s="71" t="n">
        <x:f>IF(A1203="",0,E1203*F1203)</x:f>
        <x:v>0</x:v>
      </x:c>
      <x:c r="H1203" s="62"/>
      <x:c r="I1203" s="62"/>
      <x:c r="J1203" s="62"/>
      <x:c r="K1203" s="62"/>
    </x:row>
    <x:row r="1204">
      <x:c r="A1204" s="66"/>
      <x:c r="B1204" s="62"/>
      <x:c r="C1204" s="62"/>
      <x:c r="D1204" s="62"/>
      <x:c r="E1204" s="68"/>
      <x:c r="F1204" s="75"/>
      <x:c r="G1204" s="71" t="n">
        <x:f>IF(A1204="",0,E1204*F1204)</x:f>
        <x:v>0</x:v>
      </x:c>
      <x:c r="H1204" s="62"/>
      <x:c r="I1204" s="62"/>
      <x:c r="J1204" s="62"/>
      <x:c r="K1204" s="62"/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5" hidden="0" customWidth="1"/>
    <x:col min="7" max="7" width="38" hidden="0" customWidth="1"/>
  </x:cols>
  <x:sheetData>
    <x:row r="1" ht="30" customHeight="1">
      <x:c r="A1" s="4" t="str">
        <x:v>自动检查</x:v>
      </x:c>
      <x:c r="B1" s="4" t="str">
        <x:v>自动检查</x:v>
      </x:c>
      <x:c r="C1" s="4" t="str">
        <x:v>自动检查</x:v>
      </x:c>
      <x:c r="D1" s="4" t="str">
        <x:v>自动检查</x:v>
      </x:c>
      <x:c r="E1" s="4" t="str">
        <x:v>自动检查</x:v>
      </x:c>
      <x:c r="F1" s="4" t="str">
        <x:v>自动检查</x:v>
      </x:c>
      <x:c r="G1" s="4" t="str">
        <x:v>自动检查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30" customHeight="1">
      <x:c r="A2" s="8" t="str">
        <x:v>每条检查独立显示实际值、预期值、差异、容忍值和状态；未录入期末余额时保持“待填写”。</x:v>
      </x:c>
      <x:c r="B2" s="8" t="str">
        <x:v>每条检查独立显示实际值、预期值、差异、容忍值和状态；未录入期末余额时保持“待填写”。</x:v>
      </x:c>
      <x:c r="C2" s="8" t="str">
        <x:v>每条检查独立显示实际值、预期值、差异、容忍值和状态；未录入期末余额时保持“待填写”。</x:v>
      </x:c>
      <x:c r="D2" s="8" t="str">
        <x:v>每条检查独立显示实际值、预期值、差异、容忍值和状态；未录入期末余额时保持“待填写”。</x:v>
      </x:c>
      <x:c r="E2" s="8" t="str">
        <x:v>每条检查独立显示实际值、预期值、差异、容忍值和状态；未录入期末余额时保持“待填写”。</x:v>
      </x:c>
      <x:c r="F2" s="8" t="str">
        <x:v>每条检查独立显示实际值、预期值、差异、容忍值和状态；未录入期末余额时保持“待填写”。</x:v>
      </x:c>
      <x:c r="G2" s="8" t="str">
        <x:v>每条检查独立显示实际值、预期值、差异、容忍值和状态；未录入期末余额时保持“待填写”。</x:v>
      </x:c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3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30" customHeight="1">
      <x:c r="A4" s="26" t="str">
        <x:v>检查项</x:v>
      </x:c>
      <x:c r="B4" s="27" t="str">
        <x:v>实际值</x:v>
      </x:c>
      <x:c r="C4" s="27" t="str">
        <x:v>预期值</x:v>
      </x:c>
      <x:c r="D4" s="27" t="str">
        <x:v>差异</x:v>
      </x:c>
      <x:c r="E4" s="27" t="str">
        <x:v>容忍值</x:v>
      </x:c>
      <x:c r="F4" s="27" t="str">
        <x:v>状态</x:v>
      </x:c>
      <x:c r="G4" s="28" t="str">
        <x:v>处理建议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>
      <x:c r="A5" s="81" t="str">
        <x:v>程序卖出数量 = 官方卖出数量</x:v>
      </x:c>
      <x:c r="B5" s="96" t="n">
        <x:f>'基准与总览'!B14</x:f>
        <x:v>0</x:v>
      </x:c>
      <x:c r="C5" s="96" t="n">
        <x:f>'基准与总览'!B15</x:f>
        <x:v>0</x:v>
      </x:c>
      <x:c r="D5" s="96" t="n">
        <x:f>B5-C5</x:f>
        <x:v>0</x:v>
      </x:c>
      <x:c r="E5" s="96" t="n">
        <x:f>0</x:f>
        <x:v>0</x:v>
      </x:c>
      <x:c r="F5" s="89" t="str">
        <x:f>IF(ABS(D5)&lt;=E5,"通过","失败")</x:f>
        <x:v>通过</x:v>
      </x:c>
      <x:c r="G5" s="81" t="str">
        <x:v>逐笔检查缺失或多出的卖出流水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>
      <x:c r="A6" s="81" t="str">
        <x:v>程序税后 = 官方税后</x:v>
      </x:c>
      <x:c r="B6" s="96" t="n">
        <x:f>'基准与总览'!B16</x:f>
        <x:v>0</x:v>
      </x:c>
      <x:c r="C6" s="96" t="n">
        <x:f>'基准与总览'!B17</x:f>
        <x:v>0</x:v>
      </x:c>
      <x:c r="D6" s="96" t="n">
        <x:f>B6-C6</x:f>
        <x:v>0</x:v>
      </x:c>
      <x:c r="E6" s="96" t="n">
        <x:f>'基准与总览'!B11</x:f>
        <x:v>0.1</x:v>
      </x:c>
      <x:c r="F6" s="89" t="str">
        <x:f>IF(ABS(D6)&lt;=E6,"通过","失败")</x:f>
        <x:v>通过</x:v>
      </x:c>
      <x:c r="G6" s="81" t="str">
        <x:v>按Steam官方税后金额检查差异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>
      <x:c r="A7" s="81" t="str">
        <x:v>官方卖出数量 = 补仓流向追踪数量</x:v>
      </x:c>
      <x:c r="B7" s="96" t="n">
        <x:f>'基准与总览'!B15</x:f>
        <x:v>0</x:v>
      </x:c>
      <x:c r="C7" s="96" t="n">
        <x:f>'基准与总览'!E16</x:f>
        <x:v>0</x:v>
      </x:c>
      <x:c r="D7" s="96" t="n">
        <x:f>B7-C7</x:f>
        <x:v>0</x:v>
      </x:c>
      <x:c r="E7" s="96" t="n">
        <x:f>0</x:f>
        <x:v>0</x:v>
      </x:c>
      <x:c r="F7" s="89" t="str">
        <x:f>IF(ABS(D7)&lt;=E7,"通过","失败")</x:f>
        <x:v>通过</x:v>
      </x:c>
      <x:c r="G7" s="81" t="str">
        <x:v>检查是否存在卖出后卡片消失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>
      <x:c r="A8" s="81" t="str">
        <x:v>各物品数量差均为0</x:v>
      </x:c>
      <x:c r="B8" s="96" t="n">
        <x:f>COUNTIF('物品数量守恒'!$N$5:$N$204,"检查")</x:f>
        <x:v>0</x:v>
      </x:c>
      <x:c r="C8" s="96" t="n">
        <x:f>0</x:f>
        <x:v>0</x:v>
      </x:c>
      <x:c r="D8" s="96" t="n">
        <x:f>B8-C8</x:f>
        <x:v>0</x:v>
      </x:c>
      <x:c r="E8" s="96" t="n">
        <x:f>0</x:f>
        <x:v>0</x:v>
      </x:c>
      <x:c r="F8" s="89" t="str">
        <x:f>IF(ABS(D8)&lt;=E8,"通过","失败")</x:f>
        <x:v>通过</x:v>
      </x:c>
      <x:c r="G8" s="81" t="str">
        <x:v>到“物品数量守恒”查看具体品类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>
      <x:c r="A9" s="81" t="str">
        <x:v>Steam卖出流水无重复</x:v>
      </x:c>
      <x:c r="B9" s="96" t="n">
        <x:f>COUNTIF('Steam卖出对账'!$N$5:$N$1204,"重复")</x:f>
        <x:v>0</x:v>
      </x:c>
      <x:c r="C9" s="96" t="n">
        <x:f>0</x:f>
        <x:v>0</x:v>
      </x:c>
      <x:c r="D9" s="96" t="n">
        <x:f>B9-C9</x:f>
        <x:v>0</x:v>
      </x:c>
      <x:c r="E9" s="96" t="n">
        <x:f>0</x:f>
        <x:v>0</x:v>
      </x:c>
      <x:c r="F9" s="89" t="str">
        <x:f>IF(ABS(D9)&lt;=E9,"通过","失败")</x:f>
        <x:v>通过</x:v>
      </x:c>
      <x:c r="G9" s="81" t="str">
        <x:v>同一程序卖出流水只能出现一次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>
      <x:c r="A10" s="81" t="str">
        <x:v>补仓sourceSell无重复</x:v>
      </x:c>
      <x:c r="B10" s="96" t="n">
        <x:f>COUNTIF('补仓对账'!$T$5:$T$1204,"重复")</x:f>
        <x:v>0</x:v>
      </x:c>
      <x:c r="C10" s="96" t="n">
        <x:f>0</x:f>
        <x:v>0</x:v>
      </x:c>
      <x:c r="D10" s="96" t="n">
        <x:f>B10-C10</x:f>
        <x:v>0</x:v>
      </x:c>
      <x:c r="E10" s="96" t="n">
        <x:f>0</x:f>
        <x:v>0</x:v>
      </x:c>
      <x:c r="F10" s="89" t="str">
        <x:f>IF(ABS(D10)&lt;=E10,"通过","失败")</x:f>
        <x:v>通过</x:v>
      </x:c>
      <x:c r="G10" s="81" t="str">
        <x:v>替换链必须折叠为一个sourceSell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>
      <x:c r="A11" s="81" t="str">
        <x:v>C5成功/发货中均有订单证据</x:v>
      </x:c>
      <x:c r="B11" s="96" t="n">
        <x:f>COUNTIF('补仓对账'!$R$5:$R$1204,"缺C5证据")</x:f>
        <x:v>0</x:v>
      </x:c>
      <x:c r="C11" s="96" t="n">
        <x:f>0</x:f>
        <x:v>0</x:v>
      </x:c>
      <x:c r="D11" s="96" t="n">
        <x:f>B11-C11</x:f>
        <x:v>0</x:v>
      </x:c>
      <x:c r="E11" s="96" t="n">
        <x:f>0</x:f>
        <x:v>0</x:v>
      </x:c>
      <x:c r="F11" s="89" t="str">
        <x:f>IF(ABS(D11)&lt;=E11,"通过","失败")</x:f>
        <x:v>通过</x:v>
      </x:c>
      <x:c r="G11" s="81" t="str">
        <x:v>回查C5双订单号与buyer_order_detail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>
      <x:c r="A12" s="81" t="str">
        <x:v>期末钱包余额与推算一致</x:v>
      </x:c>
      <x:c r="B12" s="86" t="n">
        <x:f>'基准与总览'!B28</x:f>
        <x:v>0</x:v>
      </x:c>
      <x:c r="C12" s="86" t="n">
        <x:f>'基准与总览'!B27</x:f>
        <x:v>2502.92</x:v>
      </x:c>
      <x:c r="D12" s="86" t="n">
        <x:f>B12-C12</x:f>
        <x:v>-2502.92</x:v>
      </x:c>
      <x:c r="E12" s="86" t="n">
        <x:f>'基准与总览'!B11</x:f>
        <x:v>0.1</x:v>
      </x:c>
      <x:c r="F12" s="89" t="str">
        <x:f>IF('基准与总览'!B28=0,"待填写",IF(ABS(D12)&lt;=E12,"通过","失败"))</x:f>
        <x:v>待填写</x:v>
      </x:c>
      <x:c r="G12" s="81" t="str">
        <x:v>结束时填写五账号真实余额合计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>
      <x:c r="A13" s="81"/>
      <x:c r="B13" s="81"/>
      <x:c r="C13" s="81"/>
      <x:c r="D13" s="81"/>
      <x:c r="E13" s="81"/>
      <x:c r="F13" s="81"/>
      <x:c r="G13" s="8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>
      <x:c r="A14" s="97" t="str">
        <x:v>总体检查状态</x:v>
      </x:c>
      <x:c r="B14" s="98"/>
      <x:c r="C14" s="98"/>
      <x:c r="D14" s="98"/>
      <x:c r="E14" s="98"/>
      <x:c r="F14" s="98" t="str">
        <x:f>IF(COUNTIF(F5:F12,"失败")&gt;0,"需要检查",IF(COUNTIF(F5:F12,"待填写")&gt;0,"等待结束数据","全部通过"))</x:f>
        <x:v>等待结束数据</x:v>
      </x:c>
      <x:c r="G14" s="99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</x:sheetData>
  <x:mergeCells>
    <x:mergeCell ref="A1:G1"/>
    <x:mergeCell ref="A2:G2"/>
    <x:mergeCell ref="A14:E14"/>
    <x:mergeCell ref="F14:G14"/>
  </x:mergeCells>
  <x:pageMargins left="0.7" right="0.7" top="0.75" bottom="0.75" header="0.3" footer="0.3"/>
</x:worksheet>
</file>